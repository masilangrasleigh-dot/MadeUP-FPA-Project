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slicerCaches/slicerCache2.xml" ContentType="application/vnd.ms-excel.slicerCache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style4.xml" ContentType="application/vnd.ms-office.chartstyle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charts/style2.xml" ContentType="application/vnd.ms-office.chartsty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charts/colors4.xml" ContentType="application/vnd.ms-office.chartcolorstyle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charts/colors2.xml" ContentType="application/vnd.ms-office.chartcolorstyle+xml"/>
  <Override PartName="/xl/charts/colors3.xml" ContentType="application/vnd.ms-office.chartcolorstyle+xml"/>
  <Override PartName="/xl/worksheets/sheet1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metadata.xml" ContentType="application/vnd.openxmlformats-officedocument.spreadsheetml.sheetMetadata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slicers/slicer1.xml" ContentType="application/vnd.ms-excel.slicer+xml"/>
  <Override PartName="/xl/charts/colors1.xml" ContentType="application/vnd.ms-office.chartcolorstyle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pivotTables/pivotTable3.xml" ContentType="application/vnd.openxmlformats-officedocument.spreadsheetml.pivotTable+xml"/>
  <Override PartName="/xl/slicerCaches/slicerCache1.xml" ContentType="application/vnd.ms-excel.slicerCache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hidePivotFieldList="1"/>
  <bookViews>
    <workbookView xWindow="240" yWindow="105" windowWidth="14805" windowHeight="8010"/>
  </bookViews>
  <sheets>
    <sheet name="00_ReadMe" sheetId="1" r:id="rId1"/>
    <sheet name="01_Assumptions" sheetId="2" r:id="rId2"/>
    <sheet name="02_Actual_Revenue" sheetId="3" r:id="rId3"/>
    <sheet name="03_Actual_Opex" sheetId="4" r:id="rId4"/>
    <sheet name="04_Actual_Headcount" sheetId="5" r:id="rId5"/>
    <sheet name="05_Budget" sheetId="6" r:id="rId6"/>
    <sheet name="06_Forecast" sheetId="7" r:id="rId7"/>
    <sheet name="07_PnL" sheetId="8" r:id="rId8"/>
    <sheet name="08_Variance" sheetId="9" r:id="rId9"/>
    <sheet name="09_Scenarios" sheetId="10" r:id="rId10"/>
    <sheet name="10_Management_Summary" sheetId="11" r:id="rId11"/>
    <sheet name="11_Checks" sheetId="12" r:id="rId12"/>
    <sheet name="12_Advance_L&amp;EH" sheetId="16" r:id="rId13"/>
    <sheet name="13_Advance_DAMA" sheetId="14" r:id="rId14"/>
    <sheet name="14_Advance_PA" sheetId="15" r:id="rId15"/>
    <sheet name="15_Advance_S&amp;WA" sheetId="17" r:id="rId16"/>
    <sheet name="16_Advance_MC&amp;EF" sheetId="18" r:id="rId17"/>
  </sheets>
  <definedNames>
    <definedName name="Slicer_RegionID">#N/A</definedName>
    <definedName name="Slicer_Units">#N/A</definedName>
  </definedNames>
  <calcPr calcId="124519"/>
  <pivotCaches>
    <pivotCache cacheId="0" r:id="rId18"/>
  </pivotCaches>
  <extLst xmlns:x15="http://schemas.microsoft.com/office/spreadsheetml/2010/11/main">
    <ext xmlns:x14="http://schemas.microsoft.com/office/spreadsheetml/2009/9/main" uri="{BBE1A952-AA13-448e-AADC-164F8A28A991}">
      <x14:slicerCaches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7"/>
  <c r="C8"/>
  <c r="B14" s="1"/>
  <c r="B15" s="1"/>
  <c r="B16" s="1"/>
  <c r="B17" s="1"/>
  <c r="B4" i="16"/>
  <c r="C4"/>
  <c r="D4"/>
  <c r="E4"/>
  <c r="B5"/>
  <c r="C5"/>
  <c r="D5"/>
  <c r="E5"/>
  <c r="B6"/>
  <c r="C6"/>
  <c r="D6"/>
  <c r="E6"/>
  <c r="B7"/>
  <c r="C7"/>
  <c r="D7"/>
  <c r="E7"/>
  <c r="D4" i="14" a="1"/>
  <c r="D4"/>
  <c r="D97"/>
  <c r="D98"/>
  <c r="D99"/>
  <c r="B4" a="1"/>
  <c r="B4"/>
  <c r="A4" a="1"/>
  <c r="A4"/>
  <c r="D2" i="6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B725" i="12"/>
  <c r="C8" i="7"/>
  <c r="B8"/>
  <c r="D8" s="1"/>
  <c r="C7"/>
  <c r="C6"/>
  <c r="C9" s="1"/>
  <c r="C5"/>
  <c r="C4"/>
  <c r="B11" i="11"/>
  <c r="B7"/>
  <c r="B6"/>
  <c r="B4"/>
  <c r="B579" i="4"/>
  <c r="B726" i="3"/>
  <c r="B725"/>
  <c r="B724"/>
  <c r="B723"/>
  <c r="H5" i="9"/>
  <c r="H10"/>
  <c r="H15"/>
  <c r="H20"/>
  <c r="H25"/>
  <c r="H30"/>
  <c r="H35"/>
  <c r="H40"/>
  <c r="H45"/>
  <c r="H50"/>
  <c r="H55"/>
  <c r="H60"/>
  <c r="H65"/>
  <c r="H70"/>
  <c r="H75"/>
  <c r="H80"/>
  <c r="H85"/>
  <c r="H90"/>
  <c r="G5"/>
  <c r="G10"/>
  <c r="G15"/>
  <c r="G20"/>
  <c r="G25"/>
  <c r="G30"/>
  <c r="G35"/>
  <c r="G40"/>
  <c r="G45"/>
  <c r="G50"/>
  <c r="G55"/>
  <c r="G60"/>
  <c r="G65"/>
  <c r="G70"/>
  <c r="G75"/>
  <c r="G80"/>
  <c r="G85"/>
  <c r="G90"/>
  <c r="F5"/>
  <c r="F10"/>
  <c r="F15"/>
  <c r="F20"/>
  <c r="F25"/>
  <c r="F30"/>
  <c r="F35"/>
  <c r="F40"/>
  <c r="F45"/>
  <c r="F50"/>
  <c r="F55"/>
  <c r="F60"/>
  <c r="F65"/>
  <c r="F70"/>
  <c r="F75"/>
  <c r="F80"/>
  <c r="F85"/>
  <c r="F90"/>
  <c r="E35"/>
  <c r="E40"/>
  <c r="E45"/>
  <c r="E50"/>
  <c r="E55"/>
  <c r="E60"/>
  <c r="E65"/>
  <c r="E70"/>
  <c r="E75"/>
  <c r="E80"/>
  <c r="E85"/>
  <c r="E90"/>
  <c r="D90"/>
  <c r="C91"/>
  <c r="C90"/>
  <c r="C89"/>
  <c r="C88"/>
  <c r="C87"/>
  <c r="D85"/>
  <c r="C86"/>
  <c r="C85"/>
  <c r="C84"/>
  <c r="C83"/>
  <c r="C82"/>
  <c r="D80"/>
  <c r="C81"/>
  <c r="C80"/>
  <c r="C79"/>
  <c r="C78"/>
  <c r="C77"/>
  <c r="D75"/>
  <c r="C76"/>
  <c r="C75"/>
  <c r="C74"/>
  <c r="C73"/>
  <c r="C72"/>
  <c r="D70"/>
  <c r="C71"/>
  <c r="C70"/>
  <c r="C69"/>
  <c r="C68"/>
  <c r="C67"/>
  <c r="D65"/>
  <c r="C66"/>
  <c r="C65"/>
  <c r="C64"/>
  <c r="C63"/>
  <c r="C62"/>
  <c r="D60"/>
  <c r="C60"/>
  <c r="C58"/>
  <c r="C57"/>
  <c r="C59" s="1"/>
  <c r="C61" s="1"/>
  <c r="D55"/>
  <c r="C55"/>
  <c r="C53"/>
  <c r="C52"/>
  <c r="C54" s="1"/>
  <c r="C56" s="1"/>
  <c r="D50"/>
  <c r="C50"/>
  <c r="C48"/>
  <c r="C47"/>
  <c r="C49" s="1"/>
  <c r="C51" s="1"/>
  <c r="D45"/>
  <c r="C45"/>
  <c r="C43"/>
  <c r="C42"/>
  <c r="C44" s="1"/>
  <c r="C46" s="1"/>
  <c r="D40"/>
  <c r="C40"/>
  <c r="C38"/>
  <c r="C37"/>
  <c r="C39" s="1"/>
  <c r="C41" s="1"/>
  <c r="D35"/>
  <c r="C35"/>
  <c r="C33"/>
  <c r="C32"/>
  <c r="C34" s="1"/>
  <c r="C36" s="1"/>
  <c r="D30"/>
  <c r="C30"/>
  <c r="E30" s="1"/>
  <c r="C28"/>
  <c r="C27"/>
  <c r="D25"/>
  <c r="C25"/>
  <c r="E25" s="1"/>
  <c r="C23"/>
  <c r="C22"/>
  <c r="D20"/>
  <c r="C20"/>
  <c r="E20" s="1"/>
  <c r="C18"/>
  <c r="C17"/>
  <c r="D15"/>
  <c r="C15"/>
  <c r="E15" s="1"/>
  <c r="C13"/>
  <c r="C12"/>
  <c r="D10"/>
  <c r="D5"/>
  <c r="C10"/>
  <c r="E10" s="1"/>
  <c r="C5"/>
  <c r="C8"/>
  <c r="C7"/>
  <c r="C2"/>
  <c r="E5"/>
  <c r="C3"/>
  <c r="B1458" i="6"/>
  <c r="B8" i="8"/>
  <c r="B1308" i="6"/>
  <c r="E1314"/>
  <c r="F1314" s="1"/>
  <c r="E1315"/>
  <c r="F1315" s="1"/>
  <c r="E1316"/>
  <c r="F1316" s="1"/>
  <c r="E1317"/>
  <c r="F1317" s="1"/>
  <c r="E1318"/>
  <c r="F1318" s="1"/>
  <c r="E1319"/>
  <c r="F1319" s="1"/>
  <c r="E1320"/>
  <c r="F1320" s="1"/>
  <c r="E1321"/>
  <c r="F1321" s="1"/>
  <c r="E1322"/>
  <c r="F1322" s="1"/>
  <c r="E1323"/>
  <c r="F1323" s="1"/>
  <c r="E1324"/>
  <c r="F1324" s="1"/>
  <c r="E1325"/>
  <c r="F1325" s="1"/>
  <c r="E1326"/>
  <c r="F1326" s="1"/>
  <c r="E1327"/>
  <c r="F1327" s="1"/>
  <c r="E1328"/>
  <c r="F1328" s="1"/>
  <c r="E1329"/>
  <c r="F1329" s="1"/>
  <c r="E1330"/>
  <c r="F1330" s="1"/>
  <c r="E1331"/>
  <c r="F1331" s="1"/>
  <c r="E1332"/>
  <c r="F1332" s="1"/>
  <c r="E1333"/>
  <c r="F1333" s="1"/>
  <c r="E1334"/>
  <c r="F1334" s="1"/>
  <c r="E1335"/>
  <c r="F1335" s="1"/>
  <c r="E1336"/>
  <c r="F1336" s="1"/>
  <c r="E1337"/>
  <c r="F1337" s="1"/>
  <c r="E1338"/>
  <c r="F1338" s="1"/>
  <c r="E1339"/>
  <c r="F1339" s="1"/>
  <c r="E1340"/>
  <c r="F1340" s="1"/>
  <c r="E1341"/>
  <c r="F1341" s="1"/>
  <c r="E1342"/>
  <c r="F1342" s="1"/>
  <c r="E1343"/>
  <c r="F1343" s="1"/>
  <c r="E1344"/>
  <c r="F1344" s="1"/>
  <c r="E1345"/>
  <c r="F1345" s="1"/>
  <c r="E1346"/>
  <c r="F1346" s="1"/>
  <c r="E1347"/>
  <c r="F1347" s="1"/>
  <c r="E1348"/>
  <c r="F1348" s="1"/>
  <c r="E1349"/>
  <c r="F1349" s="1"/>
  <c r="E1350"/>
  <c r="F1350" s="1"/>
  <c r="E1351"/>
  <c r="F1351" s="1"/>
  <c r="E1352"/>
  <c r="F1352" s="1"/>
  <c r="E1353"/>
  <c r="F1353" s="1"/>
  <c r="E1354"/>
  <c r="F1354" s="1"/>
  <c r="E1355"/>
  <c r="F1355" s="1"/>
  <c r="E1356"/>
  <c r="F1356" s="1"/>
  <c r="E1357"/>
  <c r="F1357" s="1"/>
  <c r="E1358"/>
  <c r="F1358" s="1"/>
  <c r="E1359"/>
  <c r="F1359" s="1"/>
  <c r="E1360"/>
  <c r="F1360" s="1"/>
  <c r="E1361"/>
  <c r="F1361" s="1"/>
  <c r="E1362"/>
  <c r="F1362" s="1"/>
  <c r="E1363"/>
  <c r="F1363" s="1"/>
  <c r="E1364"/>
  <c r="F1364" s="1"/>
  <c r="E1365"/>
  <c r="F1365" s="1"/>
  <c r="E1366"/>
  <c r="F1366" s="1"/>
  <c r="E1367"/>
  <c r="F1367" s="1"/>
  <c r="E1368"/>
  <c r="F1368" s="1"/>
  <c r="E1369"/>
  <c r="F1369" s="1"/>
  <c r="E1370"/>
  <c r="F1370" s="1"/>
  <c r="E1371"/>
  <c r="F1371" s="1"/>
  <c r="E1372"/>
  <c r="F1372" s="1"/>
  <c r="E1373"/>
  <c r="F1373" s="1"/>
  <c r="E1374"/>
  <c r="F1374" s="1"/>
  <c r="E1375"/>
  <c r="F1375" s="1"/>
  <c r="E1376"/>
  <c r="F1376" s="1"/>
  <c r="E1377"/>
  <c r="F1377" s="1"/>
  <c r="E1378"/>
  <c r="F1378" s="1"/>
  <c r="E1379"/>
  <c r="F1379" s="1"/>
  <c r="E1380"/>
  <c r="F1380" s="1"/>
  <c r="E1381"/>
  <c r="F1381" s="1"/>
  <c r="E1382"/>
  <c r="F1382" s="1"/>
  <c r="E1383"/>
  <c r="F1383" s="1"/>
  <c r="E1384"/>
  <c r="F1384" s="1"/>
  <c r="E1385"/>
  <c r="F1385" s="1"/>
  <c r="E1386"/>
  <c r="F1386" s="1"/>
  <c r="E1387"/>
  <c r="F1387" s="1"/>
  <c r="E1388"/>
  <c r="F1388" s="1"/>
  <c r="E1389"/>
  <c r="F1389" s="1"/>
  <c r="E1390"/>
  <c r="F1390" s="1"/>
  <c r="E1391"/>
  <c r="F1391" s="1"/>
  <c r="E1392"/>
  <c r="F1392" s="1"/>
  <c r="E1393"/>
  <c r="F1393" s="1"/>
  <c r="E1394"/>
  <c r="F1394" s="1"/>
  <c r="E1395"/>
  <c r="F1395" s="1"/>
  <c r="E1396"/>
  <c r="F1396" s="1"/>
  <c r="E1397"/>
  <c r="F1397" s="1"/>
  <c r="E1398"/>
  <c r="F1398" s="1"/>
  <c r="E1399"/>
  <c r="F1399" s="1"/>
  <c r="E1400"/>
  <c r="F1400" s="1"/>
  <c r="E1401"/>
  <c r="F1401" s="1"/>
  <c r="E1402"/>
  <c r="F1402" s="1"/>
  <c r="E1403"/>
  <c r="F1403" s="1"/>
  <c r="E1404"/>
  <c r="F1404" s="1"/>
  <c r="E1405"/>
  <c r="F1405" s="1"/>
  <c r="E1406"/>
  <c r="F1406" s="1"/>
  <c r="E1407"/>
  <c r="F1407" s="1"/>
  <c r="E1408"/>
  <c r="F1408" s="1"/>
  <c r="E1409"/>
  <c r="F1409" s="1"/>
  <c r="E1410"/>
  <c r="F1410" s="1"/>
  <c r="E1411"/>
  <c r="F1411" s="1"/>
  <c r="E1412"/>
  <c r="F1412" s="1"/>
  <c r="E1413"/>
  <c r="F1413" s="1"/>
  <c r="E1414"/>
  <c r="F1414" s="1"/>
  <c r="E1415"/>
  <c r="F1415" s="1"/>
  <c r="E1416"/>
  <c r="F1416" s="1"/>
  <c r="E1417"/>
  <c r="F1417" s="1"/>
  <c r="E1418"/>
  <c r="F1418" s="1"/>
  <c r="E1419"/>
  <c r="F1419" s="1"/>
  <c r="E1420"/>
  <c r="F1420" s="1"/>
  <c r="E1421"/>
  <c r="F1421" s="1"/>
  <c r="E1422"/>
  <c r="F1422" s="1"/>
  <c r="E1423"/>
  <c r="F1423" s="1"/>
  <c r="E1424"/>
  <c r="F1424" s="1"/>
  <c r="E1425"/>
  <c r="F1425" s="1"/>
  <c r="E1426"/>
  <c r="F1426" s="1"/>
  <c r="E1427"/>
  <c r="F1427" s="1"/>
  <c r="E1428"/>
  <c r="F1428" s="1"/>
  <c r="E1429"/>
  <c r="F1429" s="1"/>
  <c r="E1430"/>
  <c r="F1430" s="1"/>
  <c r="E1431"/>
  <c r="F1431" s="1"/>
  <c r="E1432"/>
  <c r="F1432" s="1"/>
  <c r="E1433"/>
  <c r="F1433" s="1"/>
  <c r="E1434"/>
  <c r="F1434" s="1"/>
  <c r="E1435"/>
  <c r="F1435" s="1"/>
  <c r="E1436"/>
  <c r="F1436" s="1"/>
  <c r="E1437"/>
  <c r="F1437" s="1"/>
  <c r="E1438"/>
  <c r="F1438" s="1"/>
  <c r="E1439"/>
  <c r="F1439" s="1"/>
  <c r="E1440"/>
  <c r="F1440" s="1"/>
  <c r="E1441"/>
  <c r="F1441" s="1"/>
  <c r="E1442"/>
  <c r="F1442" s="1"/>
  <c r="E1443"/>
  <c r="F1443" s="1"/>
  <c r="E1444"/>
  <c r="F1444" s="1"/>
  <c r="E1445"/>
  <c r="F1445" s="1"/>
  <c r="E1446"/>
  <c r="F1446" s="1"/>
  <c r="E1447"/>
  <c r="F1447" s="1"/>
  <c r="E1448"/>
  <c r="F1448" s="1"/>
  <c r="E1449"/>
  <c r="F1449" s="1"/>
  <c r="E1450"/>
  <c r="F1450" s="1"/>
  <c r="E1451"/>
  <c r="F1451" s="1"/>
  <c r="E1452"/>
  <c r="F1452" s="1"/>
  <c r="E1453"/>
  <c r="F1453" s="1"/>
  <c r="E1454"/>
  <c r="F1454" s="1"/>
  <c r="E1455"/>
  <c r="F1455" s="1"/>
  <c r="E1456"/>
  <c r="F1456" s="1"/>
  <c r="E1313"/>
  <c r="F1313" s="1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313"/>
  <c r="C1275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313"/>
  <c r="A1314"/>
  <c r="A1315"/>
  <c r="A1316"/>
  <c r="A1317"/>
  <c r="A1318"/>
  <c r="A1319"/>
  <c r="A1320"/>
  <c r="A1321"/>
  <c r="A1322"/>
  <c r="A1323"/>
  <c r="A1324"/>
  <c r="A1325"/>
  <c r="A1326"/>
  <c r="A1327"/>
  <c r="A1328"/>
  <c r="A1329"/>
  <c r="A1330"/>
  <c r="A1331"/>
  <c r="A1332"/>
  <c r="A1333"/>
  <c r="A1334"/>
  <c r="A1335"/>
  <c r="A1336"/>
  <c r="A1337"/>
  <c r="A1338"/>
  <c r="A1339"/>
  <c r="A1340"/>
  <c r="A1341"/>
  <c r="A1342"/>
  <c r="A1343"/>
  <c r="A1344"/>
  <c r="A1345"/>
  <c r="A1346"/>
  <c r="A1347"/>
  <c r="A1348"/>
  <c r="A1349"/>
  <c r="A1350"/>
  <c r="A1351"/>
  <c r="A1352"/>
  <c r="A1353"/>
  <c r="A1354"/>
  <c r="A1355"/>
  <c r="A1356"/>
  <c r="A1357"/>
  <c r="A1358"/>
  <c r="A1359"/>
  <c r="A1360"/>
  <c r="A1361"/>
  <c r="A1362"/>
  <c r="A1363"/>
  <c r="A1364"/>
  <c r="A1365"/>
  <c r="A1366"/>
  <c r="A1367"/>
  <c r="A1368"/>
  <c r="A1369"/>
  <c r="A1370"/>
  <c r="A1371"/>
  <c r="A1372"/>
  <c r="A1373"/>
  <c r="A1374"/>
  <c r="A1375"/>
  <c r="A1376"/>
  <c r="A1377"/>
  <c r="A1378"/>
  <c r="A1379"/>
  <c r="A1380"/>
  <c r="A1381"/>
  <c r="A1382"/>
  <c r="A1383"/>
  <c r="A1384"/>
  <c r="A1385"/>
  <c r="A1386"/>
  <c r="A1387"/>
  <c r="A1388"/>
  <c r="A1389"/>
  <c r="A1390"/>
  <c r="A1391"/>
  <c r="A1392"/>
  <c r="A1393"/>
  <c r="A1394"/>
  <c r="A1395"/>
  <c r="A1396"/>
  <c r="A1397"/>
  <c r="A1398"/>
  <c r="A1399"/>
  <c r="A1400"/>
  <c r="A1401"/>
  <c r="A1402"/>
  <c r="A1403"/>
  <c r="A1404"/>
  <c r="A1405"/>
  <c r="A1406"/>
  <c r="A1407"/>
  <c r="A1408"/>
  <c r="A1409"/>
  <c r="A1410"/>
  <c r="A1411"/>
  <c r="A1412"/>
  <c r="A1413"/>
  <c r="A1414"/>
  <c r="A1415"/>
  <c r="A1416"/>
  <c r="A1417"/>
  <c r="A1418"/>
  <c r="A1419"/>
  <c r="A1420"/>
  <c r="A1421"/>
  <c r="A1422"/>
  <c r="A1423"/>
  <c r="A1424"/>
  <c r="A1425"/>
  <c r="A1426"/>
  <c r="A1427"/>
  <c r="A1428"/>
  <c r="A1429"/>
  <c r="A1430"/>
  <c r="A1431"/>
  <c r="A1432"/>
  <c r="A1433"/>
  <c r="A1434"/>
  <c r="A1435"/>
  <c r="A1436"/>
  <c r="A1437"/>
  <c r="A1438"/>
  <c r="A1439"/>
  <c r="A1440"/>
  <c r="A1441"/>
  <c r="A1442"/>
  <c r="A1443"/>
  <c r="A1444"/>
  <c r="A1445"/>
  <c r="A1446"/>
  <c r="A1447"/>
  <c r="A1448"/>
  <c r="A1449"/>
  <c r="A1450"/>
  <c r="A1451"/>
  <c r="A1452"/>
  <c r="A1453"/>
  <c r="A1454"/>
  <c r="A1455"/>
  <c r="A1456"/>
  <c r="A1313"/>
  <c r="C75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731"/>
  <c r="E732"/>
  <c r="F732" s="1"/>
  <c r="E733"/>
  <c r="F733" s="1"/>
  <c r="E734"/>
  <c r="F734" s="1"/>
  <c r="E735"/>
  <c r="F735" s="1"/>
  <c r="E736"/>
  <c r="F736" s="1"/>
  <c r="E737"/>
  <c r="F737" s="1"/>
  <c r="E738"/>
  <c r="F738" s="1"/>
  <c r="E739"/>
  <c r="F739" s="1"/>
  <c r="E740"/>
  <c r="F740" s="1"/>
  <c r="E741"/>
  <c r="F741" s="1"/>
  <c r="E742"/>
  <c r="F742" s="1"/>
  <c r="E743"/>
  <c r="F743" s="1"/>
  <c r="E744"/>
  <c r="F744" s="1"/>
  <c r="E745"/>
  <c r="F745" s="1"/>
  <c r="E746"/>
  <c r="F746" s="1"/>
  <c r="E747"/>
  <c r="F747" s="1"/>
  <c r="E748"/>
  <c r="F748" s="1"/>
  <c r="E749"/>
  <c r="F749" s="1"/>
  <c r="E750"/>
  <c r="F750" s="1"/>
  <c r="E751"/>
  <c r="F751" s="1"/>
  <c r="E752"/>
  <c r="F752" s="1"/>
  <c r="E753"/>
  <c r="F753" s="1"/>
  <c r="E754"/>
  <c r="F754" s="1"/>
  <c r="E755"/>
  <c r="F755" s="1"/>
  <c r="E756"/>
  <c r="F756" s="1"/>
  <c r="E757"/>
  <c r="F757" s="1"/>
  <c r="E758"/>
  <c r="F758" s="1"/>
  <c r="E759"/>
  <c r="F759" s="1"/>
  <c r="E760"/>
  <c r="F760" s="1"/>
  <c r="E761"/>
  <c r="F761" s="1"/>
  <c r="E762"/>
  <c r="F762" s="1"/>
  <c r="E763"/>
  <c r="F763" s="1"/>
  <c r="E764"/>
  <c r="F764" s="1"/>
  <c r="E765"/>
  <c r="F765" s="1"/>
  <c r="E766"/>
  <c r="F766" s="1"/>
  <c r="E767"/>
  <c r="F767" s="1"/>
  <c r="E768"/>
  <c r="F768" s="1"/>
  <c r="E769"/>
  <c r="F769" s="1"/>
  <c r="E770"/>
  <c r="F770" s="1"/>
  <c r="E771"/>
  <c r="F771" s="1"/>
  <c r="E772"/>
  <c r="F772" s="1"/>
  <c r="E773"/>
  <c r="F773" s="1"/>
  <c r="E774"/>
  <c r="F774" s="1"/>
  <c r="E775"/>
  <c r="F775" s="1"/>
  <c r="E776"/>
  <c r="F776" s="1"/>
  <c r="E777"/>
  <c r="F777" s="1"/>
  <c r="E778"/>
  <c r="F778" s="1"/>
  <c r="E779"/>
  <c r="F779" s="1"/>
  <c r="E780"/>
  <c r="F780" s="1"/>
  <c r="E781"/>
  <c r="F781" s="1"/>
  <c r="E782"/>
  <c r="F782" s="1"/>
  <c r="E783"/>
  <c r="F783" s="1"/>
  <c r="E784"/>
  <c r="F784" s="1"/>
  <c r="E785"/>
  <c r="F785" s="1"/>
  <c r="E786"/>
  <c r="F786" s="1"/>
  <c r="E787"/>
  <c r="F787" s="1"/>
  <c r="E788"/>
  <c r="F788" s="1"/>
  <c r="E789"/>
  <c r="F789" s="1"/>
  <c r="E790"/>
  <c r="F790" s="1"/>
  <c r="E791"/>
  <c r="F791" s="1"/>
  <c r="E792"/>
  <c r="F792" s="1"/>
  <c r="E793"/>
  <c r="F793" s="1"/>
  <c r="E794"/>
  <c r="F794" s="1"/>
  <c r="E795"/>
  <c r="F795" s="1"/>
  <c r="E796"/>
  <c r="F796" s="1"/>
  <c r="E797"/>
  <c r="F797" s="1"/>
  <c r="E798"/>
  <c r="F798" s="1"/>
  <c r="E799"/>
  <c r="F799" s="1"/>
  <c r="E800"/>
  <c r="F800" s="1"/>
  <c r="E801"/>
  <c r="F801" s="1"/>
  <c r="E802"/>
  <c r="F802" s="1"/>
  <c r="E803"/>
  <c r="F803" s="1"/>
  <c r="E804"/>
  <c r="F804" s="1"/>
  <c r="E805"/>
  <c r="F805" s="1"/>
  <c r="E806"/>
  <c r="F806" s="1"/>
  <c r="E807"/>
  <c r="F807" s="1"/>
  <c r="E808"/>
  <c r="F808" s="1"/>
  <c r="E809"/>
  <c r="F809" s="1"/>
  <c r="E810"/>
  <c r="F810" s="1"/>
  <c r="E811"/>
  <c r="F811" s="1"/>
  <c r="E812"/>
  <c r="F812" s="1"/>
  <c r="E813"/>
  <c r="F813" s="1"/>
  <c r="E814"/>
  <c r="F814" s="1"/>
  <c r="E815"/>
  <c r="F815" s="1"/>
  <c r="E816"/>
  <c r="F816" s="1"/>
  <c r="E817"/>
  <c r="F817" s="1"/>
  <c r="E818"/>
  <c r="F818" s="1"/>
  <c r="E819"/>
  <c r="F819" s="1"/>
  <c r="E820"/>
  <c r="F820" s="1"/>
  <c r="E821"/>
  <c r="F821" s="1"/>
  <c r="E822"/>
  <c r="F822" s="1"/>
  <c r="E823"/>
  <c r="F823" s="1"/>
  <c r="E824"/>
  <c r="F824" s="1"/>
  <c r="E825"/>
  <c r="F825" s="1"/>
  <c r="E826"/>
  <c r="F826" s="1"/>
  <c r="E827"/>
  <c r="F827" s="1"/>
  <c r="E828"/>
  <c r="F828" s="1"/>
  <c r="E829"/>
  <c r="F829" s="1"/>
  <c r="E830"/>
  <c r="F830" s="1"/>
  <c r="E831"/>
  <c r="F831" s="1"/>
  <c r="E832"/>
  <c r="F832" s="1"/>
  <c r="E833"/>
  <c r="F833" s="1"/>
  <c r="E834"/>
  <c r="F834" s="1"/>
  <c r="E835"/>
  <c r="F835" s="1"/>
  <c r="E836"/>
  <c r="F836" s="1"/>
  <c r="E837"/>
  <c r="F837" s="1"/>
  <c r="E838"/>
  <c r="F838" s="1"/>
  <c r="E839"/>
  <c r="F839" s="1"/>
  <c r="E840"/>
  <c r="F840" s="1"/>
  <c r="E841"/>
  <c r="F841" s="1"/>
  <c r="E842"/>
  <c r="F842" s="1"/>
  <c r="E843"/>
  <c r="F843" s="1"/>
  <c r="E844"/>
  <c r="F844" s="1"/>
  <c r="E845"/>
  <c r="F845" s="1"/>
  <c r="E846"/>
  <c r="F846" s="1"/>
  <c r="E847"/>
  <c r="F847" s="1"/>
  <c r="E848"/>
  <c r="F848" s="1"/>
  <c r="E849"/>
  <c r="F849" s="1"/>
  <c r="E850"/>
  <c r="F850" s="1"/>
  <c r="E851"/>
  <c r="F851" s="1"/>
  <c r="E852"/>
  <c r="F852" s="1"/>
  <c r="E853"/>
  <c r="F853" s="1"/>
  <c r="E854"/>
  <c r="F854" s="1"/>
  <c r="E855"/>
  <c r="F855" s="1"/>
  <c r="E856"/>
  <c r="F856" s="1"/>
  <c r="E857"/>
  <c r="F857" s="1"/>
  <c r="E858"/>
  <c r="F858" s="1"/>
  <c r="E859"/>
  <c r="F859" s="1"/>
  <c r="E860"/>
  <c r="F860" s="1"/>
  <c r="E861"/>
  <c r="F861" s="1"/>
  <c r="E862"/>
  <c r="F862" s="1"/>
  <c r="E863"/>
  <c r="F863" s="1"/>
  <c r="E864"/>
  <c r="F864" s="1"/>
  <c r="E865"/>
  <c r="F865" s="1"/>
  <c r="E866"/>
  <c r="F866" s="1"/>
  <c r="E867"/>
  <c r="F867" s="1"/>
  <c r="E868"/>
  <c r="F868" s="1"/>
  <c r="E869"/>
  <c r="F869" s="1"/>
  <c r="E870"/>
  <c r="F870" s="1"/>
  <c r="E871"/>
  <c r="F871" s="1"/>
  <c r="E872"/>
  <c r="F872" s="1"/>
  <c r="E873"/>
  <c r="F873" s="1"/>
  <c r="E874"/>
  <c r="F874" s="1"/>
  <c r="E875"/>
  <c r="F875" s="1"/>
  <c r="E876"/>
  <c r="F876" s="1"/>
  <c r="E877"/>
  <c r="F877" s="1"/>
  <c r="E878"/>
  <c r="F878" s="1"/>
  <c r="E879"/>
  <c r="F879" s="1"/>
  <c r="E880"/>
  <c r="F880" s="1"/>
  <c r="E881"/>
  <c r="F881" s="1"/>
  <c r="E882"/>
  <c r="F882" s="1"/>
  <c r="E883"/>
  <c r="F883" s="1"/>
  <c r="E884"/>
  <c r="F884" s="1"/>
  <c r="E885"/>
  <c r="F885" s="1"/>
  <c r="E886"/>
  <c r="F886" s="1"/>
  <c r="E887"/>
  <c r="F887" s="1"/>
  <c r="E888"/>
  <c r="F888" s="1"/>
  <c r="E889"/>
  <c r="F889" s="1"/>
  <c r="E890"/>
  <c r="F890" s="1"/>
  <c r="E891"/>
  <c r="F891" s="1"/>
  <c r="E892"/>
  <c r="F892" s="1"/>
  <c r="E893"/>
  <c r="F893" s="1"/>
  <c r="E894"/>
  <c r="F894" s="1"/>
  <c r="E895"/>
  <c r="F895" s="1"/>
  <c r="E896"/>
  <c r="F896" s="1"/>
  <c r="E897"/>
  <c r="F897" s="1"/>
  <c r="E898"/>
  <c r="F898" s="1"/>
  <c r="E899"/>
  <c r="F899" s="1"/>
  <c r="E900"/>
  <c r="F900" s="1"/>
  <c r="E901"/>
  <c r="F901" s="1"/>
  <c r="E902"/>
  <c r="F902" s="1"/>
  <c r="E903"/>
  <c r="F903" s="1"/>
  <c r="E904"/>
  <c r="F904" s="1"/>
  <c r="E905"/>
  <c r="F905" s="1"/>
  <c r="E906"/>
  <c r="F906" s="1"/>
  <c r="E907"/>
  <c r="F907" s="1"/>
  <c r="E908"/>
  <c r="F908" s="1"/>
  <c r="E909"/>
  <c r="F909" s="1"/>
  <c r="E910"/>
  <c r="F910" s="1"/>
  <c r="E911"/>
  <c r="F911" s="1"/>
  <c r="E912"/>
  <c r="F912" s="1"/>
  <c r="E913"/>
  <c r="F913" s="1"/>
  <c r="E914"/>
  <c r="F914" s="1"/>
  <c r="E915"/>
  <c r="F915" s="1"/>
  <c r="E916"/>
  <c r="F916" s="1"/>
  <c r="E917"/>
  <c r="F917" s="1"/>
  <c r="E918"/>
  <c r="F918" s="1"/>
  <c r="E919"/>
  <c r="F919" s="1"/>
  <c r="E920"/>
  <c r="F920" s="1"/>
  <c r="E921"/>
  <c r="F921" s="1"/>
  <c r="E922"/>
  <c r="F922" s="1"/>
  <c r="E923"/>
  <c r="F923" s="1"/>
  <c r="E924"/>
  <c r="F924" s="1"/>
  <c r="E925"/>
  <c r="F925" s="1"/>
  <c r="E926"/>
  <c r="F926" s="1"/>
  <c r="E927"/>
  <c r="F927" s="1"/>
  <c r="E928"/>
  <c r="F928" s="1"/>
  <c r="E929"/>
  <c r="F929" s="1"/>
  <c r="E930"/>
  <c r="F930" s="1"/>
  <c r="E931"/>
  <c r="F931" s="1"/>
  <c r="E932"/>
  <c r="F932" s="1"/>
  <c r="E933"/>
  <c r="F933" s="1"/>
  <c r="E934"/>
  <c r="F934" s="1"/>
  <c r="E935"/>
  <c r="F935" s="1"/>
  <c r="E936"/>
  <c r="F936" s="1"/>
  <c r="E937"/>
  <c r="F937" s="1"/>
  <c r="E938"/>
  <c r="F938" s="1"/>
  <c r="E939"/>
  <c r="F939" s="1"/>
  <c r="E940"/>
  <c r="F940" s="1"/>
  <c r="E941"/>
  <c r="F941" s="1"/>
  <c r="E942"/>
  <c r="F942" s="1"/>
  <c r="E943"/>
  <c r="F943" s="1"/>
  <c r="E944"/>
  <c r="F944" s="1"/>
  <c r="E945"/>
  <c r="F945" s="1"/>
  <c r="E946"/>
  <c r="F946" s="1"/>
  <c r="E947"/>
  <c r="F947" s="1"/>
  <c r="E948"/>
  <c r="F948" s="1"/>
  <c r="E949"/>
  <c r="F949" s="1"/>
  <c r="E950"/>
  <c r="F950" s="1"/>
  <c r="E951"/>
  <c r="F951" s="1"/>
  <c r="E952"/>
  <c r="F952" s="1"/>
  <c r="E953"/>
  <c r="F953" s="1"/>
  <c r="E954"/>
  <c r="F954" s="1"/>
  <c r="E955"/>
  <c r="F955" s="1"/>
  <c r="E956"/>
  <c r="F956" s="1"/>
  <c r="E957"/>
  <c r="F957" s="1"/>
  <c r="E958"/>
  <c r="F958" s="1"/>
  <c r="E959"/>
  <c r="F959" s="1"/>
  <c r="E960"/>
  <c r="F960" s="1"/>
  <c r="E961"/>
  <c r="F961" s="1"/>
  <c r="E962"/>
  <c r="F962" s="1"/>
  <c r="E963"/>
  <c r="F963" s="1"/>
  <c r="E964"/>
  <c r="F964" s="1"/>
  <c r="E965"/>
  <c r="F965" s="1"/>
  <c r="E966"/>
  <c r="F966" s="1"/>
  <c r="E967"/>
  <c r="F967" s="1"/>
  <c r="E968"/>
  <c r="F968" s="1"/>
  <c r="E969"/>
  <c r="F969" s="1"/>
  <c r="E970"/>
  <c r="F970" s="1"/>
  <c r="E971"/>
  <c r="F971" s="1"/>
  <c r="E972"/>
  <c r="F972" s="1"/>
  <c r="E973"/>
  <c r="F973" s="1"/>
  <c r="E974"/>
  <c r="F974" s="1"/>
  <c r="E975"/>
  <c r="F975" s="1"/>
  <c r="E976"/>
  <c r="F976" s="1"/>
  <c r="E977"/>
  <c r="F977" s="1"/>
  <c r="E978"/>
  <c r="F978" s="1"/>
  <c r="E979"/>
  <c r="F979" s="1"/>
  <c r="E980"/>
  <c r="F980" s="1"/>
  <c r="E981"/>
  <c r="F981" s="1"/>
  <c r="E982"/>
  <c r="F982" s="1"/>
  <c r="E983"/>
  <c r="F983" s="1"/>
  <c r="E984"/>
  <c r="F984" s="1"/>
  <c r="E985"/>
  <c r="F985" s="1"/>
  <c r="E986"/>
  <c r="F986" s="1"/>
  <c r="E987"/>
  <c r="F987" s="1"/>
  <c r="E988"/>
  <c r="F988" s="1"/>
  <c r="E989"/>
  <c r="F989" s="1"/>
  <c r="E990"/>
  <c r="F990" s="1"/>
  <c r="E991"/>
  <c r="F991" s="1"/>
  <c r="E992"/>
  <c r="F992" s="1"/>
  <c r="E993"/>
  <c r="F993" s="1"/>
  <c r="E994"/>
  <c r="F994" s="1"/>
  <c r="E995"/>
  <c r="F995" s="1"/>
  <c r="E996"/>
  <c r="F996" s="1"/>
  <c r="E997"/>
  <c r="F997" s="1"/>
  <c r="E998"/>
  <c r="F998" s="1"/>
  <c r="E999"/>
  <c r="F999" s="1"/>
  <c r="E1000"/>
  <c r="F1000" s="1"/>
  <c r="E1001"/>
  <c r="F1001" s="1"/>
  <c r="E1002"/>
  <c r="F1002" s="1"/>
  <c r="E1003"/>
  <c r="F1003" s="1"/>
  <c r="E1004"/>
  <c r="F1004" s="1"/>
  <c r="E1005"/>
  <c r="F1005" s="1"/>
  <c r="E1006"/>
  <c r="F1006" s="1"/>
  <c r="E1007"/>
  <c r="F1007" s="1"/>
  <c r="E1008"/>
  <c r="F1008" s="1"/>
  <c r="E1009"/>
  <c r="F1009" s="1"/>
  <c r="E1010"/>
  <c r="F1010" s="1"/>
  <c r="E1011"/>
  <c r="F1011" s="1"/>
  <c r="E1012"/>
  <c r="F1012" s="1"/>
  <c r="E1013"/>
  <c r="F1013" s="1"/>
  <c r="E1014"/>
  <c r="F1014" s="1"/>
  <c r="E1015"/>
  <c r="F1015" s="1"/>
  <c r="E1016"/>
  <c r="F1016" s="1"/>
  <c r="E1017"/>
  <c r="F1017" s="1"/>
  <c r="E1018"/>
  <c r="F1018" s="1"/>
  <c r="E1019"/>
  <c r="F1019" s="1"/>
  <c r="E1020"/>
  <c r="F1020" s="1"/>
  <c r="E1021"/>
  <c r="F1021" s="1"/>
  <c r="E1022"/>
  <c r="F1022" s="1"/>
  <c r="E1023"/>
  <c r="F1023" s="1"/>
  <c r="E1024"/>
  <c r="F1024" s="1"/>
  <c r="E1025"/>
  <c r="F1025" s="1"/>
  <c r="E1026"/>
  <c r="F1026" s="1"/>
  <c r="E1027"/>
  <c r="F1027" s="1"/>
  <c r="E1028"/>
  <c r="F1028" s="1"/>
  <c r="E1029"/>
  <c r="F1029" s="1"/>
  <c r="E1030"/>
  <c r="F1030" s="1"/>
  <c r="E1031"/>
  <c r="F1031" s="1"/>
  <c r="E1032"/>
  <c r="F1032" s="1"/>
  <c r="E1033"/>
  <c r="F1033" s="1"/>
  <c r="E1034"/>
  <c r="F1034" s="1"/>
  <c r="E1035"/>
  <c r="F1035" s="1"/>
  <c r="E1036"/>
  <c r="F1036" s="1"/>
  <c r="E1037"/>
  <c r="F1037" s="1"/>
  <c r="E1038"/>
  <c r="F1038" s="1"/>
  <c r="E1039"/>
  <c r="F1039" s="1"/>
  <c r="E1040"/>
  <c r="F1040" s="1"/>
  <c r="E1041"/>
  <c r="F1041" s="1"/>
  <c r="E1042"/>
  <c r="F1042" s="1"/>
  <c r="E1043"/>
  <c r="F1043" s="1"/>
  <c r="E1044"/>
  <c r="F1044" s="1"/>
  <c r="E1045"/>
  <c r="F1045" s="1"/>
  <c r="E1046"/>
  <c r="F1046" s="1"/>
  <c r="E1047"/>
  <c r="F1047" s="1"/>
  <c r="E1048"/>
  <c r="F1048" s="1"/>
  <c r="E1049"/>
  <c r="F1049" s="1"/>
  <c r="E1050"/>
  <c r="F1050" s="1"/>
  <c r="E1051"/>
  <c r="F1051" s="1"/>
  <c r="E1052"/>
  <c r="F1052" s="1"/>
  <c r="E1053"/>
  <c r="F1053" s="1"/>
  <c r="E1054"/>
  <c r="F1054" s="1"/>
  <c r="E1055"/>
  <c r="F1055" s="1"/>
  <c r="E1056"/>
  <c r="F1056" s="1"/>
  <c r="E1057"/>
  <c r="F1057" s="1"/>
  <c r="E1058"/>
  <c r="F1058" s="1"/>
  <c r="E1059"/>
  <c r="F1059" s="1"/>
  <c r="E1060"/>
  <c r="F1060" s="1"/>
  <c r="E1061"/>
  <c r="F1061" s="1"/>
  <c r="E1062"/>
  <c r="F1062" s="1"/>
  <c r="E1063"/>
  <c r="F1063" s="1"/>
  <c r="E1064"/>
  <c r="F1064" s="1"/>
  <c r="E1065"/>
  <c r="F1065" s="1"/>
  <c r="E1066"/>
  <c r="F1066" s="1"/>
  <c r="E1067"/>
  <c r="F1067" s="1"/>
  <c r="E1068"/>
  <c r="F1068" s="1"/>
  <c r="E1069"/>
  <c r="F1069" s="1"/>
  <c r="E1070"/>
  <c r="F1070" s="1"/>
  <c r="E1071"/>
  <c r="F1071" s="1"/>
  <c r="E1072"/>
  <c r="F1072" s="1"/>
  <c r="E1073"/>
  <c r="F1073" s="1"/>
  <c r="E1074"/>
  <c r="F1074" s="1"/>
  <c r="E1075"/>
  <c r="F1075" s="1"/>
  <c r="E1076"/>
  <c r="F1076" s="1"/>
  <c r="E1077"/>
  <c r="F1077" s="1"/>
  <c r="E1078"/>
  <c r="F1078" s="1"/>
  <c r="E1079"/>
  <c r="F1079" s="1"/>
  <c r="E1080"/>
  <c r="F1080" s="1"/>
  <c r="E1081"/>
  <c r="F1081" s="1"/>
  <c r="E1082"/>
  <c r="F1082" s="1"/>
  <c r="E1083"/>
  <c r="F1083" s="1"/>
  <c r="E1084"/>
  <c r="F1084" s="1"/>
  <c r="E1085"/>
  <c r="F1085" s="1"/>
  <c r="E1086"/>
  <c r="F1086" s="1"/>
  <c r="E1087"/>
  <c r="F1087" s="1"/>
  <c r="E1088"/>
  <c r="F1088" s="1"/>
  <c r="E1089"/>
  <c r="F1089" s="1"/>
  <c r="E1090"/>
  <c r="F1090" s="1"/>
  <c r="E1091"/>
  <c r="F1091" s="1"/>
  <c r="E1092"/>
  <c r="F1092" s="1"/>
  <c r="E1093"/>
  <c r="F1093" s="1"/>
  <c r="E1094"/>
  <c r="F1094" s="1"/>
  <c r="E1095"/>
  <c r="F1095" s="1"/>
  <c r="E1096"/>
  <c r="F1096" s="1"/>
  <c r="E1097"/>
  <c r="F1097" s="1"/>
  <c r="E1098"/>
  <c r="F1098" s="1"/>
  <c r="E1099"/>
  <c r="F1099" s="1"/>
  <c r="E1100"/>
  <c r="F1100" s="1"/>
  <c r="E1101"/>
  <c r="F1101" s="1"/>
  <c r="E1102"/>
  <c r="F1102" s="1"/>
  <c r="E1103"/>
  <c r="F1103" s="1"/>
  <c r="E1104"/>
  <c r="F1104" s="1"/>
  <c r="E1105"/>
  <c r="F1105" s="1"/>
  <c r="E1106"/>
  <c r="F1106" s="1"/>
  <c r="E1107"/>
  <c r="F1107" s="1"/>
  <c r="E1108"/>
  <c r="F1108" s="1"/>
  <c r="E1109"/>
  <c r="F1109" s="1"/>
  <c r="E1110"/>
  <c r="F1110" s="1"/>
  <c r="E1111"/>
  <c r="F1111" s="1"/>
  <c r="E1112"/>
  <c r="F1112" s="1"/>
  <c r="E1113"/>
  <c r="F1113" s="1"/>
  <c r="E1114"/>
  <c r="F1114" s="1"/>
  <c r="E1115"/>
  <c r="F1115" s="1"/>
  <c r="E1116"/>
  <c r="F1116" s="1"/>
  <c r="E1117"/>
  <c r="F1117" s="1"/>
  <c r="E1118"/>
  <c r="F1118" s="1"/>
  <c r="E1119"/>
  <c r="F1119" s="1"/>
  <c r="E1120"/>
  <c r="F1120" s="1"/>
  <c r="E1121"/>
  <c r="F1121" s="1"/>
  <c r="E1122"/>
  <c r="F1122" s="1"/>
  <c r="E1123"/>
  <c r="F1123" s="1"/>
  <c r="E1124"/>
  <c r="F1124" s="1"/>
  <c r="E1125"/>
  <c r="F1125" s="1"/>
  <c r="E1126"/>
  <c r="F1126" s="1"/>
  <c r="E1127"/>
  <c r="F1127" s="1"/>
  <c r="E1128"/>
  <c r="F1128" s="1"/>
  <c r="E1129"/>
  <c r="F1129" s="1"/>
  <c r="E1130"/>
  <c r="F1130" s="1"/>
  <c r="E1131"/>
  <c r="F1131" s="1"/>
  <c r="E1132"/>
  <c r="F1132" s="1"/>
  <c r="E1133"/>
  <c r="F1133" s="1"/>
  <c r="E1134"/>
  <c r="F1134" s="1"/>
  <c r="E1135"/>
  <c r="F1135" s="1"/>
  <c r="E1136"/>
  <c r="F1136" s="1"/>
  <c r="E1137"/>
  <c r="F1137" s="1"/>
  <c r="E1138"/>
  <c r="F1138" s="1"/>
  <c r="E1139"/>
  <c r="F1139" s="1"/>
  <c r="E1140"/>
  <c r="F1140" s="1"/>
  <c r="E1141"/>
  <c r="F1141" s="1"/>
  <c r="E1142"/>
  <c r="F1142" s="1"/>
  <c r="E1143"/>
  <c r="F1143" s="1"/>
  <c r="E1144"/>
  <c r="F1144" s="1"/>
  <c r="E1145"/>
  <c r="F1145" s="1"/>
  <c r="E1146"/>
  <c r="F1146" s="1"/>
  <c r="E1147"/>
  <c r="F1147" s="1"/>
  <c r="E1148"/>
  <c r="F1148" s="1"/>
  <c r="E1149"/>
  <c r="F1149" s="1"/>
  <c r="E1150"/>
  <c r="F1150" s="1"/>
  <c r="E1151"/>
  <c r="F1151" s="1"/>
  <c r="E1152"/>
  <c r="F1152" s="1"/>
  <c r="E1153"/>
  <c r="F1153" s="1"/>
  <c r="E1154"/>
  <c r="F1154" s="1"/>
  <c r="E1155"/>
  <c r="F1155" s="1"/>
  <c r="E1156"/>
  <c r="F1156" s="1"/>
  <c r="E1157"/>
  <c r="F1157" s="1"/>
  <c r="E1158"/>
  <c r="F1158" s="1"/>
  <c r="E1159"/>
  <c r="F1159" s="1"/>
  <c r="E1160"/>
  <c r="F1160" s="1"/>
  <c r="E1161"/>
  <c r="F1161" s="1"/>
  <c r="E1162"/>
  <c r="F1162" s="1"/>
  <c r="E1163"/>
  <c r="F1163" s="1"/>
  <c r="E1164"/>
  <c r="F1164" s="1"/>
  <c r="E1165"/>
  <c r="F1165" s="1"/>
  <c r="E1166"/>
  <c r="F1166" s="1"/>
  <c r="E1167"/>
  <c r="F1167" s="1"/>
  <c r="E1168"/>
  <c r="F1168" s="1"/>
  <c r="E1169"/>
  <c r="F1169" s="1"/>
  <c r="E1170"/>
  <c r="F1170" s="1"/>
  <c r="E1171"/>
  <c r="F1171" s="1"/>
  <c r="E1172"/>
  <c r="F1172" s="1"/>
  <c r="E1173"/>
  <c r="F1173" s="1"/>
  <c r="E1174"/>
  <c r="F1174" s="1"/>
  <c r="E1175"/>
  <c r="F1175" s="1"/>
  <c r="E1176"/>
  <c r="F1176" s="1"/>
  <c r="E1177"/>
  <c r="F1177" s="1"/>
  <c r="E1178"/>
  <c r="F1178" s="1"/>
  <c r="E1179"/>
  <c r="F1179" s="1"/>
  <c r="E1180"/>
  <c r="F1180" s="1"/>
  <c r="E1181"/>
  <c r="F1181" s="1"/>
  <c r="E1182"/>
  <c r="F1182" s="1"/>
  <c r="E1183"/>
  <c r="F1183" s="1"/>
  <c r="E1184"/>
  <c r="F1184" s="1"/>
  <c r="E1185"/>
  <c r="F1185" s="1"/>
  <c r="E1186"/>
  <c r="F1186" s="1"/>
  <c r="E1187"/>
  <c r="F1187" s="1"/>
  <c r="E1188"/>
  <c r="F1188" s="1"/>
  <c r="E1189"/>
  <c r="F1189" s="1"/>
  <c r="E1190"/>
  <c r="F1190" s="1"/>
  <c r="E1191"/>
  <c r="F1191" s="1"/>
  <c r="E1192"/>
  <c r="F1192" s="1"/>
  <c r="E1193"/>
  <c r="F1193" s="1"/>
  <c r="E1194"/>
  <c r="F1194" s="1"/>
  <c r="E1195"/>
  <c r="F1195" s="1"/>
  <c r="E1196"/>
  <c r="F1196" s="1"/>
  <c r="E1197"/>
  <c r="F1197" s="1"/>
  <c r="E1198"/>
  <c r="F1198" s="1"/>
  <c r="E1199"/>
  <c r="F1199" s="1"/>
  <c r="E1200"/>
  <c r="F1200" s="1"/>
  <c r="E1201"/>
  <c r="F1201" s="1"/>
  <c r="E1202"/>
  <c r="F1202" s="1"/>
  <c r="E1203"/>
  <c r="F1203" s="1"/>
  <c r="E1204"/>
  <c r="F1204" s="1"/>
  <c r="E1205"/>
  <c r="F1205" s="1"/>
  <c r="E1206"/>
  <c r="F1206" s="1"/>
  <c r="E1207"/>
  <c r="F1207" s="1"/>
  <c r="E1208"/>
  <c r="F1208" s="1"/>
  <c r="E1209"/>
  <c r="F1209" s="1"/>
  <c r="E1210"/>
  <c r="F1210" s="1"/>
  <c r="E1211"/>
  <c r="F1211" s="1"/>
  <c r="E1212"/>
  <c r="F1212" s="1"/>
  <c r="E1213"/>
  <c r="F1213" s="1"/>
  <c r="E1214"/>
  <c r="F1214" s="1"/>
  <c r="E1215"/>
  <c r="F1215" s="1"/>
  <c r="E1216"/>
  <c r="F1216" s="1"/>
  <c r="E1217"/>
  <c r="F1217" s="1"/>
  <c r="E1218"/>
  <c r="F1218" s="1"/>
  <c r="E1219"/>
  <c r="F1219" s="1"/>
  <c r="E1220"/>
  <c r="F1220" s="1"/>
  <c r="E1221"/>
  <c r="F1221" s="1"/>
  <c r="E1222"/>
  <c r="F1222" s="1"/>
  <c r="E1223"/>
  <c r="F1223" s="1"/>
  <c r="E1224"/>
  <c r="F1224" s="1"/>
  <c r="E1225"/>
  <c r="F1225" s="1"/>
  <c r="E1226"/>
  <c r="F1226" s="1"/>
  <c r="E1227"/>
  <c r="F1227" s="1"/>
  <c r="E1228"/>
  <c r="F1228" s="1"/>
  <c r="E1229"/>
  <c r="F1229" s="1"/>
  <c r="E1230"/>
  <c r="F1230" s="1"/>
  <c r="E1231"/>
  <c r="F1231" s="1"/>
  <c r="E1232"/>
  <c r="F1232" s="1"/>
  <c r="E1233"/>
  <c r="F1233" s="1"/>
  <c r="E1234"/>
  <c r="F1234" s="1"/>
  <c r="E1235"/>
  <c r="F1235" s="1"/>
  <c r="E1236"/>
  <c r="F1236" s="1"/>
  <c r="E1237"/>
  <c r="F1237" s="1"/>
  <c r="E1238"/>
  <c r="F1238" s="1"/>
  <c r="E1239"/>
  <c r="F1239" s="1"/>
  <c r="E1240"/>
  <c r="F1240" s="1"/>
  <c r="E1241"/>
  <c r="F1241" s="1"/>
  <c r="E1242"/>
  <c r="F1242" s="1"/>
  <c r="E1243"/>
  <c r="F1243" s="1"/>
  <c r="E1244"/>
  <c r="F1244" s="1"/>
  <c r="E1245"/>
  <c r="F1245" s="1"/>
  <c r="E1246"/>
  <c r="F1246" s="1"/>
  <c r="E1247"/>
  <c r="F1247" s="1"/>
  <c r="E1248"/>
  <c r="F1248" s="1"/>
  <c r="E1249"/>
  <c r="F1249" s="1"/>
  <c r="E1250"/>
  <c r="F1250" s="1"/>
  <c r="E1251"/>
  <c r="F1251" s="1"/>
  <c r="E1252"/>
  <c r="F1252" s="1"/>
  <c r="E1253"/>
  <c r="F1253" s="1"/>
  <c r="E1254"/>
  <c r="F1254" s="1"/>
  <c r="E1255"/>
  <c r="F1255" s="1"/>
  <c r="E1256"/>
  <c r="F1256" s="1"/>
  <c r="E1257"/>
  <c r="F1257" s="1"/>
  <c r="E1258"/>
  <c r="F1258" s="1"/>
  <c r="E1259"/>
  <c r="F1259" s="1"/>
  <c r="E1260"/>
  <c r="F1260" s="1"/>
  <c r="E1261"/>
  <c r="F1261" s="1"/>
  <c r="E1262"/>
  <c r="F1262" s="1"/>
  <c r="E1263"/>
  <c r="F1263" s="1"/>
  <c r="E1264"/>
  <c r="F1264" s="1"/>
  <c r="E1265"/>
  <c r="F1265" s="1"/>
  <c r="E1266"/>
  <c r="F1266" s="1"/>
  <c r="E1267"/>
  <c r="F1267" s="1"/>
  <c r="E1268"/>
  <c r="F1268" s="1"/>
  <c r="E1269"/>
  <c r="F1269" s="1"/>
  <c r="E1270"/>
  <c r="F1270" s="1"/>
  <c r="E1271"/>
  <c r="F1271" s="1"/>
  <c r="E1272"/>
  <c r="F1272" s="1"/>
  <c r="E1273"/>
  <c r="F1273" s="1"/>
  <c r="E1274"/>
  <c r="F1274" s="1"/>
  <c r="E1275"/>
  <c r="F1275" s="1"/>
  <c r="E1276"/>
  <c r="F1276" s="1"/>
  <c r="E1277"/>
  <c r="F1277" s="1"/>
  <c r="E1278"/>
  <c r="F1278" s="1"/>
  <c r="E1279"/>
  <c r="F1279" s="1"/>
  <c r="E1280"/>
  <c r="F1280" s="1"/>
  <c r="E1281"/>
  <c r="F1281" s="1"/>
  <c r="E1282"/>
  <c r="F1282" s="1"/>
  <c r="E1283"/>
  <c r="F1283" s="1"/>
  <c r="E1284"/>
  <c r="F1284" s="1"/>
  <c r="E1285"/>
  <c r="F1285" s="1"/>
  <c r="E1286"/>
  <c r="F1286" s="1"/>
  <c r="E1287"/>
  <c r="F1287" s="1"/>
  <c r="E1288"/>
  <c r="F1288" s="1"/>
  <c r="E1289"/>
  <c r="F1289" s="1"/>
  <c r="E1290"/>
  <c r="F1290" s="1"/>
  <c r="E1291"/>
  <c r="F1291" s="1"/>
  <c r="E1292"/>
  <c r="F1292" s="1"/>
  <c r="E1293"/>
  <c r="F1293" s="1"/>
  <c r="E1294"/>
  <c r="F1294" s="1"/>
  <c r="E1295"/>
  <c r="F1295" s="1"/>
  <c r="E1296"/>
  <c r="F1296" s="1"/>
  <c r="E1297"/>
  <c r="F1297" s="1"/>
  <c r="E1298"/>
  <c r="F1298" s="1"/>
  <c r="E1299"/>
  <c r="F1299" s="1"/>
  <c r="E1300"/>
  <c r="F1300" s="1"/>
  <c r="E1301"/>
  <c r="F1301" s="1"/>
  <c r="E1302"/>
  <c r="F1302" s="1"/>
  <c r="E1303"/>
  <c r="F1303" s="1"/>
  <c r="E1304"/>
  <c r="F1304" s="1"/>
  <c r="E1305"/>
  <c r="F1305" s="1"/>
  <c r="E1306"/>
  <c r="F1306" s="1"/>
  <c r="E731"/>
  <c r="F731" s="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731"/>
  <c r="A1230"/>
  <c r="A1231"/>
  <c r="A1232"/>
  <c r="A1233"/>
  <c r="A1234"/>
  <c r="A1235"/>
  <c r="A1236"/>
  <c r="A1237"/>
  <c r="A1238"/>
  <c r="A1239"/>
  <c r="A1240"/>
  <c r="A1241"/>
  <c r="A1242"/>
  <c r="A1243"/>
  <c r="A1244"/>
  <c r="A1245"/>
  <c r="A1246"/>
  <c r="A1247"/>
  <c r="A1248"/>
  <c r="A1249"/>
  <c r="A1250"/>
  <c r="A1251"/>
  <c r="A1252"/>
  <c r="A1253"/>
  <c r="A1254"/>
  <c r="A1255"/>
  <c r="A1256"/>
  <c r="A1257"/>
  <c r="A1258"/>
  <c r="A1259"/>
  <c r="A1260"/>
  <c r="A1261"/>
  <c r="A1262"/>
  <c r="A1263"/>
  <c r="A1264"/>
  <c r="A1265"/>
  <c r="A1266"/>
  <c r="A1267"/>
  <c r="A1268"/>
  <c r="A1269"/>
  <c r="A1270"/>
  <c r="A1271"/>
  <c r="A1272"/>
  <c r="A1273"/>
  <c r="A1274"/>
  <c r="A1275"/>
  <c r="A1276"/>
  <c r="A1277"/>
  <c r="A1278"/>
  <c r="A1279"/>
  <c r="A1280"/>
  <c r="A1281"/>
  <c r="A1282"/>
  <c r="A1283"/>
  <c r="A1284"/>
  <c r="A1285"/>
  <c r="A1286"/>
  <c r="A1287"/>
  <c r="A1288"/>
  <c r="A1289"/>
  <c r="A1290"/>
  <c r="A1291"/>
  <c r="A1292"/>
  <c r="A1293"/>
  <c r="A1294"/>
  <c r="A1295"/>
  <c r="A1296"/>
  <c r="A1297"/>
  <c r="A1298"/>
  <c r="A1299"/>
  <c r="A1300"/>
  <c r="A1301"/>
  <c r="A1302"/>
  <c r="A1303"/>
  <c r="A1304"/>
  <c r="A1305"/>
  <c r="A1306"/>
  <c r="A1155"/>
  <c r="A1156"/>
  <c r="A1157"/>
  <c r="A1158"/>
  <c r="A1159"/>
  <c r="A1160"/>
  <c r="A1161"/>
  <c r="A1162"/>
  <c r="A1163"/>
  <c r="A1164"/>
  <c r="A1165"/>
  <c r="A1166"/>
  <c r="A1167"/>
  <c r="A1168"/>
  <c r="A1169"/>
  <c r="A1170"/>
  <c r="A1171"/>
  <c r="A1172"/>
  <c r="A1173"/>
  <c r="A1174"/>
  <c r="A1175"/>
  <c r="A1176"/>
  <c r="A1177"/>
  <c r="A1178"/>
  <c r="A1179"/>
  <c r="A1180"/>
  <c r="A1181"/>
  <c r="A1182"/>
  <c r="A1183"/>
  <c r="A1184"/>
  <c r="A1185"/>
  <c r="A1186"/>
  <c r="A1187"/>
  <c r="A1188"/>
  <c r="A1189"/>
  <c r="A1190"/>
  <c r="A1191"/>
  <c r="A1192"/>
  <c r="A1193"/>
  <c r="A1194"/>
  <c r="A1195"/>
  <c r="A1196"/>
  <c r="A1197"/>
  <c r="A1198"/>
  <c r="A1199"/>
  <c r="A1200"/>
  <c r="A1201"/>
  <c r="A1202"/>
  <c r="A1203"/>
  <c r="A1204"/>
  <c r="A1205"/>
  <c r="A1206"/>
  <c r="A1207"/>
  <c r="A1208"/>
  <c r="A1209"/>
  <c r="A1210"/>
  <c r="A1211"/>
  <c r="A1212"/>
  <c r="A1213"/>
  <c r="A1214"/>
  <c r="A1215"/>
  <c r="A1216"/>
  <c r="A1217"/>
  <c r="A1218"/>
  <c r="A1219"/>
  <c r="A1220"/>
  <c r="A1221"/>
  <c r="A1222"/>
  <c r="A1223"/>
  <c r="A1224"/>
  <c r="A1225"/>
  <c r="A1226"/>
  <c r="A1227"/>
  <c r="A1228"/>
  <c r="A1229"/>
  <c r="A1100"/>
  <c r="A1101"/>
  <c r="A1102"/>
  <c r="A1103"/>
  <c r="A1104"/>
  <c r="A1105"/>
  <c r="A1106"/>
  <c r="A1107"/>
  <c r="A1108"/>
  <c r="A1109"/>
  <c r="A1110"/>
  <c r="A1111"/>
  <c r="A1112"/>
  <c r="A1113"/>
  <c r="A1114"/>
  <c r="A1115"/>
  <c r="A1116"/>
  <c r="A1117"/>
  <c r="A1118"/>
  <c r="A1119"/>
  <c r="A1120"/>
  <c r="A1121"/>
  <c r="A1122"/>
  <c r="A1123"/>
  <c r="A1124"/>
  <c r="A1125"/>
  <c r="A1126"/>
  <c r="A1127"/>
  <c r="A1128"/>
  <c r="A1129"/>
  <c r="A1130"/>
  <c r="A1131"/>
  <c r="A1132"/>
  <c r="A1133"/>
  <c r="A1134"/>
  <c r="A1135"/>
  <c r="A1136"/>
  <c r="A1137"/>
  <c r="A1138"/>
  <c r="A1139"/>
  <c r="A1140"/>
  <c r="A1141"/>
  <c r="A1142"/>
  <c r="A1143"/>
  <c r="A1144"/>
  <c r="A1145"/>
  <c r="A1146"/>
  <c r="A1147"/>
  <c r="A1148"/>
  <c r="A1149"/>
  <c r="A1150"/>
  <c r="A1151"/>
  <c r="A1152"/>
  <c r="A1153"/>
  <c r="A1154"/>
  <c r="A1089"/>
  <c r="A1090"/>
  <c r="A1091"/>
  <c r="A1092"/>
  <c r="A1093"/>
  <c r="A1094"/>
  <c r="A1095"/>
  <c r="A1096"/>
  <c r="A1097"/>
  <c r="A1098"/>
  <c r="A1099"/>
  <c r="A1019"/>
  <c r="A1020"/>
  <c r="A1021"/>
  <c r="A1022"/>
  <c r="A1023"/>
  <c r="A1024"/>
  <c r="A1025"/>
  <c r="A1026"/>
  <c r="A1027"/>
  <c r="A1028"/>
  <c r="A1029"/>
  <c r="A1030"/>
  <c r="A1031"/>
  <c r="A1032"/>
  <c r="A1033"/>
  <c r="A1034"/>
  <c r="A1035"/>
  <c r="A1036"/>
  <c r="A1037"/>
  <c r="A1038"/>
  <c r="A1039"/>
  <c r="A1040"/>
  <c r="A1041"/>
  <c r="A1042"/>
  <c r="A1043"/>
  <c r="A1044"/>
  <c r="A1045"/>
  <c r="A1046"/>
  <c r="A1047"/>
  <c r="A1048"/>
  <c r="A1049"/>
  <c r="A1050"/>
  <c r="A1051"/>
  <c r="A1052"/>
  <c r="A1053"/>
  <c r="A1054"/>
  <c r="A1055"/>
  <c r="A1056"/>
  <c r="A1057"/>
  <c r="A1058"/>
  <c r="A1059"/>
  <c r="A1060"/>
  <c r="A1061"/>
  <c r="A1062"/>
  <c r="A1063"/>
  <c r="A1064"/>
  <c r="A1065"/>
  <c r="A1066"/>
  <c r="A1067"/>
  <c r="A1068"/>
  <c r="A1069"/>
  <c r="A1070"/>
  <c r="A1071"/>
  <c r="A1072"/>
  <c r="A1073"/>
  <c r="A1074"/>
  <c r="A1075"/>
  <c r="A1076"/>
  <c r="A1077"/>
  <c r="A1078"/>
  <c r="A1079"/>
  <c r="A1080"/>
  <c r="A1081"/>
  <c r="A1082"/>
  <c r="A1083"/>
  <c r="A1084"/>
  <c r="A1085"/>
  <c r="A1086"/>
  <c r="A1087"/>
  <c r="A1088"/>
  <c r="A732"/>
  <c r="A733"/>
  <c r="A734"/>
  <c r="A735"/>
  <c r="A736"/>
  <c r="A737"/>
  <c r="A738"/>
  <c r="A739"/>
  <c r="A740"/>
  <c r="A741"/>
  <c r="A742"/>
  <c r="A743"/>
  <c r="A744"/>
  <c r="A745"/>
  <c r="A746"/>
  <c r="A747"/>
  <c r="A748"/>
  <c r="A749"/>
  <c r="A750"/>
  <c r="A751"/>
  <c r="A752"/>
  <c r="A753"/>
  <c r="A754"/>
  <c r="A755"/>
  <c r="A756"/>
  <c r="A757"/>
  <c r="A758"/>
  <c r="A759"/>
  <c r="A760"/>
  <c r="A761"/>
  <c r="A762"/>
  <c r="A763"/>
  <c r="A764"/>
  <c r="A765"/>
  <c r="A766"/>
  <c r="A767"/>
  <c r="A768"/>
  <c r="A769"/>
  <c r="A770"/>
  <c r="A771"/>
  <c r="A772"/>
  <c r="A773"/>
  <c r="A774"/>
  <c r="A775"/>
  <c r="A776"/>
  <c r="A777"/>
  <c r="A778"/>
  <c r="A779"/>
  <c r="A780"/>
  <c r="A781"/>
  <c r="A782"/>
  <c r="A783"/>
  <c r="A784"/>
  <c r="A785"/>
  <c r="A786"/>
  <c r="A787"/>
  <c r="A788"/>
  <c r="A789"/>
  <c r="A790"/>
  <c r="A791"/>
  <c r="A792"/>
  <c r="A793"/>
  <c r="A794"/>
  <c r="A795"/>
  <c r="A796"/>
  <c r="A797"/>
  <c r="A798"/>
  <c r="A799"/>
  <c r="A800"/>
  <c r="A801"/>
  <c r="A802"/>
  <c r="A803"/>
  <c r="A804"/>
  <c r="A805"/>
  <c r="A806"/>
  <c r="A807"/>
  <c r="A808"/>
  <c r="A809"/>
  <c r="A810"/>
  <c r="A811"/>
  <c r="A812"/>
  <c r="A813"/>
  <c r="A814"/>
  <c r="A815"/>
  <c r="A816"/>
  <c r="A817"/>
  <c r="A818"/>
  <c r="A819"/>
  <c r="A820"/>
  <c r="A821"/>
  <c r="A822"/>
  <c r="A823"/>
  <c r="A824"/>
  <c r="A825"/>
  <c r="A826"/>
  <c r="A827"/>
  <c r="A828"/>
  <c r="A829"/>
  <c r="A830"/>
  <c r="A831"/>
  <c r="A832"/>
  <c r="A833"/>
  <c r="A834"/>
  <c r="A835"/>
  <c r="A836"/>
  <c r="A837"/>
  <c r="A838"/>
  <c r="A839"/>
  <c r="A840"/>
  <c r="A841"/>
  <c r="A842"/>
  <c r="A843"/>
  <c r="A844"/>
  <c r="A845"/>
  <c r="A846"/>
  <c r="A847"/>
  <c r="A848"/>
  <c r="A849"/>
  <c r="A850"/>
  <c r="A851"/>
  <c r="A852"/>
  <c r="A853"/>
  <c r="A854"/>
  <c r="A855"/>
  <c r="A856"/>
  <c r="A857"/>
  <c r="A858"/>
  <c r="A859"/>
  <c r="A860"/>
  <c r="A861"/>
  <c r="A862"/>
  <c r="A863"/>
  <c r="A864"/>
  <c r="A865"/>
  <c r="A866"/>
  <c r="A867"/>
  <c r="A868"/>
  <c r="A869"/>
  <c r="A870"/>
  <c r="A871"/>
  <c r="A872"/>
  <c r="A873"/>
  <c r="A874"/>
  <c r="A875"/>
  <c r="A876"/>
  <c r="A877"/>
  <c r="A878"/>
  <c r="A879"/>
  <c r="A880"/>
  <c r="A881"/>
  <c r="A882"/>
  <c r="A883"/>
  <c r="A884"/>
  <c r="A885"/>
  <c r="A886"/>
  <c r="A887"/>
  <c r="A888"/>
  <c r="A889"/>
  <c r="A890"/>
  <c r="A891"/>
  <c r="A892"/>
  <c r="A893"/>
  <c r="A894"/>
  <c r="A895"/>
  <c r="A896"/>
  <c r="A897"/>
  <c r="A898"/>
  <c r="A899"/>
  <c r="A900"/>
  <c r="A901"/>
  <c r="A902"/>
  <c r="A903"/>
  <c r="A904"/>
  <c r="A905"/>
  <c r="A906"/>
  <c r="A907"/>
  <c r="A908"/>
  <c r="A909"/>
  <c r="A910"/>
  <c r="A911"/>
  <c r="A912"/>
  <c r="A913"/>
  <c r="A914"/>
  <c r="A915"/>
  <c r="A916"/>
  <c r="A917"/>
  <c r="A918"/>
  <c r="A919"/>
  <c r="A920"/>
  <c r="A921"/>
  <c r="A922"/>
  <c r="A923"/>
  <c r="A924"/>
  <c r="A925"/>
  <c r="A926"/>
  <c r="A927"/>
  <c r="A928"/>
  <c r="A929"/>
  <c r="A930"/>
  <c r="A931"/>
  <c r="A932"/>
  <c r="A933"/>
  <c r="A934"/>
  <c r="A935"/>
  <c r="A936"/>
  <c r="A937"/>
  <c r="A938"/>
  <c r="A939"/>
  <c r="A940"/>
  <c r="A941"/>
  <c r="A942"/>
  <c r="A943"/>
  <c r="A944"/>
  <c r="A945"/>
  <c r="A946"/>
  <c r="A947"/>
  <c r="A948"/>
  <c r="A949"/>
  <c r="A950"/>
  <c r="A951"/>
  <c r="A952"/>
  <c r="A953"/>
  <c r="A954"/>
  <c r="A955"/>
  <c r="A956"/>
  <c r="A957"/>
  <c r="A958"/>
  <c r="A959"/>
  <c r="A960"/>
  <c r="A961"/>
  <c r="A962"/>
  <c r="A963"/>
  <c r="A964"/>
  <c r="A965"/>
  <c r="A966"/>
  <c r="A967"/>
  <c r="A968"/>
  <c r="A969"/>
  <c r="A970"/>
  <c r="A971"/>
  <c r="A972"/>
  <c r="A973"/>
  <c r="A974"/>
  <c r="A975"/>
  <c r="A976"/>
  <c r="A977"/>
  <c r="A978"/>
  <c r="A979"/>
  <c r="A980"/>
  <c r="A981"/>
  <c r="A982"/>
  <c r="A983"/>
  <c r="A984"/>
  <c r="A985"/>
  <c r="A986"/>
  <c r="A987"/>
  <c r="A988"/>
  <c r="A989"/>
  <c r="A990"/>
  <c r="A991"/>
  <c r="A992"/>
  <c r="A993"/>
  <c r="A994"/>
  <c r="A995"/>
  <c r="A996"/>
  <c r="A997"/>
  <c r="A998"/>
  <c r="A999"/>
  <c r="A1000"/>
  <c r="A1001"/>
  <c r="A1002"/>
  <c r="A1003"/>
  <c r="A1004"/>
  <c r="A1005"/>
  <c r="A1006"/>
  <c r="A1007"/>
  <c r="A1008"/>
  <c r="A1009"/>
  <c r="A1010"/>
  <c r="A1011"/>
  <c r="A1012"/>
  <c r="A1013"/>
  <c r="A1014"/>
  <c r="A1015"/>
  <c r="A1016"/>
  <c r="A1017"/>
  <c r="A1018"/>
  <c r="A731"/>
  <c r="H2" i="3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F711" i="6"/>
  <c r="F712"/>
  <c r="F713"/>
  <c r="F714"/>
  <c r="F715"/>
  <c r="F716"/>
  <c r="F717"/>
  <c r="F718"/>
  <c r="F719"/>
  <c r="F720"/>
  <c r="F721"/>
  <c r="F710"/>
  <c r="F671"/>
  <c r="F672"/>
  <c r="F673"/>
  <c r="F674"/>
  <c r="F675"/>
  <c r="F676"/>
  <c r="F677"/>
  <c r="F678"/>
  <c r="F679"/>
  <c r="F680"/>
  <c r="F681"/>
  <c r="F670"/>
  <c r="F631"/>
  <c r="F632"/>
  <c r="F633"/>
  <c r="F634"/>
  <c r="F635"/>
  <c r="F636"/>
  <c r="F637"/>
  <c r="F638"/>
  <c r="F639"/>
  <c r="F640"/>
  <c r="F641"/>
  <c r="F630"/>
  <c r="F591"/>
  <c r="F592"/>
  <c r="F593"/>
  <c r="F594"/>
  <c r="F595"/>
  <c r="F596"/>
  <c r="F597"/>
  <c r="F598"/>
  <c r="F599"/>
  <c r="F600"/>
  <c r="F601"/>
  <c r="F590"/>
  <c r="F551"/>
  <c r="F552"/>
  <c r="F553"/>
  <c r="F554"/>
  <c r="F555"/>
  <c r="F556"/>
  <c r="F557"/>
  <c r="F558"/>
  <c r="F559"/>
  <c r="F560"/>
  <c r="F561"/>
  <c r="F550"/>
  <c r="F511"/>
  <c r="F512"/>
  <c r="F513"/>
  <c r="F514"/>
  <c r="F515"/>
  <c r="F516"/>
  <c r="F517"/>
  <c r="F518"/>
  <c r="F519"/>
  <c r="F520"/>
  <c r="F521"/>
  <c r="F510"/>
  <c r="F471"/>
  <c r="F472"/>
  <c r="F473"/>
  <c r="F474"/>
  <c r="F475"/>
  <c r="F476"/>
  <c r="F477"/>
  <c r="F478"/>
  <c r="F479"/>
  <c r="F480"/>
  <c r="F481"/>
  <c r="F470"/>
  <c r="F431"/>
  <c r="F432"/>
  <c r="F433"/>
  <c r="F434"/>
  <c r="F435"/>
  <c r="F436"/>
  <c r="F437"/>
  <c r="F438"/>
  <c r="F439"/>
  <c r="F440"/>
  <c r="F441"/>
  <c r="F430"/>
  <c r="F391"/>
  <c r="F392"/>
  <c r="F393"/>
  <c r="F394"/>
  <c r="F395"/>
  <c r="F396"/>
  <c r="F397"/>
  <c r="F398"/>
  <c r="F399"/>
  <c r="F400"/>
  <c r="F401"/>
  <c r="F390"/>
  <c r="F351"/>
  <c r="F352"/>
  <c r="F353"/>
  <c r="F354"/>
  <c r="F355"/>
  <c r="F356"/>
  <c r="F357"/>
  <c r="F358"/>
  <c r="F359"/>
  <c r="F360"/>
  <c r="F361"/>
  <c r="F350"/>
  <c r="F311"/>
  <c r="F312"/>
  <c r="F313"/>
  <c r="F314"/>
  <c r="F315"/>
  <c r="F316"/>
  <c r="F317"/>
  <c r="F318"/>
  <c r="F319"/>
  <c r="F320"/>
  <c r="F321"/>
  <c r="F310"/>
  <c r="F271"/>
  <c r="F272"/>
  <c r="F273"/>
  <c r="F274"/>
  <c r="F275"/>
  <c r="F276"/>
  <c r="F277"/>
  <c r="F278"/>
  <c r="F279"/>
  <c r="F280"/>
  <c r="F281"/>
  <c r="F270"/>
  <c r="F231"/>
  <c r="F232"/>
  <c r="F233"/>
  <c r="F234"/>
  <c r="F235"/>
  <c r="F236"/>
  <c r="F237"/>
  <c r="F238"/>
  <c r="F239"/>
  <c r="F240"/>
  <c r="F241"/>
  <c r="F230"/>
  <c r="F191"/>
  <c r="F192"/>
  <c r="F193"/>
  <c r="F194"/>
  <c r="F195"/>
  <c r="F196"/>
  <c r="F197"/>
  <c r="F198"/>
  <c r="F199"/>
  <c r="F200"/>
  <c r="F201"/>
  <c r="F190"/>
  <c r="F151"/>
  <c r="F152"/>
  <c r="F153"/>
  <c r="F154"/>
  <c r="F155"/>
  <c r="F156"/>
  <c r="F157"/>
  <c r="F158"/>
  <c r="F159"/>
  <c r="F160"/>
  <c r="F161"/>
  <c r="F150"/>
  <c r="F111"/>
  <c r="F112"/>
  <c r="F113"/>
  <c r="F114"/>
  <c r="F115"/>
  <c r="F116"/>
  <c r="F117"/>
  <c r="F118"/>
  <c r="F119"/>
  <c r="F120"/>
  <c r="F121"/>
  <c r="F110"/>
  <c r="F71"/>
  <c r="F72"/>
  <c r="F73"/>
  <c r="F74"/>
  <c r="F75"/>
  <c r="F76"/>
  <c r="F77"/>
  <c r="F78"/>
  <c r="F79"/>
  <c r="F80"/>
  <c r="F81"/>
  <c r="F70"/>
  <c r="F31"/>
  <c r="F32"/>
  <c r="F33"/>
  <c r="F34"/>
  <c r="F35"/>
  <c r="F36"/>
  <c r="F37"/>
  <c r="F38"/>
  <c r="F39"/>
  <c r="F40"/>
  <c r="F41"/>
  <c r="F30"/>
  <c r="F703"/>
  <c r="F704"/>
  <c r="F705"/>
  <c r="F706"/>
  <c r="F707"/>
  <c r="F708"/>
  <c r="F709"/>
  <c r="F702"/>
  <c r="F663"/>
  <c r="F664"/>
  <c r="F665"/>
  <c r="F666"/>
  <c r="F667"/>
  <c r="F668"/>
  <c r="F669"/>
  <c r="F662"/>
  <c r="F623"/>
  <c r="F624"/>
  <c r="F625"/>
  <c r="F626"/>
  <c r="F627"/>
  <c r="F628"/>
  <c r="F629"/>
  <c r="F622"/>
  <c r="F583"/>
  <c r="F584"/>
  <c r="F585"/>
  <c r="F586"/>
  <c r="F587"/>
  <c r="F588"/>
  <c r="F589"/>
  <c r="F582"/>
  <c r="F543"/>
  <c r="F544"/>
  <c r="F545"/>
  <c r="F546"/>
  <c r="F547"/>
  <c r="F548"/>
  <c r="F549"/>
  <c r="F542"/>
  <c r="F503"/>
  <c r="F504"/>
  <c r="F505"/>
  <c r="F506"/>
  <c r="F507"/>
  <c r="F508"/>
  <c r="F509"/>
  <c r="F502"/>
  <c r="F463"/>
  <c r="F464"/>
  <c r="F465"/>
  <c r="F466"/>
  <c r="F467"/>
  <c r="F468"/>
  <c r="F469"/>
  <c r="F462"/>
  <c r="F423"/>
  <c r="F424"/>
  <c r="F425"/>
  <c r="F426"/>
  <c r="F427"/>
  <c r="F428"/>
  <c r="F429"/>
  <c r="F422"/>
  <c r="F383"/>
  <c r="F384"/>
  <c r="F385"/>
  <c r="F386"/>
  <c r="F387"/>
  <c r="F388"/>
  <c r="F389"/>
  <c r="F382"/>
  <c r="F343"/>
  <c r="F344"/>
  <c r="F345"/>
  <c r="F346"/>
  <c r="F347"/>
  <c r="F348"/>
  <c r="F349"/>
  <c r="F342"/>
  <c r="F303"/>
  <c r="F304"/>
  <c r="F305"/>
  <c r="F306"/>
  <c r="F307"/>
  <c r="F308"/>
  <c r="F309"/>
  <c r="F302"/>
  <c r="F263"/>
  <c r="F264"/>
  <c r="F265"/>
  <c r="F266"/>
  <c r="F267"/>
  <c r="F268"/>
  <c r="F269"/>
  <c r="F262"/>
  <c r="F223"/>
  <c r="F224"/>
  <c r="F225"/>
  <c r="F226"/>
  <c r="F227"/>
  <c r="F228"/>
  <c r="F229"/>
  <c r="F222"/>
  <c r="F183"/>
  <c r="F184"/>
  <c r="F185"/>
  <c r="F186"/>
  <c r="F187"/>
  <c r="F188"/>
  <c r="F189"/>
  <c r="F182"/>
  <c r="F143"/>
  <c r="F144"/>
  <c r="F145"/>
  <c r="F146"/>
  <c r="F147"/>
  <c r="F148"/>
  <c r="F149"/>
  <c r="F142"/>
  <c r="F103"/>
  <c r="F104"/>
  <c r="F105"/>
  <c r="F106"/>
  <c r="F107"/>
  <c r="F108"/>
  <c r="F109"/>
  <c r="F102"/>
  <c r="F63"/>
  <c r="F64"/>
  <c r="F65"/>
  <c r="F66"/>
  <c r="F67"/>
  <c r="F68"/>
  <c r="F69"/>
  <c r="F62"/>
  <c r="F23"/>
  <c r="F24"/>
  <c r="F25"/>
  <c r="F26"/>
  <c r="F27"/>
  <c r="F28"/>
  <c r="F29"/>
  <c r="F2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68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4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0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6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2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48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4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0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6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2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28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4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0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6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2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8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42"/>
  <c r="F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B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A713"/>
  <c r="A714"/>
  <c r="A715"/>
  <c r="A716"/>
  <c r="A717"/>
  <c r="A718"/>
  <c r="A719"/>
  <c r="A720"/>
  <c r="A72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2"/>
  <c r="C10" i="7" l="1"/>
  <c r="E8"/>
  <c r="F8" s="1"/>
  <c r="C29" i="9"/>
  <c r="C9"/>
  <c r="C14"/>
  <c r="C19"/>
  <c r="C24"/>
  <c r="C4"/>
  <c r="C31" l="1"/>
  <c r="C26"/>
  <c r="C21"/>
  <c r="C16"/>
  <c r="C11"/>
  <c r="C6"/>
  <c r="E42" i="6"/>
  <c r="G42"/>
  <c r="E82"/>
  <c r="G82"/>
  <c r="E122"/>
  <c r="G122"/>
  <c r="E162"/>
  <c r="G162"/>
  <c r="E202"/>
  <c r="G202"/>
  <c r="E242"/>
  <c r="G242"/>
  <c r="E282"/>
  <c r="G282"/>
  <c r="E322"/>
  <c r="G322"/>
  <c r="E362"/>
  <c r="G362"/>
  <c r="E402"/>
  <c r="G402"/>
  <c r="E442"/>
  <c r="G442"/>
  <c r="E482"/>
  <c r="G482"/>
  <c r="E522"/>
  <c r="G522"/>
  <c r="E562"/>
  <c r="G562"/>
  <c r="E602"/>
  <c r="G602"/>
  <c r="E642"/>
  <c r="G642"/>
  <c r="E682"/>
  <c r="G682"/>
  <c r="E3"/>
  <c r="G3"/>
  <c r="H3"/>
  <c r="E4"/>
  <c r="G4"/>
  <c r="H4"/>
  <c r="E5"/>
  <c r="G5"/>
  <c r="H5"/>
  <c r="E6"/>
  <c r="G6"/>
  <c r="H6"/>
  <c r="E7"/>
  <c r="G7"/>
  <c r="H7"/>
  <c r="E8"/>
  <c r="G8"/>
  <c r="H8"/>
  <c r="E9"/>
  <c r="G9"/>
  <c r="H9"/>
  <c r="E10"/>
  <c r="G10"/>
  <c r="H10"/>
  <c r="E11"/>
  <c r="G11"/>
  <c r="H11"/>
  <c r="E12"/>
  <c r="G12"/>
  <c r="H12"/>
  <c r="E13"/>
  <c r="G13"/>
  <c r="H13"/>
  <c r="E14"/>
  <c r="G14"/>
  <c r="H14"/>
  <c r="E15"/>
  <c r="G15"/>
  <c r="H15"/>
  <c r="E16"/>
  <c r="G16"/>
  <c r="H16"/>
  <c r="E17"/>
  <c r="G17"/>
  <c r="H17"/>
  <c r="E18"/>
  <c r="G18"/>
  <c r="H18"/>
  <c r="E19"/>
  <c r="G19"/>
  <c r="H19"/>
  <c r="E20"/>
  <c r="G20"/>
  <c r="H20"/>
  <c r="E21"/>
  <c r="G21"/>
  <c r="H21"/>
  <c r="E22"/>
  <c r="G22"/>
  <c r="H22"/>
  <c r="E23"/>
  <c r="G23"/>
  <c r="H23"/>
  <c r="E24"/>
  <c r="G24"/>
  <c r="H24"/>
  <c r="E25"/>
  <c r="G25"/>
  <c r="H25"/>
  <c r="E26"/>
  <c r="G26"/>
  <c r="H26"/>
  <c r="E27"/>
  <c r="G27"/>
  <c r="H27"/>
  <c r="E28"/>
  <c r="G28"/>
  <c r="H28"/>
  <c r="E29"/>
  <c r="G29"/>
  <c r="H29"/>
  <c r="E30"/>
  <c r="G30"/>
  <c r="H30"/>
  <c r="E31"/>
  <c r="G31"/>
  <c r="H31"/>
  <c r="E32"/>
  <c r="G32"/>
  <c r="H32"/>
  <c r="E33"/>
  <c r="G33"/>
  <c r="H33"/>
  <c r="E34"/>
  <c r="G34"/>
  <c r="H34"/>
  <c r="E35"/>
  <c r="G35"/>
  <c r="H35"/>
  <c r="E36"/>
  <c r="G36"/>
  <c r="H36"/>
  <c r="E37"/>
  <c r="G37"/>
  <c r="H37"/>
  <c r="E38"/>
  <c r="G38"/>
  <c r="H38"/>
  <c r="E39"/>
  <c r="G39"/>
  <c r="H39"/>
  <c r="E40"/>
  <c r="G40"/>
  <c r="H40"/>
  <c r="E41"/>
  <c r="G41"/>
  <c r="H41"/>
  <c r="E43"/>
  <c r="G43"/>
  <c r="H43"/>
  <c r="E44"/>
  <c r="G44"/>
  <c r="H44"/>
  <c r="E45"/>
  <c r="G45"/>
  <c r="H45"/>
  <c r="E46"/>
  <c r="G46"/>
  <c r="H46"/>
  <c r="E47"/>
  <c r="G47"/>
  <c r="H47"/>
  <c r="E48"/>
  <c r="G48"/>
  <c r="H48"/>
  <c r="E49"/>
  <c r="G49"/>
  <c r="H49"/>
  <c r="E50"/>
  <c r="G50"/>
  <c r="H50"/>
  <c r="E51"/>
  <c r="G51"/>
  <c r="H51"/>
  <c r="E52"/>
  <c r="G52"/>
  <c r="H52"/>
  <c r="E53"/>
  <c r="G53"/>
  <c r="H53"/>
  <c r="E54"/>
  <c r="G54"/>
  <c r="H54"/>
  <c r="E55"/>
  <c r="G55"/>
  <c r="H55"/>
  <c r="E56"/>
  <c r="G56"/>
  <c r="H56"/>
  <c r="E57"/>
  <c r="G57"/>
  <c r="H57"/>
  <c r="E58"/>
  <c r="G58"/>
  <c r="H58"/>
  <c r="E59"/>
  <c r="G59"/>
  <c r="H59"/>
  <c r="E60"/>
  <c r="G60"/>
  <c r="H60"/>
  <c r="E61"/>
  <c r="G61"/>
  <c r="H61"/>
  <c r="E62"/>
  <c r="G62"/>
  <c r="H62"/>
  <c r="E63"/>
  <c r="G63"/>
  <c r="H63"/>
  <c r="E64"/>
  <c r="G64"/>
  <c r="H64"/>
  <c r="E65"/>
  <c r="G65"/>
  <c r="H65"/>
  <c r="E66"/>
  <c r="G66"/>
  <c r="H66"/>
  <c r="E67"/>
  <c r="G67"/>
  <c r="H67"/>
  <c r="E68"/>
  <c r="G68"/>
  <c r="H68"/>
  <c r="E69"/>
  <c r="G69"/>
  <c r="H69"/>
  <c r="E70"/>
  <c r="G70"/>
  <c r="H70"/>
  <c r="E71"/>
  <c r="G71"/>
  <c r="H71"/>
  <c r="E72"/>
  <c r="G72"/>
  <c r="H72"/>
  <c r="E73"/>
  <c r="G73"/>
  <c r="H73"/>
  <c r="E74"/>
  <c r="G74"/>
  <c r="H74"/>
  <c r="E75"/>
  <c r="G75"/>
  <c r="H75"/>
  <c r="E76"/>
  <c r="G76"/>
  <c r="H76"/>
  <c r="E77"/>
  <c r="G77"/>
  <c r="H77"/>
  <c r="E78"/>
  <c r="G78"/>
  <c r="H78"/>
  <c r="E79"/>
  <c r="G79"/>
  <c r="H79"/>
  <c r="E80"/>
  <c r="G80"/>
  <c r="H80"/>
  <c r="E81"/>
  <c r="G81"/>
  <c r="H81"/>
  <c r="E83"/>
  <c r="G83"/>
  <c r="H83"/>
  <c r="E84"/>
  <c r="G84"/>
  <c r="H84"/>
  <c r="E85"/>
  <c r="G85"/>
  <c r="H85"/>
  <c r="E86"/>
  <c r="G86"/>
  <c r="H86"/>
  <c r="E87"/>
  <c r="G87"/>
  <c r="H87"/>
  <c r="E88"/>
  <c r="G88"/>
  <c r="H88"/>
  <c r="E89"/>
  <c r="G89"/>
  <c r="H89"/>
  <c r="E90"/>
  <c r="G90"/>
  <c r="H90"/>
  <c r="E91"/>
  <c r="G91"/>
  <c r="H91"/>
  <c r="E92"/>
  <c r="G92"/>
  <c r="H92"/>
  <c r="E93"/>
  <c r="G93"/>
  <c r="H93"/>
  <c r="E94"/>
  <c r="G94"/>
  <c r="H94"/>
  <c r="E95"/>
  <c r="G95"/>
  <c r="H95"/>
  <c r="E96"/>
  <c r="G96"/>
  <c r="H96"/>
  <c r="E97"/>
  <c r="G97"/>
  <c r="H97"/>
  <c r="E98"/>
  <c r="G98"/>
  <c r="H98"/>
  <c r="E99"/>
  <c r="G99"/>
  <c r="H99"/>
  <c r="E100"/>
  <c r="G100"/>
  <c r="H100"/>
  <c r="E101"/>
  <c r="G101"/>
  <c r="H101"/>
  <c r="E102"/>
  <c r="G102"/>
  <c r="H102"/>
  <c r="E103"/>
  <c r="G103"/>
  <c r="H103"/>
  <c r="E104"/>
  <c r="G104"/>
  <c r="H104"/>
  <c r="E105"/>
  <c r="G105"/>
  <c r="H105"/>
  <c r="E106"/>
  <c r="G106"/>
  <c r="H106"/>
  <c r="E107"/>
  <c r="G107"/>
  <c r="H107"/>
  <c r="E108"/>
  <c r="G108"/>
  <c r="H108"/>
  <c r="E109"/>
  <c r="G109"/>
  <c r="H109"/>
  <c r="E110"/>
  <c r="G110"/>
  <c r="H110"/>
  <c r="E111"/>
  <c r="G111"/>
  <c r="H111"/>
  <c r="E112"/>
  <c r="G112"/>
  <c r="H112"/>
  <c r="E113"/>
  <c r="G113"/>
  <c r="H113"/>
  <c r="E114"/>
  <c r="G114"/>
  <c r="H114"/>
  <c r="E115"/>
  <c r="G115"/>
  <c r="H115"/>
  <c r="E116"/>
  <c r="G116"/>
  <c r="H116"/>
  <c r="E117"/>
  <c r="G117"/>
  <c r="H117"/>
  <c r="E118"/>
  <c r="G118"/>
  <c r="H118"/>
  <c r="E119"/>
  <c r="G119"/>
  <c r="H119"/>
  <c r="E120"/>
  <c r="G120"/>
  <c r="H120"/>
  <c r="E121"/>
  <c r="G121"/>
  <c r="H121"/>
  <c r="E123"/>
  <c r="G123"/>
  <c r="H123"/>
  <c r="E124"/>
  <c r="G124"/>
  <c r="H124"/>
  <c r="E125"/>
  <c r="G125"/>
  <c r="H125"/>
  <c r="E126"/>
  <c r="G126"/>
  <c r="H126"/>
  <c r="E127"/>
  <c r="G127"/>
  <c r="H127"/>
  <c r="E128"/>
  <c r="G128"/>
  <c r="H128"/>
  <c r="E129"/>
  <c r="G129"/>
  <c r="H129"/>
  <c r="E130"/>
  <c r="G130"/>
  <c r="H130"/>
  <c r="E131"/>
  <c r="G131"/>
  <c r="H131"/>
  <c r="E132"/>
  <c r="G132"/>
  <c r="H132"/>
  <c r="E133"/>
  <c r="G133"/>
  <c r="H133"/>
  <c r="E134"/>
  <c r="G134"/>
  <c r="H134"/>
  <c r="E135"/>
  <c r="G135"/>
  <c r="H135"/>
  <c r="E136"/>
  <c r="G136"/>
  <c r="H136"/>
  <c r="E137"/>
  <c r="G137"/>
  <c r="H137"/>
  <c r="E138"/>
  <c r="G138"/>
  <c r="H138"/>
  <c r="E139"/>
  <c r="G139"/>
  <c r="H139"/>
  <c r="E140"/>
  <c r="G140"/>
  <c r="H140"/>
  <c r="E141"/>
  <c r="G141"/>
  <c r="H141"/>
  <c r="E142"/>
  <c r="G142"/>
  <c r="H142"/>
  <c r="E143"/>
  <c r="G143"/>
  <c r="H143"/>
  <c r="E144"/>
  <c r="G144"/>
  <c r="H144"/>
  <c r="E145"/>
  <c r="G145"/>
  <c r="H145"/>
  <c r="E146"/>
  <c r="G146"/>
  <c r="H146"/>
  <c r="E147"/>
  <c r="G147"/>
  <c r="H147"/>
  <c r="E148"/>
  <c r="G148"/>
  <c r="H148"/>
  <c r="E149"/>
  <c r="G149"/>
  <c r="H149"/>
  <c r="E150"/>
  <c r="G150"/>
  <c r="H150"/>
  <c r="E151"/>
  <c r="G151"/>
  <c r="H151"/>
  <c r="E152"/>
  <c r="G152"/>
  <c r="H152"/>
  <c r="E153"/>
  <c r="G153"/>
  <c r="H153"/>
  <c r="E154"/>
  <c r="G154"/>
  <c r="H154"/>
  <c r="E155"/>
  <c r="G155"/>
  <c r="H155"/>
  <c r="E156"/>
  <c r="G156"/>
  <c r="H156"/>
  <c r="E157"/>
  <c r="G157"/>
  <c r="H157"/>
  <c r="E158"/>
  <c r="G158"/>
  <c r="H158"/>
  <c r="E159"/>
  <c r="G159"/>
  <c r="H159"/>
  <c r="E160"/>
  <c r="G160"/>
  <c r="H160"/>
  <c r="E161"/>
  <c r="G161"/>
  <c r="H161"/>
  <c r="E163"/>
  <c r="G163"/>
  <c r="H163"/>
  <c r="E164"/>
  <c r="G164"/>
  <c r="H164"/>
  <c r="E165"/>
  <c r="G165"/>
  <c r="H165"/>
  <c r="E166"/>
  <c r="G166"/>
  <c r="H166"/>
  <c r="E167"/>
  <c r="G167"/>
  <c r="H167"/>
  <c r="E168"/>
  <c r="G168"/>
  <c r="H168"/>
  <c r="E169"/>
  <c r="G169"/>
  <c r="H169"/>
  <c r="E170"/>
  <c r="G170"/>
  <c r="H170"/>
  <c r="E171"/>
  <c r="G171"/>
  <c r="H171"/>
  <c r="E172"/>
  <c r="G172"/>
  <c r="H172"/>
  <c r="E173"/>
  <c r="G173"/>
  <c r="H173"/>
  <c r="E174"/>
  <c r="G174"/>
  <c r="H174"/>
  <c r="E175"/>
  <c r="G175"/>
  <c r="H175"/>
  <c r="E176"/>
  <c r="G176"/>
  <c r="H176"/>
  <c r="E177"/>
  <c r="G177"/>
  <c r="H177"/>
  <c r="E178"/>
  <c r="G178"/>
  <c r="H178"/>
  <c r="E179"/>
  <c r="G179"/>
  <c r="H179"/>
  <c r="E180"/>
  <c r="G180"/>
  <c r="H180"/>
  <c r="E181"/>
  <c r="G181"/>
  <c r="H181"/>
  <c r="E182"/>
  <c r="G182"/>
  <c r="H182"/>
  <c r="E183"/>
  <c r="G183"/>
  <c r="H183"/>
  <c r="E184"/>
  <c r="G184"/>
  <c r="H184"/>
  <c r="E185"/>
  <c r="G185"/>
  <c r="H185"/>
  <c r="E186"/>
  <c r="G186"/>
  <c r="H186"/>
  <c r="E187"/>
  <c r="G187"/>
  <c r="H187"/>
  <c r="E188"/>
  <c r="G188"/>
  <c r="H188"/>
  <c r="E189"/>
  <c r="G189"/>
  <c r="H189"/>
  <c r="E190"/>
  <c r="G190"/>
  <c r="H190"/>
  <c r="E191"/>
  <c r="G191"/>
  <c r="H191"/>
  <c r="E192"/>
  <c r="G192"/>
  <c r="H192"/>
  <c r="E193"/>
  <c r="G193"/>
  <c r="H193"/>
  <c r="E194"/>
  <c r="G194"/>
  <c r="H194"/>
  <c r="E195"/>
  <c r="G195"/>
  <c r="H195"/>
  <c r="E196"/>
  <c r="G196"/>
  <c r="H196"/>
  <c r="E197"/>
  <c r="G197"/>
  <c r="H197"/>
  <c r="E198"/>
  <c r="G198"/>
  <c r="H198"/>
  <c r="E199"/>
  <c r="G199"/>
  <c r="H199"/>
  <c r="E200"/>
  <c r="G200"/>
  <c r="H200"/>
  <c r="E201"/>
  <c r="G201"/>
  <c r="H201"/>
  <c r="E203"/>
  <c r="G203"/>
  <c r="H203"/>
  <c r="E204"/>
  <c r="G204"/>
  <c r="H204"/>
  <c r="E205"/>
  <c r="G205"/>
  <c r="H205"/>
  <c r="E206"/>
  <c r="G206"/>
  <c r="H206"/>
  <c r="E207"/>
  <c r="G207"/>
  <c r="H207"/>
  <c r="E208"/>
  <c r="G208"/>
  <c r="H208"/>
  <c r="E209"/>
  <c r="G209"/>
  <c r="H209"/>
  <c r="E210"/>
  <c r="G210"/>
  <c r="H210"/>
  <c r="E211"/>
  <c r="G211"/>
  <c r="H211"/>
  <c r="E212"/>
  <c r="G212"/>
  <c r="H212"/>
  <c r="E213"/>
  <c r="G213"/>
  <c r="H213"/>
  <c r="E214"/>
  <c r="G214"/>
  <c r="H214"/>
  <c r="E215"/>
  <c r="G215"/>
  <c r="H215"/>
  <c r="E216"/>
  <c r="G216"/>
  <c r="H216"/>
  <c r="E217"/>
  <c r="G217"/>
  <c r="H217"/>
  <c r="E218"/>
  <c r="G218"/>
  <c r="H218"/>
  <c r="E219"/>
  <c r="G219"/>
  <c r="H219"/>
  <c r="E220"/>
  <c r="G220"/>
  <c r="H220"/>
  <c r="E221"/>
  <c r="G221"/>
  <c r="H221"/>
  <c r="E222"/>
  <c r="G222"/>
  <c r="H222"/>
  <c r="E223"/>
  <c r="G223"/>
  <c r="H223"/>
  <c r="E224"/>
  <c r="G224"/>
  <c r="H224"/>
  <c r="E225"/>
  <c r="G225"/>
  <c r="H225"/>
  <c r="E226"/>
  <c r="G226"/>
  <c r="H226"/>
  <c r="E227"/>
  <c r="G227"/>
  <c r="H227"/>
  <c r="E228"/>
  <c r="G228"/>
  <c r="H228"/>
  <c r="E229"/>
  <c r="G229"/>
  <c r="H229"/>
  <c r="E230"/>
  <c r="G230"/>
  <c r="H230"/>
  <c r="E231"/>
  <c r="G231"/>
  <c r="H231"/>
  <c r="E232"/>
  <c r="G232"/>
  <c r="H232"/>
  <c r="E233"/>
  <c r="G233"/>
  <c r="H233"/>
  <c r="E234"/>
  <c r="G234"/>
  <c r="H234"/>
  <c r="E235"/>
  <c r="G235"/>
  <c r="H235"/>
  <c r="E236"/>
  <c r="G236"/>
  <c r="H236"/>
  <c r="E237"/>
  <c r="G237"/>
  <c r="H237"/>
  <c r="E238"/>
  <c r="G238"/>
  <c r="H238"/>
  <c r="E239"/>
  <c r="G239"/>
  <c r="H239"/>
  <c r="E240"/>
  <c r="G240"/>
  <c r="H240"/>
  <c r="E241"/>
  <c r="G241"/>
  <c r="H241"/>
  <c r="E243"/>
  <c r="G243"/>
  <c r="H243"/>
  <c r="E244"/>
  <c r="G244"/>
  <c r="H244"/>
  <c r="E245"/>
  <c r="G245"/>
  <c r="H245"/>
  <c r="E246"/>
  <c r="G246"/>
  <c r="H246"/>
  <c r="E247"/>
  <c r="G247"/>
  <c r="H247"/>
  <c r="E248"/>
  <c r="G248"/>
  <c r="H248"/>
  <c r="E249"/>
  <c r="G249"/>
  <c r="H249"/>
  <c r="E250"/>
  <c r="G250"/>
  <c r="H250"/>
  <c r="E251"/>
  <c r="G251"/>
  <c r="H251"/>
  <c r="E252"/>
  <c r="G252"/>
  <c r="H252"/>
  <c r="E253"/>
  <c r="G253"/>
  <c r="H253"/>
  <c r="E254"/>
  <c r="G254"/>
  <c r="H254"/>
  <c r="E255"/>
  <c r="G255"/>
  <c r="H255"/>
  <c r="E256"/>
  <c r="G256"/>
  <c r="H256"/>
  <c r="E257"/>
  <c r="G257"/>
  <c r="H257"/>
  <c r="E258"/>
  <c r="G258"/>
  <c r="H258"/>
  <c r="E259"/>
  <c r="G259"/>
  <c r="H259"/>
  <c r="E260"/>
  <c r="G260"/>
  <c r="H260"/>
  <c r="E261"/>
  <c r="G261"/>
  <c r="H261"/>
  <c r="E262"/>
  <c r="G262"/>
  <c r="H262"/>
  <c r="E263"/>
  <c r="G263"/>
  <c r="H263"/>
  <c r="E264"/>
  <c r="G264"/>
  <c r="H264"/>
  <c r="E265"/>
  <c r="G265"/>
  <c r="H265"/>
  <c r="E266"/>
  <c r="G266"/>
  <c r="H266"/>
  <c r="E267"/>
  <c r="G267"/>
  <c r="H267"/>
  <c r="E268"/>
  <c r="G268"/>
  <c r="H268"/>
  <c r="E269"/>
  <c r="G269"/>
  <c r="H269"/>
  <c r="E270"/>
  <c r="G270"/>
  <c r="H270"/>
  <c r="E271"/>
  <c r="G271"/>
  <c r="H271"/>
  <c r="E272"/>
  <c r="G272"/>
  <c r="H272"/>
  <c r="E273"/>
  <c r="G273"/>
  <c r="H273"/>
  <c r="E274"/>
  <c r="G274"/>
  <c r="H274"/>
  <c r="E275"/>
  <c r="G275"/>
  <c r="H275"/>
  <c r="E276"/>
  <c r="G276"/>
  <c r="H276"/>
  <c r="E277"/>
  <c r="G277"/>
  <c r="H277"/>
  <c r="E278"/>
  <c r="G278"/>
  <c r="H278"/>
  <c r="E279"/>
  <c r="G279"/>
  <c r="H279"/>
  <c r="E280"/>
  <c r="G280"/>
  <c r="H280"/>
  <c r="E281"/>
  <c r="G281"/>
  <c r="H281"/>
  <c r="E283"/>
  <c r="G283"/>
  <c r="H283"/>
  <c r="E284"/>
  <c r="G284"/>
  <c r="H284"/>
  <c r="E285"/>
  <c r="G285"/>
  <c r="H285"/>
  <c r="E286"/>
  <c r="G286"/>
  <c r="H286"/>
  <c r="E287"/>
  <c r="G287"/>
  <c r="H287"/>
  <c r="E288"/>
  <c r="G288"/>
  <c r="H288"/>
  <c r="E289"/>
  <c r="G289"/>
  <c r="H289"/>
  <c r="E290"/>
  <c r="G290"/>
  <c r="H290"/>
  <c r="E291"/>
  <c r="G291"/>
  <c r="H291"/>
  <c r="E292"/>
  <c r="G292"/>
  <c r="H292"/>
  <c r="E293"/>
  <c r="G293"/>
  <c r="H293"/>
  <c r="E294"/>
  <c r="G294"/>
  <c r="H294"/>
  <c r="E295"/>
  <c r="G295"/>
  <c r="H295"/>
  <c r="E296"/>
  <c r="G296"/>
  <c r="H296"/>
  <c r="E297"/>
  <c r="G297"/>
  <c r="H297"/>
  <c r="E298"/>
  <c r="G298"/>
  <c r="H298"/>
  <c r="E299"/>
  <c r="G299"/>
  <c r="H299"/>
  <c r="E300"/>
  <c r="G300"/>
  <c r="H300"/>
  <c r="E301"/>
  <c r="G301"/>
  <c r="H301"/>
  <c r="E302"/>
  <c r="G302"/>
  <c r="H302"/>
  <c r="E303"/>
  <c r="G303"/>
  <c r="H303"/>
  <c r="E304"/>
  <c r="G304"/>
  <c r="H304"/>
  <c r="E305"/>
  <c r="G305"/>
  <c r="H305"/>
  <c r="E306"/>
  <c r="G306"/>
  <c r="H306"/>
  <c r="E307"/>
  <c r="G307"/>
  <c r="H307"/>
  <c r="E308"/>
  <c r="G308"/>
  <c r="H308"/>
  <c r="E309"/>
  <c r="G309"/>
  <c r="H309"/>
  <c r="E310"/>
  <c r="G310"/>
  <c r="H310"/>
  <c r="E311"/>
  <c r="G311"/>
  <c r="H311"/>
  <c r="E312"/>
  <c r="G312"/>
  <c r="H312"/>
  <c r="E313"/>
  <c r="G313"/>
  <c r="H313"/>
  <c r="E314"/>
  <c r="G314"/>
  <c r="H314"/>
  <c r="E315"/>
  <c r="G315"/>
  <c r="H315"/>
  <c r="E316"/>
  <c r="G316"/>
  <c r="H316"/>
  <c r="E317"/>
  <c r="G317"/>
  <c r="H317"/>
  <c r="E318"/>
  <c r="G318"/>
  <c r="H318"/>
  <c r="E319"/>
  <c r="G319"/>
  <c r="H319"/>
  <c r="E320"/>
  <c r="G320"/>
  <c r="H320"/>
  <c r="E321"/>
  <c r="G321"/>
  <c r="H321"/>
  <c r="E323"/>
  <c r="G323"/>
  <c r="H323"/>
  <c r="E324"/>
  <c r="G324"/>
  <c r="H324"/>
  <c r="E325"/>
  <c r="G325"/>
  <c r="H325"/>
  <c r="E326"/>
  <c r="G326"/>
  <c r="H326"/>
  <c r="E327"/>
  <c r="G327"/>
  <c r="H327"/>
  <c r="E328"/>
  <c r="G328"/>
  <c r="H328"/>
  <c r="E329"/>
  <c r="G329"/>
  <c r="H329"/>
  <c r="E330"/>
  <c r="G330"/>
  <c r="H330"/>
  <c r="E331"/>
  <c r="G331"/>
  <c r="H331"/>
  <c r="E332"/>
  <c r="G332"/>
  <c r="H332"/>
  <c r="E333"/>
  <c r="G333"/>
  <c r="H333"/>
  <c r="E334"/>
  <c r="G334"/>
  <c r="H334"/>
  <c r="E335"/>
  <c r="G335"/>
  <c r="H335"/>
  <c r="E336"/>
  <c r="G336"/>
  <c r="H336"/>
  <c r="E337"/>
  <c r="G337"/>
  <c r="H337"/>
  <c r="E338"/>
  <c r="G338"/>
  <c r="H338"/>
  <c r="E339"/>
  <c r="G339"/>
  <c r="H339"/>
  <c r="E340"/>
  <c r="G340"/>
  <c r="H340"/>
  <c r="E341"/>
  <c r="G341"/>
  <c r="H341"/>
  <c r="E342"/>
  <c r="G342"/>
  <c r="H342"/>
  <c r="E343"/>
  <c r="G343"/>
  <c r="H343"/>
  <c r="E344"/>
  <c r="G344"/>
  <c r="H344"/>
  <c r="E345"/>
  <c r="G345"/>
  <c r="H345"/>
  <c r="E346"/>
  <c r="G346"/>
  <c r="H346"/>
  <c r="E347"/>
  <c r="G347"/>
  <c r="H347"/>
  <c r="E348"/>
  <c r="G348"/>
  <c r="H348"/>
  <c r="E349"/>
  <c r="G349"/>
  <c r="H349"/>
  <c r="E350"/>
  <c r="G350"/>
  <c r="H350"/>
  <c r="E351"/>
  <c r="G351"/>
  <c r="H351"/>
  <c r="E352"/>
  <c r="G352"/>
  <c r="H352"/>
  <c r="E353"/>
  <c r="G353"/>
  <c r="H353"/>
  <c r="E354"/>
  <c r="G354"/>
  <c r="H354"/>
  <c r="E355"/>
  <c r="G355"/>
  <c r="H355"/>
  <c r="E356"/>
  <c r="G356"/>
  <c r="H356"/>
  <c r="E357"/>
  <c r="G357"/>
  <c r="H357"/>
  <c r="E358"/>
  <c r="G358"/>
  <c r="H358"/>
  <c r="E359"/>
  <c r="G359"/>
  <c r="H359"/>
  <c r="E360"/>
  <c r="G360"/>
  <c r="H360"/>
  <c r="E361"/>
  <c r="G361"/>
  <c r="H361"/>
  <c r="E363"/>
  <c r="G363"/>
  <c r="H363"/>
  <c r="E364"/>
  <c r="G364"/>
  <c r="H364"/>
  <c r="E365"/>
  <c r="G365"/>
  <c r="H365"/>
  <c r="E366"/>
  <c r="G366"/>
  <c r="H366"/>
  <c r="E367"/>
  <c r="G367"/>
  <c r="H367"/>
  <c r="E368"/>
  <c r="G368"/>
  <c r="H368"/>
  <c r="E369"/>
  <c r="G369"/>
  <c r="H369"/>
  <c r="E370"/>
  <c r="G370"/>
  <c r="H370"/>
  <c r="E371"/>
  <c r="G371"/>
  <c r="H371"/>
  <c r="E372"/>
  <c r="G372"/>
  <c r="H372"/>
  <c r="E373"/>
  <c r="G373"/>
  <c r="H373"/>
  <c r="E374"/>
  <c r="G374"/>
  <c r="H374"/>
  <c r="E375"/>
  <c r="G375"/>
  <c r="H375"/>
  <c r="E376"/>
  <c r="G376"/>
  <c r="H376"/>
  <c r="E377"/>
  <c r="G377"/>
  <c r="H377"/>
  <c r="E378"/>
  <c r="G378"/>
  <c r="H378"/>
  <c r="E379"/>
  <c r="G379"/>
  <c r="H379"/>
  <c r="E380"/>
  <c r="G380"/>
  <c r="H380"/>
  <c r="E381"/>
  <c r="G381"/>
  <c r="H381"/>
  <c r="E382"/>
  <c r="G382"/>
  <c r="H382"/>
  <c r="E383"/>
  <c r="G383"/>
  <c r="H383"/>
  <c r="E384"/>
  <c r="G384"/>
  <c r="H384"/>
  <c r="E385"/>
  <c r="G385"/>
  <c r="H385"/>
  <c r="E386"/>
  <c r="G386"/>
  <c r="H386"/>
  <c r="E387"/>
  <c r="G387"/>
  <c r="H387"/>
  <c r="E388"/>
  <c r="G388"/>
  <c r="H388"/>
  <c r="E389"/>
  <c r="G389"/>
  <c r="H389"/>
  <c r="E390"/>
  <c r="G390"/>
  <c r="H390"/>
  <c r="E391"/>
  <c r="G391"/>
  <c r="H391"/>
  <c r="E392"/>
  <c r="G392"/>
  <c r="H392"/>
  <c r="E393"/>
  <c r="G393"/>
  <c r="H393"/>
  <c r="E394"/>
  <c r="G394"/>
  <c r="H394"/>
  <c r="E395"/>
  <c r="G395"/>
  <c r="H395"/>
  <c r="E396"/>
  <c r="G396"/>
  <c r="H396"/>
  <c r="E397"/>
  <c r="G397"/>
  <c r="H397"/>
  <c r="E398"/>
  <c r="G398"/>
  <c r="H398"/>
  <c r="E399"/>
  <c r="G399"/>
  <c r="H399"/>
  <c r="E400"/>
  <c r="G400"/>
  <c r="H400"/>
  <c r="E401"/>
  <c r="G401"/>
  <c r="H401"/>
  <c r="E403"/>
  <c r="G403"/>
  <c r="H403"/>
  <c r="E404"/>
  <c r="G404"/>
  <c r="H404"/>
  <c r="E405"/>
  <c r="G405"/>
  <c r="H405"/>
  <c r="E406"/>
  <c r="G406"/>
  <c r="H406"/>
  <c r="E407"/>
  <c r="G407"/>
  <c r="H407"/>
  <c r="E408"/>
  <c r="G408"/>
  <c r="H408"/>
  <c r="E409"/>
  <c r="G409"/>
  <c r="H409"/>
  <c r="E410"/>
  <c r="G410"/>
  <c r="H410"/>
  <c r="E411"/>
  <c r="G411"/>
  <c r="H411"/>
  <c r="E412"/>
  <c r="G412"/>
  <c r="H412"/>
  <c r="E413"/>
  <c r="G413"/>
  <c r="H413"/>
  <c r="E414"/>
  <c r="G414"/>
  <c r="H414"/>
  <c r="E415"/>
  <c r="G415"/>
  <c r="H415"/>
  <c r="E416"/>
  <c r="G416"/>
  <c r="H416"/>
  <c r="E417"/>
  <c r="G417"/>
  <c r="H417"/>
  <c r="E418"/>
  <c r="G418"/>
  <c r="H418"/>
  <c r="E419"/>
  <c r="G419"/>
  <c r="H419"/>
  <c r="E420"/>
  <c r="G420"/>
  <c r="H420"/>
  <c r="E421"/>
  <c r="G421"/>
  <c r="H421"/>
  <c r="E422"/>
  <c r="G422"/>
  <c r="H422"/>
  <c r="E423"/>
  <c r="G423"/>
  <c r="H423"/>
  <c r="E424"/>
  <c r="G424"/>
  <c r="H424"/>
  <c r="E425"/>
  <c r="G425"/>
  <c r="H425"/>
  <c r="E426"/>
  <c r="G426"/>
  <c r="H426"/>
  <c r="E427"/>
  <c r="G427"/>
  <c r="H427"/>
  <c r="E428"/>
  <c r="G428"/>
  <c r="H428"/>
  <c r="E429"/>
  <c r="G429"/>
  <c r="H429"/>
  <c r="E430"/>
  <c r="G430"/>
  <c r="H430"/>
  <c r="E431"/>
  <c r="G431"/>
  <c r="H431"/>
  <c r="E432"/>
  <c r="G432"/>
  <c r="H432"/>
  <c r="E433"/>
  <c r="G433"/>
  <c r="H433"/>
  <c r="E434"/>
  <c r="G434"/>
  <c r="H434"/>
  <c r="E435"/>
  <c r="G435"/>
  <c r="H435"/>
  <c r="E436"/>
  <c r="G436"/>
  <c r="H436"/>
  <c r="E437"/>
  <c r="G437"/>
  <c r="H437"/>
  <c r="E438"/>
  <c r="G438"/>
  <c r="H438"/>
  <c r="E439"/>
  <c r="G439"/>
  <c r="H439"/>
  <c r="E440"/>
  <c r="G440"/>
  <c r="H440"/>
  <c r="E441"/>
  <c r="G441"/>
  <c r="H441"/>
  <c r="E443"/>
  <c r="G443"/>
  <c r="H443"/>
  <c r="E444"/>
  <c r="G444"/>
  <c r="H444"/>
  <c r="E445"/>
  <c r="G445"/>
  <c r="H445"/>
  <c r="E446"/>
  <c r="G446"/>
  <c r="H446"/>
  <c r="E447"/>
  <c r="G447"/>
  <c r="H447"/>
  <c r="E448"/>
  <c r="G448"/>
  <c r="H448"/>
  <c r="E449"/>
  <c r="G449"/>
  <c r="H449"/>
  <c r="E450"/>
  <c r="G450"/>
  <c r="H450"/>
  <c r="E451"/>
  <c r="G451"/>
  <c r="H451"/>
  <c r="E452"/>
  <c r="G452"/>
  <c r="H452"/>
  <c r="E453"/>
  <c r="G453"/>
  <c r="H453"/>
  <c r="E454"/>
  <c r="G454"/>
  <c r="H454"/>
  <c r="E455"/>
  <c r="G455"/>
  <c r="H455"/>
  <c r="E456"/>
  <c r="G456"/>
  <c r="H456"/>
  <c r="E457"/>
  <c r="G457"/>
  <c r="H457"/>
  <c r="E458"/>
  <c r="G458"/>
  <c r="H458"/>
  <c r="E459"/>
  <c r="G459"/>
  <c r="H459"/>
  <c r="E460"/>
  <c r="G460"/>
  <c r="H460"/>
  <c r="E461"/>
  <c r="G461"/>
  <c r="H461"/>
  <c r="E462"/>
  <c r="G462"/>
  <c r="H462"/>
  <c r="E463"/>
  <c r="G463"/>
  <c r="H463"/>
  <c r="E464"/>
  <c r="G464"/>
  <c r="H464"/>
  <c r="E465"/>
  <c r="G465"/>
  <c r="H465"/>
  <c r="E466"/>
  <c r="G466"/>
  <c r="H466"/>
  <c r="E467"/>
  <c r="G467"/>
  <c r="H467"/>
  <c r="E468"/>
  <c r="G468"/>
  <c r="H468"/>
  <c r="E469"/>
  <c r="G469"/>
  <c r="H469"/>
  <c r="E470"/>
  <c r="G470"/>
  <c r="H470"/>
  <c r="E471"/>
  <c r="G471"/>
  <c r="H471"/>
  <c r="E472"/>
  <c r="G472"/>
  <c r="H472"/>
  <c r="E473"/>
  <c r="G473"/>
  <c r="H473"/>
  <c r="E474"/>
  <c r="G474"/>
  <c r="H474"/>
  <c r="E475"/>
  <c r="G475"/>
  <c r="H475"/>
  <c r="E476"/>
  <c r="G476"/>
  <c r="H476"/>
  <c r="E477"/>
  <c r="G477"/>
  <c r="H477"/>
  <c r="E478"/>
  <c r="G478"/>
  <c r="H478"/>
  <c r="E479"/>
  <c r="G479"/>
  <c r="H479"/>
  <c r="E480"/>
  <c r="G480"/>
  <c r="H480"/>
  <c r="E481"/>
  <c r="G481"/>
  <c r="H481"/>
  <c r="E483"/>
  <c r="G483"/>
  <c r="H483"/>
  <c r="E484"/>
  <c r="G484"/>
  <c r="H484"/>
  <c r="E485"/>
  <c r="G485"/>
  <c r="H485"/>
  <c r="E486"/>
  <c r="G486"/>
  <c r="H486"/>
  <c r="E487"/>
  <c r="G487"/>
  <c r="H487"/>
  <c r="E488"/>
  <c r="G488"/>
  <c r="H488"/>
  <c r="E489"/>
  <c r="G489"/>
  <c r="H489"/>
  <c r="E490"/>
  <c r="G490"/>
  <c r="H490"/>
  <c r="E491"/>
  <c r="G491"/>
  <c r="H491"/>
  <c r="E492"/>
  <c r="G492"/>
  <c r="H492"/>
  <c r="E493"/>
  <c r="G493"/>
  <c r="H493"/>
  <c r="E494"/>
  <c r="G494"/>
  <c r="H494"/>
  <c r="E495"/>
  <c r="G495"/>
  <c r="H495"/>
  <c r="E496"/>
  <c r="G496"/>
  <c r="H496"/>
  <c r="E497"/>
  <c r="G497"/>
  <c r="H497"/>
  <c r="E498"/>
  <c r="G498"/>
  <c r="H498"/>
  <c r="E499"/>
  <c r="G499"/>
  <c r="H499"/>
  <c r="E500"/>
  <c r="G500"/>
  <c r="H500"/>
  <c r="E501"/>
  <c r="G501"/>
  <c r="H501"/>
  <c r="E502"/>
  <c r="G502"/>
  <c r="H502"/>
  <c r="E503"/>
  <c r="G503"/>
  <c r="H503"/>
  <c r="E504"/>
  <c r="G504"/>
  <c r="H504"/>
  <c r="E505"/>
  <c r="G505"/>
  <c r="H505"/>
  <c r="E506"/>
  <c r="G506"/>
  <c r="H506"/>
  <c r="E507"/>
  <c r="G507"/>
  <c r="H507"/>
  <c r="E508"/>
  <c r="G508"/>
  <c r="H508"/>
  <c r="E509"/>
  <c r="G509"/>
  <c r="H509"/>
  <c r="E510"/>
  <c r="G510"/>
  <c r="H510"/>
  <c r="E511"/>
  <c r="G511"/>
  <c r="H511"/>
  <c r="E512"/>
  <c r="G512"/>
  <c r="H512"/>
  <c r="E513"/>
  <c r="G513"/>
  <c r="H513"/>
  <c r="E514"/>
  <c r="G514"/>
  <c r="H514"/>
  <c r="E515"/>
  <c r="G515"/>
  <c r="H515"/>
  <c r="E516"/>
  <c r="G516"/>
  <c r="H516"/>
  <c r="E517"/>
  <c r="G517"/>
  <c r="H517"/>
  <c r="E518"/>
  <c r="G518"/>
  <c r="H518"/>
  <c r="E519"/>
  <c r="G519"/>
  <c r="H519"/>
  <c r="E520"/>
  <c r="G520"/>
  <c r="H520"/>
  <c r="E521"/>
  <c r="G521"/>
  <c r="H521"/>
  <c r="E523"/>
  <c r="G523"/>
  <c r="H523"/>
  <c r="E524"/>
  <c r="G524"/>
  <c r="H524"/>
  <c r="E525"/>
  <c r="G525"/>
  <c r="H525"/>
  <c r="E526"/>
  <c r="G526"/>
  <c r="H526"/>
  <c r="E527"/>
  <c r="G527"/>
  <c r="H527"/>
  <c r="E528"/>
  <c r="G528"/>
  <c r="H528"/>
  <c r="E529"/>
  <c r="G529"/>
  <c r="H529"/>
  <c r="E530"/>
  <c r="G530"/>
  <c r="H530"/>
  <c r="E531"/>
  <c r="G531"/>
  <c r="H531"/>
  <c r="E532"/>
  <c r="G532"/>
  <c r="H532"/>
  <c r="E533"/>
  <c r="G533"/>
  <c r="H533"/>
  <c r="E534"/>
  <c r="G534"/>
  <c r="H534"/>
  <c r="E535"/>
  <c r="G535"/>
  <c r="H535"/>
  <c r="E536"/>
  <c r="G536"/>
  <c r="H536"/>
  <c r="E537"/>
  <c r="G537"/>
  <c r="H537"/>
  <c r="E538"/>
  <c r="G538"/>
  <c r="H538"/>
  <c r="E539"/>
  <c r="G539"/>
  <c r="H539"/>
  <c r="E540"/>
  <c r="G540"/>
  <c r="H540"/>
  <c r="E541"/>
  <c r="G541"/>
  <c r="H541"/>
  <c r="E542"/>
  <c r="G542"/>
  <c r="H542"/>
  <c r="E543"/>
  <c r="G543"/>
  <c r="H543"/>
  <c r="E544"/>
  <c r="G544"/>
  <c r="H544"/>
  <c r="E545"/>
  <c r="G545"/>
  <c r="H545"/>
  <c r="E546"/>
  <c r="G546"/>
  <c r="H546"/>
  <c r="E547"/>
  <c r="G547"/>
  <c r="H547"/>
  <c r="E548"/>
  <c r="G548"/>
  <c r="H548"/>
  <c r="E549"/>
  <c r="G549"/>
  <c r="H549"/>
  <c r="E550"/>
  <c r="G550"/>
  <c r="H550"/>
  <c r="E551"/>
  <c r="G551"/>
  <c r="H551"/>
  <c r="E552"/>
  <c r="G552"/>
  <c r="H552"/>
  <c r="E553"/>
  <c r="G553"/>
  <c r="H553"/>
  <c r="E554"/>
  <c r="G554"/>
  <c r="H554"/>
  <c r="E555"/>
  <c r="G555"/>
  <c r="H555"/>
  <c r="E556"/>
  <c r="G556"/>
  <c r="H556"/>
  <c r="E557"/>
  <c r="G557"/>
  <c r="H557"/>
  <c r="E558"/>
  <c r="G558"/>
  <c r="H558"/>
  <c r="E559"/>
  <c r="G559"/>
  <c r="H559"/>
  <c r="E560"/>
  <c r="G560"/>
  <c r="H560"/>
  <c r="E561"/>
  <c r="G561"/>
  <c r="H561"/>
  <c r="E563"/>
  <c r="G563"/>
  <c r="H563"/>
  <c r="E564"/>
  <c r="G564"/>
  <c r="H564"/>
  <c r="E565"/>
  <c r="G565"/>
  <c r="H565"/>
  <c r="E566"/>
  <c r="G566"/>
  <c r="H566"/>
  <c r="E567"/>
  <c r="G567"/>
  <c r="H567"/>
  <c r="E568"/>
  <c r="G568"/>
  <c r="H568"/>
  <c r="E569"/>
  <c r="G569"/>
  <c r="H569"/>
  <c r="E570"/>
  <c r="G570"/>
  <c r="H570"/>
  <c r="E571"/>
  <c r="G571"/>
  <c r="H571"/>
  <c r="E572"/>
  <c r="G572"/>
  <c r="H572"/>
  <c r="E573"/>
  <c r="G573"/>
  <c r="H573"/>
  <c r="E574"/>
  <c r="G574"/>
  <c r="H574"/>
  <c r="E575"/>
  <c r="G575"/>
  <c r="H575"/>
  <c r="E576"/>
  <c r="G576"/>
  <c r="H576"/>
  <c r="E577"/>
  <c r="G577"/>
  <c r="H577"/>
  <c r="E578"/>
  <c r="G578"/>
  <c r="H578"/>
  <c r="E579"/>
  <c r="G579"/>
  <c r="H579"/>
  <c r="E580"/>
  <c r="G580"/>
  <c r="H580"/>
  <c r="E581"/>
  <c r="G581"/>
  <c r="H581"/>
  <c r="E582"/>
  <c r="G582"/>
  <c r="H582"/>
  <c r="E583"/>
  <c r="G583"/>
  <c r="H583"/>
  <c r="E584"/>
  <c r="G584"/>
  <c r="H584"/>
  <c r="E585"/>
  <c r="G585"/>
  <c r="H585"/>
  <c r="E586"/>
  <c r="G586"/>
  <c r="H586"/>
  <c r="E587"/>
  <c r="G587"/>
  <c r="H587"/>
  <c r="E588"/>
  <c r="G588"/>
  <c r="H588"/>
  <c r="E589"/>
  <c r="G589"/>
  <c r="H589"/>
  <c r="E590"/>
  <c r="G590"/>
  <c r="H590"/>
  <c r="E591"/>
  <c r="G591"/>
  <c r="H591"/>
  <c r="E592"/>
  <c r="G592"/>
  <c r="H592"/>
  <c r="E593"/>
  <c r="G593"/>
  <c r="H593"/>
  <c r="E594"/>
  <c r="G594"/>
  <c r="H594"/>
  <c r="E595"/>
  <c r="G595"/>
  <c r="H595"/>
  <c r="E596"/>
  <c r="G596"/>
  <c r="H596"/>
  <c r="E597"/>
  <c r="G597"/>
  <c r="H597"/>
  <c r="E598"/>
  <c r="G598"/>
  <c r="H598"/>
  <c r="E599"/>
  <c r="G599"/>
  <c r="H599"/>
  <c r="E600"/>
  <c r="G600"/>
  <c r="H600"/>
  <c r="E601"/>
  <c r="G601"/>
  <c r="H601"/>
  <c r="E603"/>
  <c r="G603"/>
  <c r="H603"/>
  <c r="E604"/>
  <c r="G604"/>
  <c r="H604"/>
  <c r="E605"/>
  <c r="G605"/>
  <c r="H605"/>
  <c r="E606"/>
  <c r="G606"/>
  <c r="H606"/>
  <c r="E607"/>
  <c r="G607"/>
  <c r="H607"/>
  <c r="E608"/>
  <c r="G608"/>
  <c r="H608"/>
  <c r="E609"/>
  <c r="G609"/>
  <c r="H609"/>
  <c r="E610"/>
  <c r="G610"/>
  <c r="H610"/>
  <c r="E611"/>
  <c r="G611"/>
  <c r="H611"/>
  <c r="E612"/>
  <c r="G612"/>
  <c r="H612"/>
  <c r="E613"/>
  <c r="G613"/>
  <c r="H613"/>
  <c r="E614"/>
  <c r="G614"/>
  <c r="H614"/>
  <c r="E615"/>
  <c r="G615"/>
  <c r="H615"/>
  <c r="E616"/>
  <c r="G616"/>
  <c r="H616"/>
  <c r="E617"/>
  <c r="G617"/>
  <c r="H617"/>
  <c r="E618"/>
  <c r="G618"/>
  <c r="H618"/>
  <c r="E619"/>
  <c r="G619"/>
  <c r="H619"/>
  <c r="E620"/>
  <c r="G620"/>
  <c r="H620"/>
  <c r="E621"/>
  <c r="G621"/>
  <c r="H621"/>
  <c r="E622"/>
  <c r="G622"/>
  <c r="H622"/>
  <c r="E623"/>
  <c r="G623"/>
  <c r="H623"/>
  <c r="E624"/>
  <c r="G624"/>
  <c r="H624"/>
  <c r="E625"/>
  <c r="G625"/>
  <c r="H625"/>
  <c r="E626"/>
  <c r="G626"/>
  <c r="H626"/>
  <c r="E627"/>
  <c r="G627"/>
  <c r="H627"/>
  <c r="E628"/>
  <c r="G628"/>
  <c r="H628"/>
  <c r="E629"/>
  <c r="G629"/>
  <c r="H629"/>
  <c r="E630"/>
  <c r="G630"/>
  <c r="H630"/>
  <c r="E631"/>
  <c r="G631"/>
  <c r="H631"/>
  <c r="E632"/>
  <c r="G632"/>
  <c r="H632"/>
  <c r="E633"/>
  <c r="G633"/>
  <c r="H633"/>
  <c r="E634"/>
  <c r="G634"/>
  <c r="H634"/>
  <c r="E635"/>
  <c r="G635"/>
  <c r="H635"/>
  <c r="E636"/>
  <c r="G636"/>
  <c r="H636"/>
  <c r="E637"/>
  <c r="G637"/>
  <c r="H637"/>
  <c r="E638"/>
  <c r="G638"/>
  <c r="H638"/>
  <c r="E639"/>
  <c r="G639"/>
  <c r="H639"/>
  <c r="E640"/>
  <c r="G640"/>
  <c r="H640"/>
  <c r="E641"/>
  <c r="G641"/>
  <c r="H641"/>
  <c r="E643"/>
  <c r="G643"/>
  <c r="H643"/>
  <c r="E644"/>
  <c r="G644"/>
  <c r="H644"/>
  <c r="E645"/>
  <c r="G645"/>
  <c r="H645"/>
  <c r="E646"/>
  <c r="G646"/>
  <c r="H646"/>
  <c r="E647"/>
  <c r="G647"/>
  <c r="H647"/>
  <c r="E648"/>
  <c r="G648"/>
  <c r="H648"/>
  <c r="E649"/>
  <c r="G649"/>
  <c r="H649"/>
  <c r="E650"/>
  <c r="G650"/>
  <c r="H650"/>
  <c r="E651"/>
  <c r="G651"/>
  <c r="H651"/>
  <c r="E652"/>
  <c r="G652"/>
  <c r="H652"/>
  <c r="E653"/>
  <c r="G653"/>
  <c r="H653"/>
  <c r="E654"/>
  <c r="G654"/>
  <c r="H654"/>
  <c r="E655"/>
  <c r="G655"/>
  <c r="H655"/>
  <c r="E656"/>
  <c r="G656"/>
  <c r="H656"/>
  <c r="E657"/>
  <c r="G657"/>
  <c r="H657"/>
  <c r="E658"/>
  <c r="G658"/>
  <c r="H658"/>
  <c r="E659"/>
  <c r="G659"/>
  <c r="H659"/>
  <c r="E660"/>
  <c r="G660"/>
  <c r="H660"/>
  <c r="E661"/>
  <c r="G661"/>
  <c r="H661"/>
  <c r="E662"/>
  <c r="G662"/>
  <c r="H662"/>
  <c r="E663"/>
  <c r="G663"/>
  <c r="H663"/>
  <c r="E664"/>
  <c r="G664"/>
  <c r="H664"/>
  <c r="E665"/>
  <c r="G665"/>
  <c r="H665"/>
  <c r="E666"/>
  <c r="G666"/>
  <c r="H666"/>
  <c r="E667"/>
  <c r="G667"/>
  <c r="H667"/>
  <c r="E668"/>
  <c r="G668"/>
  <c r="H668"/>
  <c r="E669"/>
  <c r="G669"/>
  <c r="H669"/>
  <c r="E670"/>
  <c r="G670"/>
  <c r="H670"/>
  <c r="E671"/>
  <c r="G671"/>
  <c r="H671"/>
  <c r="E672"/>
  <c r="G672"/>
  <c r="H672"/>
  <c r="E673"/>
  <c r="G673"/>
  <c r="H673"/>
  <c r="E674"/>
  <c r="G674"/>
  <c r="H674"/>
  <c r="E675"/>
  <c r="G675"/>
  <c r="H675"/>
  <c r="E676"/>
  <c r="G676"/>
  <c r="H676"/>
  <c r="E677"/>
  <c r="G677"/>
  <c r="H677"/>
  <c r="E678"/>
  <c r="G678"/>
  <c r="H678"/>
  <c r="E679"/>
  <c r="G679"/>
  <c r="H679"/>
  <c r="E680"/>
  <c r="G680"/>
  <c r="H680"/>
  <c r="E681"/>
  <c r="G681"/>
  <c r="H681"/>
  <c r="E683"/>
  <c r="G683"/>
  <c r="H683"/>
  <c r="E684"/>
  <c r="G684"/>
  <c r="H684"/>
  <c r="E685"/>
  <c r="G685"/>
  <c r="H685"/>
  <c r="E686"/>
  <c r="G686"/>
  <c r="H686"/>
  <c r="E687"/>
  <c r="G687"/>
  <c r="H687"/>
  <c r="E688"/>
  <c r="G688"/>
  <c r="H688"/>
  <c r="E689"/>
  <c r="G689"/>
  <c r="H689"/>
  <c r="E690"/>
  <c r="G690"/>
  <c r="H690"/>
  <c r="E691"/>
  <c r="G691"/>
  <c r="H691"/>
  <c r="E692"/>
  <c r="G692"/>
  <c r="H692"/>
  <c r="E693"/>
  <c r="G693"/>
  <c r="H693"/>
  <c r="E694"/>
  <c r="G694"/>
  <c r="H694"/>
  <c r="E695"/>
  <c r="G695"/>
  <c r="H695"/>
  <c r="E696"/>
  <c r="G696"/>
  <c r="H696"/>
  <c r="E697"/>
  <c r="G697"/>
  <c r="H697"/>
  <c r="E698"/>
  <c r="G698"/>
  <c r="H698"/>
  <c r="E699"/>
  <c r="G699"/>
  <c r="H699"/>
  <c r="E700"/>
  <c r="G700"/>
  <c r="H700"/>
  <c r="E701"/>
  <c r="G701"/>
  <c r="H701"/>
  <c r="E702"/>
  <c r="G702"/>
  <c r="H702"/>
  <c r="E703"/>
  <c r="G703"/>
  <c r="H703"/>
  <c r="E704"/>
  <c r="G704"/>
  <c r="H704"/>
  <c r="E705"/>
  <c r="G705"/>
  <c r="H705"/>
  <c r="E706"/>
  <c r="G706"/>
  <c r="H706"/>
  <c r="E707"/>
  <c r="G707"/>
  <c r="H707"/>
  <c r="E708"/>
  <c r="G708"/>
  <c r="H708"/>
  <c r="E709"/>
  <c r="G709"/>
  <c r="H709"/>
  <c r="E710"/>
  <c r="G710"/>
  <c r="H710"/>
  <c r="E711"/>
  <c r="G711"/>
  <c r="H711"/>
  <c r="E712"/>
  <c r="G712"/>
  <c r="H712"/>
  <c r="E713"/>
  <c r="G713"/>
  <c r="H713"/>
  <c r="E714"/>
  <c r="G714"/>
  <c r="H714"/>
  <c r="E715"/>
  <c r="G715"/>
  <c r="H715"/>
  <c r="E716"/>
  <c r="G716"/>
  <c r="H716"/>
  <c r="E717"/>
  <c r="G717"/>
  <c r="H717"/>
  <c r="E718"/>
  <c r="G718"/>
  <c r="H718"/>
  <c r="E719"/>
  <c r="G719"/>
  <c r="H719"/>
  <c r="E720"/>
  <c r="G720"/>
  <c r="H720"/>
  <c r="E721"/>
  <c r="G721"/>
  <c r="H721"/>
  <c r="I721" l="1"/>
  <c r="J721" s="1"/>
  <c r="I720"/>
  <c r="J720" s="1"/>
  <c r="I719"/>
  <c r="J719" s="1"/>
  <c r="I718"/>
  <c r="J718" s="1"/>
  <c r="I717"/>
  <c r="J717" s="1"/>
  <c r="I716"/>
  <c r="J716" s="1"/>
  <c r="I715"/>
  <c r="J715" s="1"/>
  <c r="I714"/>
  <c r="J714" s="1"/>
  <c r="I713"/>
  <c r="J713" s="1"/>
  <c r="I712"/>
  <c r="J712" s="1"/>
  <c r="I711"/>
  <c r="J711" s="1"/>
  <c r="I710"/>
  <c r="J710" s="1"/>
  <c r="I709"/>
  <c r="J709" s="1"/>
  <c r="I708"/>
  <c r="J708" s="1"/>
  <c r="I707"/>
  <c r="J707" s="1"/>
  <c r="I706"/>
  <c r="J706" s="1"/>
  <c r="I705"/>
  <c r="J705" s="1"/>
  <c r="I704"/>
  <c r="J704" s="1"/>
  <c r="I703"/>
  <c r="J703" s="1"/>
  <c r="I702"/>
  <c r="J702" s="1"/>
  <c r="I701"/>
  <c r="J701" s="1"/>
  <c r="I700"/>
  <c r="J700" s="1"/>
  <c r="I699"/>
  <c r="J699" s="1"/>
  <c r="I698"/>
  <c r="J698" s="1"/>
  <c r="I697"/>
  <c r="J697" s="1"/>
  <c r="I696"/>
  <c r="J696" s="1"/>
  <c r="I695"/>
  <c r="J695" s="1"/>
  <c r="I694"/>
  <c r="J694" s="1"/>
  <c r="I693"/>
  <c r="J693" s="1"/>
  <c r="I692"/>
  <c r="J692" s="1"/>
  <c r="I691"/>
  <c r="J691" s="1"/>
  <c r="I690"/>
  <c r="J690" s="1"/>
  <c r="I689"/>
  <c r="J689" s="1"/>
  <c r="I688"/>
  <c r="J688" s="1"/>
  <c r="I687"/>
  <c r="J687" s="1"/>
  <c r="I686"/>
  <c r="J686" s="1"/>
  <c r="I685"/>
  <c r="J685" s="1"/>
  <c r="I684"/>
  <c r="J684" s="1"/>
  <c r="I683"/>
  <c r="J683" s="1"/>
  <c r="I681"/>
  <c r="J681" s="1"/>
  <c r="I680"/>
  <c r="J680" s="1"/>
  <c r="I679"/>
  <c r="J679" s="1"/>
  <c r="I678"/>
  <c r="J678" s="1"/>
  <c r="I677"/>
  <c r="J677" s="1"/>
  <c r="I676"/>
  <c r="J676" s="1"/>
  <c r="I675"/>
  <c r="J675" s="1"/>
  <c r="I674"/>
  <c r="J674" s="1"/>
  <c r="I673"/>
  <c r="J673" s="1"/>
  <c r="I672"/>
  <c r="J672" s="1"/>
  <c r="I671"/>
  <c r="J671" s="1"/>
  <c r="I670"/>
  <c r="J670" s="1"/>
  <c r="I669"/>
  <c r="J669" s="1"/>
  <c r="I668"/>
  <c r="J668" s="1"/>
  <c r="I667"/>
  <c r="J667" s="1"/>
  <c r="I666"/>
  <c r="J666" s="1"/>
  <c r="I665"/>
  <c r="J665" s="1"/>
  <c r="I664"/>
  <c r="J664" s="1"/>
  <c r="I663"/>
  <c r="J663" s="1"/>
  <c r="I662"/>
  <c r="J662" s="1"/>
  <c r="I661"/>
  <c r="J661" s="1"/>
  <c r="I660"/>
  <c r="J660" s="1"/>
  <c r="I659"/>
  <c r="J659" s="1"/>
  <c r="I658"/>
  <c r="J658" s="1"/>
  <c r="I657"/>
  <c r="J657" s="1"/>
  <c r="I656"/>
  <c r="J656" s="1"/>
  <c r="I655"/>
  <c r="J655" s="1"/>
  <c r="I654"/>
  <c r="J654" s="1"/>
  <c r="I653"/>
  <c r="J653" s="1"/>
  <c r="I652"/>
  <c r="J652" s="1"/>
  <c r="I651"/>
  <c r="J651" s="1"/>
  <c r="I650"/>
  <c r="J650" s="1"/>
  <c r="I649"/>
  <c r="J649" s="1"/>
  <c r="I648"/>
  <c r="J648" s="1"/>
  <c r="I647"/>
  <c r="J647" s="1"/>
  <c r="I646"/>
  <c r="J646" s="1"/>
  <c r="I645"/>
  <c r="J645" s="1"/>
  <c r="I644"/>
  <c r="J644" s="1"/>
  <c r="I643"/>
  <c r="J643" s="1"/>
  <c r="I641"/>
  <c r="J641" s="1"/>
  <c r="I640"/>
  <c r="J640" s="1"/>
  <c r="I639"/>
  <c r="J639" s="1"/>
  <c r="I638"/>
  <c r="J638" s="1"/>
  <c r="I637"/>
  <c r="J637" s="1"/>
  <c r="I636"/>
  <c r="J636" s="1"/>
  <c r="I635"/>
  <c r="J635" s="1"/>
  <c r="I634"/>
  <c r="J634" s="1"/>
  <c r="I633"/>
  <c r="J633" s="1"/>
  <c r="I632"/>
  <c r="J632" s="1"/>
  <c r="I631"/>
  <c r="J631" s="1"/>
  <c r="I630"/>
  <c r="J630" s="1"/>
  <c r="I629"/>
  <c r="J629" s="1"/>
  <c r="I628"/>
  <c r="J628" s="1"/>
  <c r="I627"/>
  <c r="J627" s="1"/>
  <c r="I626"/>
  <c r="J626" s="1"/>
  <c r="I625"/>
  <c r="J625" s="1"/>
  <c r="I624"/>
  <c r="J624" s="1"/>
  <c r="I623"/>
  <c r="J623" s="1"/>
  <c r="I622"/>
  <c r="J622" s="1"/>
  <c r="I621"/>
  <c r="J621" s="1"/>
  <c r="I620"/>
  <c r="J620" s="1"/>
  <c r="I619"/>
  <c r="J619" s="1"/>
  <c r="I618"/>
  <c r="J618" s="1"/>
  <c r="I617"/>
  <c r="J617" s="1"/>
  <c r="I616"/>
  <c r="J616" s="1"/>
  <c r="I615"/>
  <c r="J615" s="1"/>
  <c r="I614"/>
  <c r="J614" s="1"/>
  <c r="I613"/>
  <c r="J613" s="1"/>
  <c r="I612"/>
  <c r="J612" s="1"/>
  <c r="I611"/>
  <c r="J611" s="1"/>
  <c r="I610"/>
  <c r="J610" s="1"/>
  <c r="I609"/>
  <c r="J609" s="1"/>
  <c r="I608"/>
  <c r="J608" s="1"/>
  <c r="I607"/>
  <c r="J607" s="1"/>
  <c r="I606"/>
  <c r="J606" s="1"/>
  <c r="I605"/>
  <c r="J605" s="1"/>
  <c r="I604"/>
  <c r="J604" s="1"/>
  <c r="I603"/>
  <c r="J603" s="1"/>
  <c r="I601"/>
  <c r="J601" s="1"/>
  <c r="I600"/>
  <c r="J600" s="1"/>
  <c r="I599"/>
  <c r="J599" s="1"/>
  <c r="I598"/>
  <c r="J598" s="1"/>
  <c r="I597"/>
  <c r="J597" s="1"/>
  <c r="I596"/>
  <c r="J596" s="1"/>
  <c r="I595"/>
  <c r="J595" s="1"/>
  <c r="I594"/>
  <c r="J594" s="1"/>
  <c r="I593"/>
  <c r="J593" s="1"/>
  <c r="I592"/>
  <c r="J592" s="1"/>
  <c r="I591"/>
  <c r="J591" s="1"/>
  <c r="I590"/>
  <c r="J590" s="1"/>
  <c r="I589"/>
  <c r="J589" s="1"/>
  <c r="I588"/>
  <c r="J588" s="1"/>
  <c r="I587"/>
  <c r="J587" s="1"/>
  <c r="I586"/>
  <c r="J586" s="1"/>
  <c r="I585"/>
  <c r="J585" s="1"/>
  <c r="I584"/>
  <c r="J584" s="1"/>
  <c r="I583"/>
  <c r="J583" s="1"/>
  <c r="I582"/>
  <c r="J582" s="1"/>
  <c r="I581"/>
  <c r="J581" s="1"/>
  <c r="I580"/>
  <c r="J580" s="1"/>
  <c r="I579"/>
  <c r="J579" s="1"/>
  <c r="I578"/>
  <c r="J578" s="1"/>
  <c r="I577"/>
  <c r="J577" s="1"/>
  <c r="I576"/>
  <c r="J576" s="1"/>
  <c r="I575"/>
  <c r="J575" s="1"/>
  <c r="I574"/>
  <c r="J574" s="1"/>
  <c r="I573"/>
  <c r="J573" s="1"/>
  <c r="I572"/>
  <c r="J572" s="1"/>
  <c r="I571"/>
  <c r="J571" s="1"/>
  <c r="I570"/>
  <c r="J570" s="1"/>
  <c r="I569"/>
  <c r="J569" s="1"/>
  <c r="I568"/>
  <c r="J568" s="1"/>
  <c r="I567"/>
  <c r="J567" s="1"/>
  <c r="I566"/>
  <c r="J566" s="1"/>
  <c r="I565"/>
  <c r="J565" s="1"/>
  <c r="I564"/>
  <c r="J564" s="1"/>
  <c r="I563"/>
  <c r="J563" s="1"/>
  <c r="I561"/>
  <c r="J561" s="1"/>
  <c r="I560"/>
  <c r="J560" s="1"/>
  <c r="I559"/>
  <c r="J559" s="1"/>
  <c r="I558"/>
  <c r="J558" s="1"/>
  <c r="I557"/>
  <c r="J557" s="1"/>
  <c r="I556"/>
  <c r="J556" s="1"/>
  <c r="I555"/>
  <c r="J555" s="1"/>
  <c r="I554"/>
  <c r="J554" s="1"/>
  <c r="I553"/>
  <c r="J553" s="1"/>
  <c r="I552"/>
  <c r="J552" s="1"/>
  <c r="I551"/>
  <c r="J551" s="1"/>
  <c r="I550"/>
  <c r="J550" s="1"/>
  <c r="I549"/>
  <c r="J549" s="1"/>
  <c r="I548"/>
  <c r="J548" s="1"/>
  <c r="I547"/>
  <c r="J547" s="1"/>
  <c r="I546"/>
  <c r="J546" s="1"/>
  <c r="I545"/>
  <c r="J545" s="1"/>
  <c r="I544"/>
  <c r="J544" s="1"/>
  <c r="I543"/>
  <c r="J543" s="1"/>
  <c r="I542"/>
  <c r="J542" s="1"/>
  <c r="I541"/>
  <c r="J541" s="1"/>
  <c r="I540"/>
  <c r="J540" s="1"/>
  <c r="I539"/>
  <c r="J539" s="1"/>
  <c r="I538"/>
  <c r="J538" s="1"/>
  <c r="I537"/>
  <c r="J537" s="1"/>
  <c r="I536"/>
  <c r="J536" s="1"/>
  <c r="I535"/>
  <c r="J535" s="1"/>
  <c r="I534"/>
  <c r="J534" s="1"/>
  <c r="I533"/>
  <c r="J533" s="1"/>
  <c r="I532"/>
  <c r="J532" s="1"/>
  <c r="I531"/>
  <c r="J531" s="1"/>
  <c r="I530"/>
  <c r="J530" s="1"/>
  <c r="I529"/>
  <c r="J529" s="1"/>
  <c r="I528"/>
  <c r="J528" s="1"/>
  <c r="I527"/>
  <c r="J527" s="1"/>
  <c r="I526"/>
  <c r="J526" s="1"/>
  <c r="I525"/>
  <c r="J525" s="1"/>
  <c r="I524"/>
  <c r="J524" s="1"/>
  <c r="I523"/>
  <c r="J523" s="1"/>
  <c r="I521"/>
  <c r="J521" s="1"/>
  <c r="I520"/>
  <c r="J520" s="1"/>
  <c r="I519"/>
  <c r="J519" s="1"/>
  <c r="I518"/>
  <c r="J518" s="1"/>
  <c r="I517"/>
  <c r="J517" s="1"/>
  <c r="I516"/>
  <c r="J516" s="1"/>
  <c r="I515"/>
  <c r="J515" s="1"/>
  <c r="I514"/>
  <c r="J514" s="1"/>
  <c r="I513"/>
  <c r="J513" s="1"/>
  <c r="I512"/>
  <c r="J512" s="1"/>
  <c r="I511"/>
  <c r="J511" s="1"/>
  <c r="I510"/>
  <c r="J510" s="1"/>
  <c r="I509"/>
  <c r="J509" s="1"/>
  <c r="I508"/>
  <c r="J508" s="1"/>
  <c r="I507"/>
  <c r="J507" s="1"/>
  <c r="I506"/>
  <c r="J506" s="1"/>
  <c r="I505"/>
  <c r="J505" s="1"/>
  <c r="I504"/>
  <c r="J504" s="1"/>
  <c r="I503"/>
  <c r="J503" s="1"/>
  <c r="I502"/>
  <c r="J502" s="1"/>
  <c r="I501"/>
  <c r="J501" s="1"/>
  <c r="I500"/>
  <c r="J500" s="1"/>
  <c r="I499"/>
  <c r="J499" s="1"/>
  <c r="I498"/>
  <c r="J498" s="1"/>
  <c r="I497"/>
  <c r="J497" s="1"/>
  <c r="I496"/>
  <c r="J496" s="1"/>
  <c r="I495"/>
  <c r="J495" s="1"/>
  <c r="I494"/>
  <c r="J494" s="1"/>
  <c r="I493"/>
  <c r="J493" s="1"/>
  <c r="I492"/>
  <c r="J492" s="1"/>
  <c r="I491"/>
  <c r="J491" s="1"/>
  <c r="I490"/>
  <c r="J490" s="1"/>
  <c r="I489"/>
  <c r="J489" s="1"/>
  <c r="I488"/>
  <c r="J488" s="1"/>
  <c r="I487"/>
  <c r="J487" s="1"/>
  <c r="I486"/>
  <c r="J486" s="1"/>
  <c r="I485"/>
  <c r="J485" s="1"/>
  <c r="I484"/>
  <c r="J484" s="1"/>
  <c r="I483"/>
  <c r="J483" s="1"/>
  <c r="I481"/>
  <c r="J481" s="1"/>
  <c r="I480"/>
  <c r="J480" s="1"/>
  <c r="I479"/>
  <c r="J479" s="1"/>
  <c r="I478"/>
  <c r="J478" s="1"/>
  <c r="I477"/>
  <c r="J477" s="1"/>
  <c r="I476"/>
  <c r="J476" s="1"/>
  <c r="I475"/>
  <c r="J475" s="1"/>
  <c r="I474"/>
  <c r="J474" s="1"/>
  <c r="I473"/>
  <c r="J473" s="1"/>
  <c r="I472"/>
  <c r="J472" s="1"/>
  <c r="I471"/>
  <c r="J471" s="1"/>
  <c r="I470"/>
  <c r="J470" s="1"/>
  <c r="I469"/>
  <c r="J469" s="1"/>
  <c r="I468"/>
  <c r="J468" s="1"/>
  <c r="I467"/>
  <c r="J467" s="1"/>
  <c r="I466"/>
  <c r="J466" s="1"/>
  <c r="I465"/>
  <c r="J465" s="1"/>
  <c r="I464"/>
  <c r="J464" s="1"/>
  <c r="I463"/>
  <c r="J463" s="1"/>
  <c r="I462"/>
  <c r="J462" s="1"/>
  <c r="I461"/>
  <c r="J461" s="1"/>
  <c r="I460"/>
  <c r="J460" s="1"/>
  <c r="I459"/>
  <c r="J459" s="1"/>
  <c r="I458"/>
  <c r="J458" s="1"/>
  <c r="I457"/>
  <c r="J457" s="1"/>
  <c r="I456"/>
  <c r="J456" s="1"/>
  <c r="I455"/>
  <c r="J455" s="1"/>
  <c r="I454"/>
  <c r="J454" s="1"/>
  <c r="I453"/>
  <c r="J453" s="1"/>
  <c r="I452"/>
  <c r="J452" s="1"/>
  <c r="I451"/>
  <c r="J451" s="1"/>
  <c r="I450"/>
  <c r="J450" s="1"/>
  <c r="I449"/>
  <c r="J449" s="1"/>
  <c r="I448"/>
  <c r="J448" s="1"/>
  <c r="I447"/>
  <c r="J447" s="1"/>
  <c r="I446"/>
  <c r="J446" s="1"/>
  <c r="I445"/>
  <c r="J445" s="1"/>
  <c r="I444"/>
  <c r="J444" s="1"/>
  <c r="I443"/>
  <c r="J443" s="1"/>
  <c r="I441"/>
  <c r="J441" s="1"/>
  <c r="I440"/>
  <c r="J440" s="1"/>
  <c r="I439"/>
  <c r="J439" s="1"/>
  <c r="I438"/>
  <c r="J438" s="1"/>
  <c r="I437"/>
  <c r="J437" s="1"/>
  <c r="I436"/>
  <c r="J436" s="1"/>
  <c r="I435"/>
  <c r="J435" s="1"/>
  <c r="I434"/>
  <c r="J434" s="1"/>
  <c r="I433"/>
  <c r="J433" s="1"/>
  <c r="I432"/>
  <c r="J432" s="1"/>
  <c r="I431"/>
  <c r="J431" s="1"/>
  <c r="I430"/>
  <c r="J430" s="1"/>
  <c r="I429"/>
  <c r="J429" s="1"/>
  <c r="I428"/>
  <c r="J428" s="1"/>
  <c r="I427"/>
  <c r="J427" s="1"/>
  <c r="I426"/>
  <c r="J426" s="1"/>
  <c r="I425"/>
  <c r="J425" s="1"/>
  <c r="I424"/>
  <c r="J424" s="1"/>
  <c r="I423"/>
  <c r="J423" s="1"/>
  <c r="I422"/>
  <c r="J422" s="1"/>
  <c r="I421"/>
  <c r="J421" s="1"/>
  <c r="I420"/>
  <c r="J420" s="1"/>
  <c r="I419"/>
  <c r="J419" s="1"/>
  <c r="I418"/>
  <c r="J418" s="1"/>
  <c r="I417"/>
  <c r="J417" s="1"/>
  <c r="I416"/>
  <c r="J416" s="1"/>
  <c r="I415"/>
  <c r="J415" s="1"/>
  <c r="I414"/>
  <c r="J414" s="1"/>
  <c r="I413"/>
  <c r="J413" s="1"/>
  <c r="I412"/>
  <c r="J412" s="1"/>
  <c r="I411"/>
  <c r="J411" s="1"/>
  <c r="I410"/>
  <c r="J410" s="1"/>
  <c r="I409"/>
  <c r="J409" s="1"/>
  <c r="I408"/>
  <c r="J408" s="1"/>
  <c r="I407"/>
  <c r="J407" s="1"/>
  <c r="I406"/>
  <c r="J406" s="1"/>
  <c r="I405"/>
  <c r="J405" s="1"/>
  <c r="I404"/>
  <c r="J404" s="1"/>
  <c r="I403"/>
  <c r="J403" s="1"/>
  <c r="I401"/>
  <c r="J401" s="1"/>
  <c r="I400"/>
  <c r="J400" s="1"/>
  <c r="I399"/>
  <c r="J399" s="1"/>
  <c r="I398"/>
  <c r="J398" s="1"/>
  <c r="I397"/>
  <c r="J397" s="1"/>
  <c r="I396"/>
  <c r="J396" s="1"/>
  <c r="I395"/>
  <c r="J395" s="1"/>
  <c r="I394"/>
  <c r="J394" s="1"/>
  <c r="I393"/>
  <c r="J393" s="1"/>
  <c r="I392"/>
  <c r="J392" s="1"/>
  <c r="I391"/>
  <c r="J391" s="1"/>
  <c r="I390"/>
  <c r="J390" s="1"/>
  <c r="I389"/>
  <c r="J389" s="1"/>
  <c r="I388"/>
  <c r="J388" s="1"/>
  <c r="I387"/>
  <c r="J387" s="1"/>
  <c r="I386"/>
  <c r="J386" s="1"/>
  <c r="I385"/>
  <c r="J385" s="1"/>
  <c r="I384"/>
  <c r="J384" s="1"/>
  <c r="I383"/>
  <c r="J383" s="1"/>
  <c r="I382"/>
  <c r="J382" s="1"/>
  <c r="I381"/>
  <c r="J381" s="1"/>
  <c r="I380"/>
  <c r="J380" s="1"/>
  <c r="I379"/>
  <c r="J379" s="1"/>
  <c r="I378"/>
  <c r="J378" s="1"/>
  <c r="I377"/>
  <c r="J377" s="1"/>
  <c r="I376"/>
  <c r="J376" s="1"/>
  <c r="I375"/>
  <c r="J375" s="1"/>
  <c r="I374"/>
  <c r="J374" s="1"/>
  <c r="I373"/>
  <c r="J373" s="1"/>
  <c r="I372"/>
  <c r="J372" s="1"/>
  <c r="I371"/>
  <c r="J371" s="1"/>
  <c r="I370"/>
  <c r="J370" s="1"/>
  <c r="I369"/>
  <c r="J369" s="1"/>
  <c r="I368"/>
  <c r="J368" s="1"/>
  <c r="I367"/>
  <c r="J367" s="1"/>
  <c r="I366"/>
  <c r="J366" s="1"/>
  <c r="I365"/>
  <c r="J365" s="1"/>
  <c r="I364"/>
  <c r="J364" s="1"/>
  <c r="I363"/>
  <c r="J363" s="1"/>
  <c r="I361"/>
  <c r="J361" s="1"/>
  <c r="I360"/>
  <c r="J360" s="1"/>
  <c r="I359"/>
  <c r="J359" s="1"/>
  <c r="I358"/>
  <c r="J358" s="1"/>
  <c r="I357"/>
  <c r="J357" s="1"/>
  <c r="I356"/>
  <c r="J356" s="1"/>
  <c r="I355"/>
  <c r="J355" s="1"/>
  <c r="I354"/>
  <c r="J354" s="1"/>
  <c r="I353"/>
  <c r="J353" s="1"/>
  <c r="I352"/>
  <c r="J352" s="1"/>
  <c r="I351"/>
  <c r="J351" s="1"/>
  <c r="I350"/>
  <c r="J350" s="1"/>
  <c r="I349"/>
  <c r="J349" s="1"/>
  <c r="I348"/>
  <c r="J348" s="1"/>
  <c r="I347"/>
  <c r="J347" s="1"/>
  <c r="I346"/>
  <c r="J346" s="1"/>
  <c r="I345"/>
  <c r="J345" s="1"/>
  <c r="I344"/>
  <c r="J344" s="1"/>
  <c r="I343"/>
  <c r="J343" s="1"/>
  <c r="I342"/>
  <c r="J342" s="1"/>
  <c r="I341"/>
  <c r="J341" s="1"/>
  <c r="I340"/>
  <c r="J340" s="1"/>
  <c r="I339"/>
  <c r="J339" s="1"/>
  <c r="I338"/>
  <c r="J338" s="1"/>
  <c r="I337"/>
  <c r="J337" s="1"/>
  <c r="I336"/>
  <c r="J336" s="1"/>
  <c r="I335"/>
  <c r="J335" s="1"/>
  <c r="I334"/>
  <c r="J334" s="1"/>
  <c r="I333"/>
  <c r="J333" s="1"/>
  <c r="I332"/>
  <c r="J332" s="1"/>
  <c r="I331"/>
  <c r="J331" s="1"/>
  <c r="I330"/>
  <c r="J330" s="1"/>
  <c r="I329"/>
  <c r="J329" s="1"/>
  <c r="I328"/>
  <c r="J328" s="1"/>
  <c r="I327"/>
  <c r="J327" s="1"/>
  <c r="I326"/>
  <c r="J326" s="1"/>
  <c r="I325"/>
  <c r="J325" s="1"/>
  <c r="I324"/>
  <c r="J324" s="1"/>
  <c r="I323"/>
  <c r="J323" s="1"/>
  <c r="I321"/>
  <c r="J321" s="1"/>
  <c r="I320"/>
  <c r="J320" s="1"/>
  <c r="I319"/>
  <c r="J319" s="1"/>
  <c r="I318"/>
  <c r="J318" s="1"/>
  <c r="I317"/>
  <c r="J317" s="1"/>
  <c r="I316"/>
  <c r="J316" s="1"/>
  <c r="I315"/>
  <c r="J315" s="1"/>
  <c r="I314"/>
  <c r="J314" s="1"/>
  <c r="I313"/>
  <c r="J313" s="1"/>
  <c r="I312"/>
  <c r="J312" s="1"/>
  <c r="I311"/>
  <c r="J311" s="1"/>
  <c r="I310"/>
  <c r="J310" s="1"/>
  <c r="I309"/>
  <c r="J309" s="1"/>
  <c r="I308"/>
  <c r="J308" s="1"/>
  <c r="I307"/>
  <c r="J307" s="1"/>
  <c r="I306"/>
  <c r="J306" s="1"/>
  <c r="I305"/>
  <c r="J305" s="1"/>
  <c r="I304"/>
  <c r="J304" s="1"/>
  <c r="I303"/>
  <c r="J303" s="1"/>
  <c r="I302"/>
  <c r="J302" s="1"/>
  <c r="I301"/>
  <c r="J301" s="1"/>
  <c r="I300"/>
  <c r="J300" s="1"/>
  <c r="I299"/>
  <c r="J299" s="1"/>
  <c r="I298"/>
  <c r="J298" s="1"/>
  <c r="I297"/>
  <c r="J297" s="1"/>
  <c r="I296"/>
  <c r="J296" s="1"/>
  <c r="I295"/>
  <c r="J295" s="1"/>
  <c r="I294"/>
  <c r="J294" s="1"/>
  <c r="I293"/>
  <c r="J293" s="1"/>
  <c r="I292"/>
  <c r="J292" s="1"/>
  <c r="I291"/>
  <c r="J291" s="1"/>
  <c r="I290"/>
  <c r="J290" s="1"/>
  <c r="I289"/>
  <c r="J289" s="1"/>
  <c r="I288"/>
  <c r="J288" s="1"/>
  <c r="I287"/>
  <c r="J287" s="1"/>
  <c r="I286"/>
  <c r="J286" s="1"/>
  <c r="I285"/>
  <c r="J285" s="1"/>
  <c r="I284"/>
  <c r="J284" s="1"/>
  <c r="I283"/>
  <c r="J283" s="1"/>
  <c r="I281"/>
  <c r="J281" s="1"/>
  <c r="I280"/>
  <c r="J280" s="1"/>
  <c r="I279"/>
  <c r="J279" s="1"/>
  <c r="I278"/>
  <c r="J278" s="1"/>
  <c r="I277"/>
  <c r="J277" s="1"/>
  <c r="I276"/>
  <c r="J276" s="1"/>
  <c r="I275"/>
  <c r="J275" s="1"/>
  <c r="I274"/>
  <c r="J274" s="1"/>
  <c r="I273"/>
  <c r="J273" s="1"/>
  <c r="I272"/>
  <c r="J272" s="1"/>
  <c r="I271"/>
  <c r="J271" s="1"/>
  <c r="I270"/>
  <c r="J270" s="1"/>
  <c r="I269"/>
  <c r="J269" s="1"/>
  <c r="I268"/>
  <c r="J268" s="1"/>
  <c r="I267"/>
  <c r="J267" s="1"/>
  <c r="I266"/>
  <c r="J266" s="1"/>
  <c r="I265"/>
  <c r="J265" s="1"/>
  <c r="I264"/>
  <c r="J264" s="1"/>
  <c r="I263"/>
  <c r="J263" s="1"/>
  <c r="I262"/>
  <c r="J262" s="1"/>
  <c r="I261"/>
  <c r="J261" s="1"/>
  <c r="I260"/>
  <c r="J260" s="1"/>
  <c r="I259"/>
  <c r="J259" s="1"/>
  <c r="I258"/>
  <c r="J258" s="1"/>
  <c r="I257"/>
  <c r="J257" s="1"/>
  <c r="I256"/>
  <c r="J256" s="1"/>
  <c r="I255"/>
  <c r="J255" s="1"/>
  <c r="I254"/>
  <c r="J254" s="1"/>
  <c r="I253"/>
  <c r="J253" s="1"/>
  <c r="I252"/>
  <c r="J252" s="1"/>
  <c r="I251"/>
  <c r="J251" s="1"/>
  <c r="I250"/>
  <c r="J250" s="1"/>
  <c r="I249"/>
  <c r="J249" s="1"/>
  <c r="I248"/>
  <c r="J248" s="1"/>
  <c r="I247"/>
  <c r="J247" s="1"/>
  <c r="I246"/>
  <c r="J246" s="1"/>
  <c r="I245"/>
  <c r="J245" s="1"/>
  <c r="I244"/>
  <c r="J244" s="1"/>
  <c r="I243"/>
  <c r="J243" s="1"/>
  <c r="I241"/>
  <c r="J241" s="1"/>
  <c r="I240"/>
  <c r="J240" s="1"/>
  <c r="I239"/>
  <c r="J239" s="1"/>
  <c r="I238"/>
  <c r="J238" s="1"/>
  <c r="I237"/>
  <c r="J237" s="1"/>
  <c r="I236"/>
  <c r="J236" s="1"/>
  <c r="I235"/>
  <c r="J235" s="1"/>
  <c r="I234"/>
  <c r="J234" s="1"/>
  <c r="I233"/>
  <c r="J233" s="1"/>
  <c r="I232"/>
  <c r="J232" s="1"/>
  <c r="I231"/>
  <c r="J231" s="1"/>
  <c r="I230"/>
  <c r="J230" s="1"/>
  <c r="I229"/>
  <c r="J229" s="1"/>
  <c r="I228"/>
  <c r="J228" s="1"/>
  <c r="I227"/>
  <c r="J227" s="1"/>
  <c r="I226"/>
  <c r="J226" s="1"/>
  <c r="I225"/>
  <c r="J225" s="1"/>
  <c r="I224"/>
  <c r="J224" s="1"/>
  <c r="I223"/>
  <c r="J223" s="1"/>
  <c r="I222"/>
  <c r="J222" s="1"/>
  <c r="I221"/>
  <c r="J221" s="1"/>
  <c r="I220"/>
  <c r="J220" s="1"/>
  <c r="I219"/>
  <c r="J219" s="1"/>
  <c r="I218"/>
  <c r="J218" s="1"/>
  <c r="I217"/>
  <c r="J217" s="1"/>
  <c r="I216"/>
  <c r="J216" s="1"/>
  <c r="I215"/>
  <c r="J215" s="1"/>
  <c r="I214"/>
  <c r="J214" s="1"/>
  <c r="I213"/>
  <c r="J213" s="1"/>
  <c r="I212"/>
  <c r="J212" s="1"/>
  <c r="I211"/>
  <c r="J211" s="1"/>
  <c r="I210"/>
  <c r="J210" s="1"/>
  <c r="I209"/>
  <c r="J209" s="1"/>
  <c r="I208"/>
  <c r="J208" s="1"/>
  <c r="I207"/>
  <c r="J207" s="1"/>
  <c r="I206"/>
  <c r="J206" s="1"/>
  <c r="I205"/>
  <c r="J205" s="1"/>
  <c r="I204"/>
  <c r="J204" s="1"/>
  <c r="I203"/>
  <c r="J203" s="1"/>
  <c r="I201"/>
  <c r="J201" s="1"/>
  <c r="I200"/>
  <c r="J200" s="1"/>
  <c r="I199"/>
  <c r="J199" s="1"/>
  <c r="I198"/>
  <c r="J198" s="1"/>
  <c r="I197"/>
  <c r="J197" s="1"/>
  <c r="I196"/>
  <c r="J196" s="1"/>
  <c r="I195"/>
  <c r="J195" s="1"/>
  <c r="I194"/>
  <c r="J194" s="1"/>
  <c r="I193"/>
  <c r="J193" s="1"/>
  <c r="I192"/>
  <c r="J192" s="1"/>
  <c r="I191"/>
  <c r="J191" s="1"/>
  <c r="I190"/>
  <c r="J190" s="1"/>
  <c r="I189"/>
  <c r="J189" s="1"/>
  <c r="I188"/>
  <c r="J188" s="1"/>
  <c r="I187"/>
  <c r="J187" s="1"/>
  <c r="I186"/>
  <c r="J186" s="1"/>
  <c r="I185"/>
  <c r="J185" s="1"/>
  <c r="I184"/>
  <c r="J184" s="1"/>
  <c r="I183"/>
  <c r="J183" s="1"/>
  <c r="I182"/>
  <c r="J182" s="1"/>
  <c r="I181"/>
  <c r="J181" s="1"/>
  <c r="I180"/>
  <c r="J180" s="1"/>
  <c r="I179"/>
  <c r="J179" s="1"/>
  <c r="I178"/>
  <c r="J178" s="1"/>
  <c r="I177"/>
  <c r="J177" s="1"/>
  <c r="I176"/>
  <c r="J176" s="1"/>
  <c r="I175"/>
  <c r="J175" s="1"/>
  <c r="I174"/>
  <c r="J174" s="1"/>
  <c r="I173"/>
  <c r="J173" s="1"/>
  <c r="I172"/>
  <c r="J172" s="1"/>
  <c r="I171"/>
  <c r="J171" s="1"/>
  <c r="I170"/>
  <c r="J170" s="1"/>
  <c r="I169"/>
  <c r="J169" s="1"/>
  <c r="I168"/>
  <c r="J168" s="1"/>
  <c r="I167"/>
  <c r="J167" s="1"/>
  <c r="I166"/>
  <c r="J166" s="1"/>
  <c r="I165"/>
  <c r="J165" s="1"/>
  <c r="I164"/>
  <c r="J164" s="1"/>
  <c r="I163"/>
  <c r="J163" s="1"/>
  <c r="I161"/>
  <c r="J161" s="1"/>
  <c r="I160"/>
  <c r="J160" s="1"/>
  <c r="I159"/>
  <c r="J159" s="1"/>
  <c r="I158"/>
  <c r="J158" s="1"/>
  <c r="I157"/>
  <c r="J157" s="1"/>
  <c r="I156"/>
  <c r="J156" s="1"/>
  <c r="I155"/>
  <c r="J155" s="1"/>
  <c r="I154"/>
  <c r="J154" s="1"/>
  <c r="I153"/>
  <c r="J153" s="1"/>
  <c r="I152"/>
  <c r="J152" s="1"/>
  <c r="I151"/>
  <c r="J151" s="1"/>
  <c r="I150"/>
  <c r="J150" s="1"/>
  <c r="I149"/>
  <c r="J149" s="1"/>
  <c r="I148"/>
  <c r="J148" s="1"/>
  <c r="I147"/>
  <c r="J147" s="1"/>
  <c r="I146"/>
  <c r="J146" s="1"/>
  <c r="I145"/>
  <c r="J145" s="1"/>
  <c r="I144"/>
  <c r="J144" s="1"/>
  <c r="I143"/>
  <c r="J143" s="1"/>
  <c r="I142"/>
  <c r="J142" s="1"/>
  <c r="I141"/>
  <c r="J141" s="1"/>
  <c r="I140"/>
  <c r="J140" s="1"/>
  <c r="I139"/>
  <c r="J139" s="1"/>
  <c r="I138"/>
  <c r="J138" s="1"/>
  <c r="I137"/>
  <c r="J137" s="1"/>
  <c r="I136"/>
  <c r="J136" s="1"/>
  <c r="I135"/>
  <c r="J135" s="1"/>
  <c r="I134"/>
  <c r="J134" s="1"/>
  <c r="I133"/>
  <c r="J133" s="1"/>
  <c r="I132"/>
  <c r="J132" s="1"/>
  <c r="I131"/>
  <c r="J131" s="1"/>
  <c r="I130"/>
  <c r="J130" s="1"/>
  <c r="I129"/>
  <c r="J129" s="1"/>
  <c r="I128"/>
  <c r="J128" s="1"/>
  <c r="I127"/>
  <c r="J127" s="1"/>
  <c r="I126"/>
  <c r="J126" s="1"/>
  <c r="I125"/>
  <c r="J125" s="1"/>
  <c r="I124"/>
  <c r="J124" s="1"/>
  <c r="I123"/>
  <c r="J123" s="1"/>
  <c r="I121"/>
  <c r="J121" s="1"/>
  <c r="I120"/>
  <c r="J120" s="1"/>
  <c r="I119"/>
  <c r="J119" s="1"/>
  <c r="I118"/>
  <c r="J118" s="1"/>
  <c r="I117"/>
  <c r="J117" s="1"/>
  <c r="I116"/>
  <c r="J116" s="1"/>
  <c r="I115"/>
  <c r="J115" s="1"/>
  <c r="I114"/>
  <c r="J114" s="1"/>
  <c r="I113"/>
  <c r="J113" s="1"/>
  <c r="I112"/>
  <c r="J112" s="1"/>
  <c r="I111"/>
  <c r="J111" s="1"/>
  <c r="I110"/>
  <c r="J110" s="1"/>
  <c r="I109"/>
  <c r="J109" s="1"/>
  <c r="I108"/>
  <c r="J108" s="1"/>
  <c r="I107"/>
  <c r="J107" s="1"/>
  <c r="I106"/>
  <c r="J106" s="1"/>
  <c r="I105"/>
  <c r="J105" s="1"/>
  <c r="I104"/>
  <c r="J104" s="1"/>
  <c r="I103"/>
  <c r="J103" s="1"/>
  <c r="I102"/>
  <c r="J102" s="1"/>
  <c r="I101"/>
  <c r="J101" s="1"/>
  <c r="I100"/>
  <c r="J100" s="1"/>
  <c r="I99"/>
  <c r="J99" s="1"/>
  <c r="I98"/>
  <c r="J98" s="1"/>
  <c r="I97"/>
  <c r="J97" s="1"/>
  <c r="I96"/>
  <c r="J96" s="1"/>
  <c r="I95"/>
  <c r="J95" s="1"/>
  <c r="I94"/>
  <c r="J94" s="1"/>
  <c r="I93"/>
  <c r="J93" s="1"/>
  <c r="I92"/>
  <c r="J92" s="1"/>
  <c r="I91"/>
  <c r="J91" s="1"/>
  <c r="I90"/>
  <c r="J90" s="1"/>
  <c r="I89"/>
  <c r="J89" s="1"/>
  <c r="I88"/>
  <c r="J88" s="1"/>
  <c r="I87"/>
  <c r="J87" s="1"/>
  <c r="I86"/>
  <c r="J86" s="1"/>
  <c r="I85"/>
  <c r="J85" s="1"/>
  <c r="I84"/>
  <c r="J84" s="1"/>
  <c r="I83"/>
  <c r="J83" s="1"/>
  <c r="I81"/>
  <c r="J81" s="1"/>
  <c r="I80"/>
  <c r="J80" s="1"/>
  <c r="I79"/>
  <c r="J79" s="1"/>
  <c r="I78"/>
  <c r="J78" s="1"/>
  <c r="I77"/>
  <c r="J77" s="1"/>
  <c r="I76"/>
  <c r="J76" s="1"/>
  <c r="I75"/>
  <c r="J75" s="1"/>
  <c r="I74"/>
  <c r="J74" s="1"/>
  <c r="I73"/>
  <c r="J73" s="1"/>
  <c r="I72"/>
  <c r="J72" s="1"/>
  <c r="I71"/>
  <c r="J71" s="1"/>
  <c r="I70"/>
  <c r="J70" s="1"/>
  <c r="I69"/>
  <c r="J69" s="1"/>
  <c r="I68"/>
  <c r="J68" s="1"/>
  <c r="I67"/>
  <c r="J67" s="1"/>
  <c r="I66"/>
  <c r="J66" s="1"/>
  <c r="I65"/>
  <c r="J65" s="1"/>
  <c r="I64"/>
  <c r="J64" s="1"/>
  <c r="I63"/>
  <c r="J63" s="1"/>
  <c r="I62"/>
  <c r="J62" s="1"/>
  <c r="I61"/>
  <c r="J61" s="1"/>
  <c r="I60"/>
  <c r="J60" s="1"/>
  <c r="I59"/>
  <c r="J59" s="1"/>
  <c r="I58"/>
  <c r="J58" s="1"/>
  <c r="I57"/>
  <c r="J57" s="1"/>
  <c r="I56"/>
  <c r="J56" s="1"/>
  <c r="I55"/>
  <c r="J55" s="1"/>
  <c r="I54"/>
  <c r="J54" s="1"/>
  <c r="I53"/>
  <c r="J53" s="1"/>
  <c r="I52"/>
  <c r="J52" s="1"/>
  <c r="I51"/>
  <c r="J51" s="1"/>
  <c r="I50"/>
  <c r="J50" s="1"/>
  <c r="I49"/>
  <c r="J49" s="1"/>
  <c r="I48"/>
  <c r="J48" s="1"/>
  <c r="I47"/>
  <c r="J47" s="1"/>
  <c r="I46"/>
  <c r="J46" s="1"/>
  <c r="I45"/>
  <c r="J45" s="1"/>
  <c r="I44"/>
  <c r="J44" s="1"/>
  <c r="I43"/>
  <c r="J43" s="1"/>
  <c r="I41"/>
  <c r="J41" s="1"/>
  <c r="I40"/>
  <c r="J40" s="1"/>
  <c r="I39"/>
  <c r="J39" s="1"/>
  <c r="I38"/>
  <c r="J38" s="1"/>
  <c r="I37"/>
  <c r="J37" s="1"/>
  <c r="I36"/>
  <c r="J36" s="1"/>
  <c r="I35"/>
  <c r="J35" s="1"/>
  <c r="I34"/>
  <c r="J34" s="1"/>
  <c r="I33"/>
  <c r="J33" s="1"/>
  <c r="I32"/>
  <c r="J32" s="1"/>
  <c r="I31"/>
  <c r="J31" s="1"/>
  <c r="I30"/>
  <c r="J30" s="1"/>
  <c r="I29"/>
  <c r="J29" s="1"/>
  <c r="I28"/>
  <c r="J28" s="1"/>
  <c r="I27"/>
  <c r="J27" s="1"/>
  <c r="I26"/>
  <c r="J26" s="1"/>
  <c r="I25"/>
  <c r="J25" s="1"/>
  <c r="I24"/>
  <c r="J24" s="1"/>
  <c r="I23"/>
  <c r="J23" s="1"/>
  <c r="I22"/>
  <c r="J22" s="1"/>
  <c r="I21"/>
  <c r="J21" s="1"/>
  <c r="I20"/>
  <c r="J20" s="1"/>
  <c r="I19"/>
  <c r="J19" s="1"/>
  <c r="I18"/>
  <c r="J18" s="1"/>
  <c r="I17"/>
  <c r="J17" s="1"/>
  <c r="I16"/>
  <c r="J16" s="1"/>
  <c r="I15"/>
  <c r="J15" s="1"/>
  <c r="I14"/>
  <c r="J14" s="1"/>
  <c r="I13"/>
  <c r="J13" s="1"/>
  <c r="I12"/>
  <c r="J12" s="1"/>
  <c r="I11"/>
  <c r="J11" s="1"/>
  <c r="I10"/>
  <c r="J10" s="1"/>
  <c r="I9"/>
  <c r="J9" s="1"/>
  <c r="I8"/>
  <c r="J8" s="1"/>
  <c r="I7"/>
  <c r="J7" s="1"/>
  <c r="I6"/>
  <c r="J6" s="1"/>
  <c r="I5"/>
  <c r="J5" s="1"/>
  <c r="I4"/>
  <c r="J4" s="1"/>
  <c r="I3"/>
  <c r="J3" s="1"/>
  <c r="H682"/>
  <c r="D87" i="9"/>
  <c r="H642" i="6"/>
  <c r="D82" i="9"/>
  <c r="H602" i="6"/>
  <c r="D77" i="9"/>
  <c r="H562" i="6"/>
  <c r="D72" i="9"/>
  <c r="H522" i="6"/>
  <c r="D67" i="9"/>
  <c r="H482" i="6"/>
  <c r="D62" i="9"/>
  <c r="H442" i="6"/>
  <c r="D57" i="9"/>
  <c r="H402" i="6"/>
  <c r="D52" i="9"/>
  <c r="H362" i="6"/>
  <c r="D47" i="9"/>
  <c r="H322" i="6"/>
  <c r="D42" i="9"/>
  <c r="H282" i="6"/>
  <c r="D37" i="9"/>
  <c r="H242" i="6"/>
  <c r="D32" i="9"/>
  <c r="H202" i="6"/>
  <c r="D27" i="9"/>
  <c r="H162" i="6"/>
  <c r="D22" i="9"/>
  <c r="H122" i="6"/>
  <c r="D17" i="9"/>
  <c r="H82" i="6"/>
  <c r="D12" i="9"/>
  <c r="H42" i="6"/>
  <c r="D7" i="9"/>
  <c r="E7" l="1"/>
  <c r="D8"/>
  <c r="I42" i="6"/>
  <c r="J42" s="1"/>
  <c r="E12" i="9"/>
  <c r="D13"/>
  <c r="I82" i="6"/>
  <c r="J82" s="1"/>
  <c r="E17" i="9"/>
  <c r="D18"/>
  <c r="I122" i="6"/>
  <c r="J122" s="1"/>
  <c r="E22" i="9"/>
  <c r="D23"/>
  <c r="I162" i="6"/>
  <c r="J162" s="1"/>
  <c r="E27" i="9"/>
  <c r="D28"/>
  <c r="I202" i="6"/>
  <c r="J202" s="1"/>
  <c r="E32" i="9"/>
  <c r="D33"/>
  <c r="I242" i="6"/>
  <c r="J242" s="1"/>
  <c r="E37" i="9"/>
  <c r="D38"/>
  <c r="I282" i="6"/>
  <c r="J282" s="1"/>
  <c r="E42" i="9"/>
  <c r="D43"/>
  <c r="I322" i="6"/>
  <c r="J322" s="1"/>
  <c r="E47" i="9"/>
  <c r="D48"/>
  <c r="I362" i="6"/>
  <c r="J362" s="1"/>
  <c r="E52" i="9"/>
  <c r="D53"/>
  <c r="I402" i="6"/>
  <c r="J402" s="1"/>
  <c r="E57" i="9"/>
  <c r="D58"/>
  <c r="I442" i="6"/>
  <c r="J442" s="1"/>
  <c r="E62" i="9"/>
  <c r="D63"/>
  <c r="I482" i="6"/>
  <c r="J482" s="1"/>
  <c r="E67" i="9"/>
  <c r="D68"/>
  <c r="I522" i="6"/>
  <c r="J522" s="1"/>
  <c r="E72" i="9"/>
  <c r="D73"/>
  <c r="I562" i="6"/>
  <c r="J562" s="1"/>
  <c r="E77" i="9"/>
  <c r="D78"/>
  <c r="I602" i="6"/>
  <c r="J602" s="1"/>
  <c r="E82" i="9"/>
  <c r="D83"/>
  <c r="I642" i="6"/>
  <c r="J642" s="1"/>
  <c r="E87" i="9"/>
  <c r="D88"/>
  <c r="I682" i="6"/>
  <c r="J682" s="1"/>
  <c r="E88" i="9" l="1"/>
  <c r="D89"/>
  <c r="F87"/>
  <c r="H87" s="1"/>
  <c r="G87"/>
  <c r="E83"/>
  <c r="D84"/>
  <c r="F82"/>
  <c r="H82" s="1"/>
  <c r="G82"/>
  <c r="E78"/>
  <c r="D79"/>
  <c r="F77"/>
  <c r="H77" s="1"/>
  <c r="G77"/>
  <c r="E73"/>
  <c r="D74"/>
  <c r="F72"/>
  <c r="H72" s="1"/>
  <c r="G72"/>
  <c r="E68"/>
  <c r="D69"/>
  <c r="F67"/>
  <c r="H67" s="1"/>
  <c r="G67"/>
  <c r="E63"/>
  <c r="D64"/>
  <c r="F62"/>
  <c r="H62" s="1"/>
  <c r="G62"/>
  <c r="E58"/>
  <c r="D59"/>
  <c r="F57"/>
  <c r="H57" s="1"/>
  <c r="G57"/>
  <c r="E53"/>
  <c r="D54"/>
  <c r="F52"/>
  <c r="H52" s="1"/>
  <c r="G52"/>
  <c r="E48"/>
  <c r="D49"/>
  <c r="F47"/>
  <c r="H47" s="1"/>
  <c r="G47"/>
  <c r="E43"/>
  <c r="D44"/>
  <c r="F42"/>
  <c r="H42" s="1"/>
  <c r="G42"/>
  <c r="E38"/>
  <c r="D39"/>
  <c r="F37"/>
  <c r="H37" s="1"/>
  <c r="G37"/>
  <c r="E33"/>
  <c r="D34"/>
  <c r="F32"/>
  <c r="H32" s="1"/>
  <c r="G32"/>
  <c r="E28"/>
  <c r="D29"/>
  <c r="F27"/>
  <c r="H27" s="1"/>
  <c r="G27"/>
  <c r="E23"/>
  <c r="D24"/>
  <c r="F22"/>
  <c r="H22" s="1"/>
  <c r="G22"/>
  <c r="E18"/>
  <c r="D19"/>
  <c r="F17"/>
  <c r="H17" s="1"/>
  <c r="G17"/>
  <c r="E13"/>
  <c r="D14"/>
  <c r="F12"/>
  <c r="H12" s="1"/>
  <c r="G12"/>
  <c r="E8"/>
  <c r="D9"/>
  <c r="F7"/>
  <c r="H7" s="1"/>
  <c r="G7"/>
  <c r="D11" l="1"/>
  <c r="E11" s="1"/>
  <c r="E9"/>
  <c r="F8"/>
  <c r="H8" s="1"/>
  <c r="G8"/>
  <c r="D16"/>
  <c r="E16" s="1"/>
  <c r="E14"/>
  <c r="F13"/>
  <c r="H13" s="1"/>
  <c r="G13"/>
  <c r="D21"/>
  <c r="E21" s="1"/>
  <c r="E19"/>
  <c r="F18"/>
  <c r="H18" s="1"/>
  <c r="G18"/>
  <c r="D26"/>
  <c r="E26" s="1"/>
  <c r="E24"/>
  <c r="F23"/>
  <c r="H23" s="1"/>
  <c r="G23"/>
  <c r="D31"/>
  <c r="E31" s="1"/>
  <c r="E29"/>
  <c r="F28"/>
  <c r="H28" s="1"/>
  <c r="G28"/>
  <c r="D36"/>
  <c r="E36" s="1"/>
  <c r="E34"/>
  <c r="F33"/>
  <c r="H33" s="1"/>
  <c r="G33"/>
  <c r="D41"/>
  <c r="E41" s="1"/>
  <c r="E39"/>
  <c r="F38"/>
  <c r="H38" s="1"/>
  <c r="G38"/>
  <c r="D46"/>
  <c r="E46" s="1"/>
  <c r="E44"/>
  <c r="F43"/>
  <c r="H43" s="1"/>
  <c r="G43"/>
  <c r="D51"/>
  <c r="E51" s="1"/>
  <c r="E49"/>
  <c r="F48"/>
  <c r="H48" s="1"/>
  <c r="G48"/>
  <c r="D56"/>
  <c r="E56" s="1"/>
  <c r="E54"/>
  <c r="F53"/>
  <c r="H53" s="1"/>
  <c r="G53"/>
  <c r="D61"/>
  <c r="E61" s="1"/>
  <c r="E59"/>
  <c r="F58"/>
  <c r="H58" s="1"/>
  <c r="G58"/>
  <c r="E64"/>
  <c r="D66"/>
  <c r="E66" s="1"/>
  <c r="F63"/>
  <c r="H63" s="1"/>
  <c r="G63"/>
  <c r="E69"/>
  <c r="D71"/>
  <c r="E71" s="1"/>
  <c r="F68"/>
  <c r="H68" s="1"/>
  <c r="G68"/>
  <c r="E74"/>
  <c r="D76"/>
  <c r="E76" s="1"/>
  <c r="F73"/>
  <c r="H73" s="1"/>
  <c r="G73"/>
  <c r="E79"/>
  <c r="D81"/>
  <c r="E81" s="1"/>
  <c r="F78"/>
  <c r="H78" s="1"/>
  <c r="G78"/>
  <c r="E84"/>
  <c r="D86"/>
  <c r="E86" s="1"/>
  <c r="F83"/>
  <c r="H83" s="1"/>
  <c r="G83"/>
  <c r="E89"/>
  <c r="D91"/>
  <c r="E91" s="1"/>
  <c r="F88"/>
  <c r="H88" s="1"/>
  <c r="G88"/>
  <c r="F91" l="1"/>
  <c r="H91" s="1"/>
  <c r="G91"/>
  <c r="F89"/>
  <c r="H89" s="1"/>
  <c r="G89"/>
  <c r="F86"/>
  <c r="H86" s="1"/>
  <c r="G86"/>
  <c r="F84"/>
  <c r="H84" s="1"/>
  <c r="G84"/>
  <c r="F81"/>
  <c r="H81" s="1"/>
  <c r="G81"/>
  <c r="F79"/>
  <c r="H79" s="1"/>
  <c r="G79"/>
  <c r="F76"/>
  <c r="H76" s="1"/>
  <c r="G76"/>
  <c r="F74"/>
  <c r="H74" s="1"/>
  <c r="G74"/>
  <c r="F71"/>
  <c r="H71" s="1"/>
  <c r="G71"/>
  <c r="F69"/>
  <c r="H69" s="1"/>
  <c r="G69"/>
  <c r="F66"/>
  <c r="H66" s="1"/>
  <c r="G66"/>
  <c r="F64"/>
  <c r="H64" s="1"/>
  <c r="G64"/>
  <c r="F59"/>
  <c r="H59" s="1"/>
  <c r="G59"/>
  <c r="F61"/>
  <c r="H61" s="1"/>
  <c r="G61"/>
  <c r="F54"/>
  <c r="H54" s="1"/>
  <c r="G54"/>
  <c r="F56"/>
  <c r="H56" s="1"/>
  <c r="G56"/>
  <c r="F49"/>
  <c r="H49" s="1"/>
  <c r="G49"/>
  <c r="F51"/>
  <c r="H51" s="1"/>
  <c r="G51"/>
  <c r="F44"/>
  <c r="H44" s="1"/>
  <c r="G44"/>
  <c r="F46"/>
  <c r="H46" s="1"/>
  <c r="G46"/>
  <c r="F39"/>
  <c r="H39" s="1"/>
  <c r="G39"/>
  <c r="F41"/>
  <c r="H41" s="1"/>
  <c r="G41"/>
  <c r="F34"/>
  <c r="H34" s="1"/>
  <c r="G34"/>
  <c r="F36"/>
  <c r="H36" s="1"/>
  <c r="G36"/>
  <c r="F29"/>
  <c r="H29" s="1"/>
  <c r="G29"/>
  <c r="F31"/>
  <c r="H31" s="1"/>
  <c r="G31"/>
  <c r="F24"/>
  <c r="H24" s="1"/>
  <c r="G24"/>
  <c r="F26"/>
  <c r="H26" s="1"/>
  <c r="G26"/>
  <c r="F19"/>
  <c r="H19" s="1"/>
  <c r="G19"/>
  <c r="F21"/>
  <c r="H21" s="1"/>
  <c r="G21"/>
  <c r="F14"/>
  <c r="H14" s="1"/>
  <c r="G14"/>
  <c r="F16"/>
  <c r="H16" s="1"/>
  <c r="G16"/>
  <c r="F9"/>
  <c r="H9" s="1"/>
  <c r="G9"/>
  <c r="F11"/>
  <c r="H11" s="1"/>
  <c r="G11"/>
  <c r="E2" i="6"/>
  <c r="G2"/>
  <c r="B723"/>
  <c r="B5" i="11" l="1"/>
  <c r="B4" i="8"/>
  <c r="B4" i="7"/>
  <c r="D4" s="1"/>
  <c r="H2" i="6"/>
  <c r="D2" i="9"/>
  <c r="E2" l="1"/>
  <c r="D3"/>
  <c r="B724" i="6"/>
  <c r="I2"/>
  <c r="J2" s="1"/>
  <c r="E4" i="7"/>
  <c r="B3" i="12"/>
  <c r="C3" s="1"/>
  <c r="C2" i="10"/>
  <c r="B2" l="1"/>
  <c r="D2"/>
  <c r="B9" i="11"/>
  <c r="B10" s="1"/>
  <c r="F4" i="7"/>
  <c r="B19" i="12"/>
  <c r="C19" s="1"/>
  <c r="B5" i="8"/>
  <c r="B7" i="12" s="1"/>
  <c r="C7" s="1"/>
  <c r="B5" i="7"/>
  <c r="D5" s="1"/>
  <c r="B725" i="6"/>
  <c r="E3" i="9"/>
  <c r="D4"/>
  <c r="G2"/>
  <c r="F2"/>
  <c r="H2" s="1"/>
  <c r="E4" l="1"/>
  <c r="D6"/>
  <c r="E6" s="1"/>
  <c r="F3"/>
  <c r="H3" s="1"/>
  <c r="G3"/>
  <c r="B6" i="7"/>
  <c r="B9" s="1"/>
  <c r="B10" s="1"/>
  <c r="B726" i="6"/>
  <c r="B6" i="8"/>
  <c r="E5" i="7"/>
  <c r="D6"/>
  <c r="D7" l="1"/>
  <c r="D9"/>
  <c r="D10" s="1"/>
  <c r="F5"/>
  <c r="F6" s="1"/>
  <c r="F9" s="1"/>
  <c r="E6"/>
  <c r="C3" i="10"/>
  <c r="B11" i="12"/>
  <c r="C11" s="1"/>
  <c r="B9" i="8"/>
  <c r="B7" i="7"/>
  <c r="B7" i="8"/>
  <c r="C4" i="10" s="1"/>
  <c r="F6" i="9"/>
  <c r="H6" s="1"/>
  <c r="G6"/>
  <c r="F4"/>
  <c r="H4" s="1"/>
  <c r="G4"/>
  <c r="B10" i="8" l="1"/>
  <c r="C6" i="10" s="1"/>
  <c r="B8" i="11"/>
  <c r="B15" i="12"/>
  <c r="C15" s="1"/>
  <c r="C5" i="10"/>
  <c r="C23" i="12"/>
  <c r="B3" i="10"/>
  <c r="B4" s="1"/>
  <c r="D3"/>
  <c r="D4" s="1"/>
  <c r="E7" i="7"/>
  <c r="F7" s="1"/>
  <c r="E9"/>
  <c r="E10" s="1"/>
  <c r="F10" s="1"/>
  <c r="B5" i="10" l="1"/>
  <c r="B6" s="1"/>
  <c r="D5"/>
  <c r="D6" s="1"/>
  <c r="K93" i="14"/>
  <c r="J93"/>
  <c r="I93"/>
  <c r="H93"/>
  <c r="G93"/>
  <c r="F93"/>
  <c r="E93"/>
  <c r="D93"/>
  <c r="K92"/>
  <c r="J92"/>
  <c r="I92"/>
  <c r="H92"/>
  <c r="G92"/>
  <c r="F92"/>
  <c r="E92"/>
  <c r="D92"/>
  <c r="K91"/>
  <c r="J91"/>
  <c r="I91"/>
  <c r="H91"/>
  <c r="G91"/>
  <c r="F91"/>
  <c r="E91"/>
  <c r="D91"/>
  <c r="K90"/>
  <c r="J90"/>
  <c r="I90"/>
  <c r="H90"/>
  <c r="G90"/>
  <c r="F90"/>
  <c r="E90"/>
  <c r="D90"/>
  <c r="K89"/>
  <c r="J89"/>
  <c r="I89"/>
  <c r="H89"/>
  <c r="G89"/>
  <c r="F89"/>
  <c r="E89"/>
  <c r="D89"/>
  <c r="K88"/>
  <c r="J88"/>
  <c r="I88"/>
  <c r="H88"/>
  <c r="G88"/>
  <c r="F88"/>
  <c r="E88"/>
  <c r="D88"/>
  <c r="K87"/>
  <c r="J87"/>
  <c r="I87"/>
  <c r="H87"/>
  <c r="G87"/>
  <c r="F87"/>
  <c r="E87"/>
  <c r="D87"/>
  <c r="K86"/>
  <c r="J86"/>
  <c r="I86"/>
  <c r="H86"/>
  <c r="G86"/>
  <c r="F86"/>
  <c r="E86"/>
  <c r="D86"/>
  <c r="K85"/>
  <c r="J85"/>
  <c r="I85"/>
  <c r="H85"/>
  <c r="G85"/>
  <c r="F85"/>
  <c r="E85"/>
  <c r="D85"/>
  <c r="K84"/>
  <c r="J84"/>
  <c r="I84"/>
  <c r="H84"/>
  <c r="G84"/>
  <c r="F84"/>
  <c r="E84"/>
  <c r="D84"/>
  <c r="K83"/>
  <c r="J83"/>
  <c r="I83"/>
  <c r="H83"/>
  <c r="G83"/>
  <c r="F83"/>
  <c r="E83"/>
  <c r="D83"/>
  <c r="K82"/>
  <c r="J82"/>
  <c r="I82"/>
  <c r="H82"/>
  <c r="G82"/>
  <c r="F82"/>
  <c r="E82"/>
  <c r="D82"/>
  <c r="K81"/>
  <c r="J81"/>
  <c r="I81"/>
  <c r="H81"/>
  <c r="G81"/>
  <c r="F81"/>
  <c r="E81"/>
  <c r="D81"/>
  <c r="K80"/>
  <c r="J80"/>
  <c r="I80"/>
  <c r="H80"/>
  <c r="G80"/>
  <c r="F80"/>
  <c r="E80"/>
  <c r="D80"/>
  <c r="K79"/>
  <c r="J79"/>
  <c r="I79"/>
  <c r="H79"/>
  <c r="G79"/>
  <c r="F79"/>
  <c r="E79"/>
  <c r="D79"/>
  <c r="K78"/>
  <c r="J78"/>
  <c r="I78"/>
  <c r="H78"/>
  <c r="G78"/>
  <c r="F78"/>
  <c r="E78"/>
  <c r="D78"/>
  <c r="K77"/>
  <c r="J77"/>
  <c r="I77"/>
  <c r="H77"/>
  <c r="G77"/>
  <c r="F77"/>
  <c r="E77"/>
  <c r="D77"/>
  <c r="K76"/>
  <c r="J76"/>
  <c r="I76"/>
  <c r="H76"/>
  <c r="G76"/>
  <c r="F76"/>
  <c r="E76"/>
  <c r="D76"/>
  <c r="K75"/>
  <c r="J75"/>
  <c r="I75"/>
  <c r="H75"/>
  <c r="G75"/>
  <c r="F75"/>
  <c r="E75"/>
  <c r="D75"/>
  <c r="K74"/>
  <c r="J74"/>
  <c r="I74"/>
  <c r="H74"/>
  <c r="G74"/>
  <c r="F74"/>
  <c r="E74"/>
  <c r="D74"/>
  <c r="K73"/>
  <c r="J73"/>
  <c r="I73"/>
  <c r="H73"/>
  <c r="G73"/>
  <c r="F73"/>
  <c r="E73"/>
  <c r="D73"/>
  <c r="K72"/>
  <c r="J72"/>
  <c r="I72"/>
  <c r="H72"/>
  <c r="G72"/>
  <c r="F72"/>
  <c r="E72"/>
  <c r="D72"/>
  <c r="K71"/>
  <c r="J71"/>
  <c r="I71"/>
  <c r="H71"/>
  <c r="G71"/>
  <c r="F71"/>
  <c r="E71"/>
  <c r="D71"/>
  <c r="K70"/>
  <c r="J70"/>
  <c r="I70"/>
  <c r="H70"/>
  <c r="G70"/>
  <c r="F70"/>
  <c r="E70"/>
  <c r="D70"/>
  <c r="K69"/>
  <c r="J69"/>
  <c r="I69"/>
  <c r="H69"/>
  <c r="G69"/>
  <c r="F69"/>
  <c r="E69"/>
  <c r="D69"/>
  <c r="K68"/>
  <c r="J68"/>
  <c r="I68"/>
  <c r="H68"/>
  <c r="G68"/>
  <c r="F68"/>
  <c r="E68"/>
  <c r="D68"/>
  <c r="K67"/>
  <c r="J67"/>
  <c r="I67"/>
  <c r="H67"/>
  <c r="G67"/>
  <c r="F67"/>
  <c r="E67"/>
  <c r="D67"/>
  <c r="K66"/>
  <c r="J66"/>
  <c r="I66"/>
  <c r="H66"/>
  <c r="G66"/>
  <c r="F66"/>
  <c r="E66"/>
  <c r="D66"/>
  <c r="K65"/>
  <c r="J65"/>
  <c r="I65"/>
  <c r="H65"/>
  <c r="G65"/>
  <c r="F65"/>
  <c r="E65"/>
  <c r="D65"/>
  <c r="K64"/>
  <c r="J64"/>
  <c r="I64"/>
  <c r="H64"/>
  <c r="G64"/>
  <c r="F64"/>
  <c r="E64"/>
  <c r="D64"/>
  <c r="K63"/>
  <c r="J63"/>
  <c r="I63"/>
  <c r="H63"/>
  <c r="G63"/>
  <c r="F63"/>
  <c r="E63"/>
  <c r="D63"/>
  <c r="K62"/>
  <c r="J62"/>
  <c r="I62"/>
  <c r="H62"/>
  <c r="G62"/>
  <c r="F62"/>
  <c r="E62"/>
  <c r="D62"/>
  <c r="K61"/>
  <c r="J61"/>
  <c r="I61"/>
  <c r="H61"/>
  <c r="G61"/>
  <c r="F61"/>
  <c r="E61"/>
  <c r="D61"/>
  <c r="K60"/>
  <c r="J60"/>
  <c r="I60"/>
  <c r="H60"/>
  <c r="G60"/>
  <c r="F60"/>
  <c r="E60"/>
  <c r="D60"/>
  <c r="K59"/>
  <c r="J59"/>
  <c r="I59"/>
  <c r="H59"/>
  <c r="G59"/>
  <c r="F59"/>
  <c r="E59"/>
  <c r="D59"/>
  <c r="K58"/>
  <c r="J58"/>
  <c r="I58"/>
  <c r="H58"/>
  <c r="G58"/>
  <c r="F58"/>
  <c r="E58"/>
  <c r="D58"/>
  <c r="K57"/>
  <c r="J57"/>
  <c r="I57"/>
  <c r="H57"/>
  <c r="G57"/>
  <c r="F57"/>
  <c r="E57"/>
  <c r="D57"/>
  <c r="K56"/>
  <c r="J56"/>
  <c r="I56"/>
  <c r="H56"/>
  <c r="G56"/>
  <c r="F56"/>
  <c r="E56"/>
  <c r="D56"/>
  <c r="K55"/>
  <c r="J55"/>
  <c r="I55"/>
  <c r="H55"/>
  <c r="G55"/>
  <c r="F55"/>
  <c r="E55"/>
  <c r="D55"/>
  <c r="K54"/>
  <c r="J54"/>
  <c r="I54"/>
  <c r="H54"/>
  <c r="G54"/>
  <c r="F54"/>
  <c r="E54"/>
  <c r="D54"/>
  <c r="K53"/>
  <c r="J53"/>
  <c r="I53"/>
  <c r="H53"/>
  <c r="G53"/>
  <c r="F53"/>
  <c r="E53"/>
  <c r="D53"/>
  <c r="K52"/>
  <c r="J52"/>
  <c r="I52"/>
  <c r="H52"/>
  <c r="G52"/>
  <c r="F52"/>
  <c r="E52"/>
  <c r="D52"/>
  <c r="K51"/>
  <c r="J51"/>
  <c r="I51"/>
  <c r="H51"/>
  <c r="G51"/>
  <c r="F51"/>
  <c r="E51"/>
  <c r="D51"/>
  <c r="K50"/>
  <c r="J50"/>
  <c r="I50"/>
  <c r="H50"/>
  <c r="G50"/>
  <c r="F50"/>
  <c r="E50"/>
  <c r="D50"/>
  <c r="K49"/>
  <c r="J49"/>
  <c r="I49"/>
  <c r="H49"/>
  <c r="G49"/>
  <c r="F49"/>
  <c r="E49"/>
  <c r="D49"/>
  <c r="K48"/>
  <c r="J48"/>
  <c r="I48"/>
  <c r="H48"/>
  <c r="G48"/>
  <c r="F48"/>
  <c r="E48"/>
  <c r="D48"/>
  <c r="K47"/>
  <c r="J47"/>
  <c r="I47"/>
  <c r="H47"/>
  <c r="G47"/>
  <c r="F47"/>
  <c r="E47"/>
  <c r="D47"/>
  <c r="K46"/>
  <c r="J46"/>
  <c r="I46"/>
  <c r="H46"/>
  <c r="G46"/>
  <c r="F46"/>
  <c r="E46"/>
  <c r="D46"/>
  <c r="K45"/>
  <c r="J45"/>
  <c r="I45"/>
  <c r="H45"/>
  <c r="G45"/>
  <c r="F45"/>
  <c r="E45"/>
  <c r="D45"/>
  <c r="K44"/>
  <c r="J44"/>
  <c r="I44"/>
  <c r="H44"/>
  <c r="G44"/>
  <c r="F44"/>
  <c r="E44"/>
  <c r="D44"/>
  <c r="K43"/>
  <c r="J43"/>
  <c r="I43"/>
  <c r="H43"/>
  <c r="G43"/>
  <c r="F43"/>
  <c r="E43"/>
  <c r="D43"/>
  <c r="K42"/>
  <c r="J42"/>
  <c r="I42"/>
  <c r="H42"/>
  <c r="G42"/>
  <c r="F42"/>
  <c r="E42"/>
  <c r="D42"/>
  <c r="K41"/>
  <c r="J41"/>
  <c r="I41"/>
  <c r="H41"/>
  <c r="G41"/>
  <c r="F41"/>
  <c r="E41"/>
  <c r="D41"/>
  <c r="K40"/>
  <c r="J40"/>
  <c r="I40"/>
  <c r="H40"/>
  <c r="G40"/>
  <c r="F40"/>
  <c r="E40"/>
  <c r="D40"/>
  <c r="K39"/>
  <c r="J39"/>
  <c r="I39"/>
  <c r="H39"/>
  <c r="G39"/>
  <c r="F39"/>
  <c r="E39"/>
  <c r="D39"/>
  <c r="K38"/>
  <c r="J38"/>
  <c r="I38"/>
  <c r="H38"/>
  <c r="G38"/>
  <c r="F38"/>
  <c r="E38"/>
  <c r="D38"/>
  <c r="K37"/>
  <c r="J37"/>
  <c r="I37"/>
  <c r="H37"/>
  <c r="G37"/>
  <c r="F37"/>
  <c r="E37"/>
  <c r="D37"/>
  <c r="K36"/>
  <c r="J36"/>
  <c r="I36"/>
  <c r="H36"/>
  <c r="G36"/>
  <c r="F36"/>
  <c r="E36"/>
  <c r="D36"/>
  <c r="K35"/>
  <c r="J35"/>
  <c r="I35"/>
  <c r="H35"/>
  <c r="G35"/>
  <c r="F35"/>
  <c r="E35"/>
  <c r="D35"/>
  <c r="K34"/>
  <c r="J34"/>
  <c r="I34"/>
  <c r="H34"/>
  <c r="G34"/>
  <c r="F34"/>
  <c r="E34"/>
  <c r="D34"/>
  <c r="K33"/>
  <c r="J33"/>
  <c r="I33"/>
  <c r="H33"/>
  <c r="G33"/>
  <c r="F33"/>
  <c r="E33"/>
  <c r="D33"/>
  <c r="K32"/>
  <c r="J32"/>
  <c r="I32"/>
  <c r="H32"/>
  <c r="G32"/>
  <c r="F32"/>
  <c r="E32"/>
  <c r="D32"/>
  <c r="K31"/>
  <c r="J31"/>
  <c r="I31"/>
  <c r="H31"/>
  <c r="G31"/>
  <c r="F31"/>
  <c r="E31"/>
  <c r="D31"/>
  <c r="K30"/>
  <c r="J30"/>
  <c r="I30"/>
  <c r="H30"/>
  <c r="G30"/>
  <c r="F30"/>
  <c r="E30"/>
  <c r="D30"/>
  <c r="K29"/>
  <c r="J29"/>
  <c r="I29"/>
  <c r="H29"/>
  <c r="G29"/>
  <c r="F29"/>
  <c r="E29"/>
  <c r="D29"/>
  <c r="K28"/>
  <c r="J28"/>
  <c r="I28"/>
  <c r="H28"/>
  <c r="G28"/>
  <c r="F28"/>
  <c r="E28"/>
  <c r="D28"/>
  <c r="K27"/>
  <c r="J27"/>
  <c r="I27"/>
  <c r="H27"/>
  <c r="G27"/>
  <c r="F27"/>
  <c r="E27"/>
  <c r="D27"/>
  <c r="K26"/>
  <c r="J26"/>
  <c r="I26"/>
  <c r="H26"/>
  <c r="G26"/>
  <c r="F26"/>
  <c r="E26"/>
  <c r="D26"/>
  <c r="K25"/>
  <c r="J25"/>
  <c r="I25"/>
  <c r="H25"/>
  <c r="G25"/>
  <c r="F25"/>
  <c r="E25"/>
  <c r="D25"/>
  <c r="K24"/>
  <c r="J24"/>
  <c r="I24"/>
  <c r="H24"/>
  <c r="G24"/>
  <c r="F24"/>
  <c r="E24"/>
  <c r="D24"/>
  <c r="K23"/>
  <c r="J23"/>
  <c r="I23"/>
  <c r="H23"/>
  <c r="G23"/>
  <c r="F23"/>
  <c r="E23"/>
  <c r="D23"/>
  <c r="K22"/>
  <c r="J22"/>
  <c r="I22"/>
  <c r="H22"/>
  <c r="G22"/>
  <c r="F22"/>
  <c r="E22"/>
  <c r="D22"/>
  <c r="K21"/>
  <c r="J21"/>
  <c r="I21"/>
  <c r="H21"/>
  <c r="G21"/>
  <c r="F21"/>
  <c r="E21"/>
  <c r="D21"/>
  <c r="K20"/>
  <c r="J20"/>
  <c r="I20"/>
  <c r="H20"/>
  <c r="G20"/>
  <c r="F20"/>
  <c r="E20"/>
  <c r="D20"/>
  <c r="K19"/>
  <c r="J19"/>
  <c r="I19"/>
  <c r="H19"/>
  <c r="G19"/>
  <c r="F19"/>
  <c r="E19"/>
  <c r="D19"/>
  <c r="K18"/>
  <c r="J18"/>
  <c r="I18"/>
  <c r="H18"/>
  <c r="G18"/>
  <c r="F18"/>
  <c r="E18"/>
  <c r="D18"/>
  <c r="K17"/>
  <c r="J17"/>
  <c r="I17"/>
  <c r="H17"/>
  <c r="G17"/>
  <c r="F17"/>
  <c r="E17"/>
  <c r="D17"/>
  <c r="K16"/>
  <c r="J16"/>
  <c r="I16"/>
  <c r="H16"/>
  <c r="G16"/>
  <c r="F16"/>
  <c r="E16"/>
  <c r="D16"/>
  <c r="K15"/>
  <c r="J15"/>
  <c r="I15"/>
  <c r="H15"/>
  <c r="G15"/>
  <c r="F15"/>
  <c r="E15"/>
  <c r="D15"/>
  <c r="K14"/>
  <c r="J14"/>
  <c r="I14"/>
  <c r="H14"/>
  <c r="G14"/>
  <c r="F14"/>
  <c r="E14"/>
  <c r="D14"/>
  <c r="K13"/>
  <c r="J13"/>
  <c r="I13"/>
  <c r="H13"/>
  <c r="G13"/>
  <c r="F13"/>
  <c r="E13"/>
  <c r="D13"/>
  <c r="K12"/>
  <c r="J12"/>
  <c r="I12"/>
  <c r="H12"/>
  <c r="G12"/>
  <c r="F12"/>
  <c r="E12"/>
  <c r="D12"/>
  <c r="K11"/>
  <c r="J11"/>
  <c r="I11"/>
  <c r="H11"/>
  <c r="G11"/>
  <c r="F11"/>
  <c r="E11"/>
  <c r="D11"/>
  <c r="K10"/>
  <c r="J10"/>
  <c r="I10"/>
  <c r="H10"/>
  <c r="G10"/>
  <c r="F10"/>
  <c r="E10"/>
  <c r="D10"/>
  <c r="K9"/>
  <c r="J9"/>
  <c r="I9"/>
  <c r="H9"/>
  <c r="G9"/>
  <c r="F9"/>
  <c r="E9"/>
  <c r="D9"/>
  <c r="K8"/>
  <c r="J8"/>
  <c r="I8"/>
  <c r="H8"/>
  <c r="G8"/>
  <c r="F8"/>
  <c r="E8"/>
  <c r="D8"/>
  <c r="K7"/>
  <c r="J7"/>
  <c r="I7"/>
  <c r="H7"/>
  <c r="G7"/>
  <c r="F7"/>
  <c r="E7"/>
  <c r="D7"/>
  <c r="K6"/>
  <c r="J6"/>
  <c r="I6"/>
  <c r="H6"/>
  <c r="G6"/>
  <c r="F6"/>
  <c r="E6"/>
  <c r="D6"/>
  <c r="K5"/>
  <c r="J5"/>
  <c r="I5"/>
  <c r="H5"/>
  <c r="G5"/>
  <c r="F5"/>
  <c r="E5"/>
  <c r="D5"/>
  <c r="K4"/>
  <c r="J4"/>
  <c r="I4"/>
  <c r="H4"/>
  <c r="G4"/>
  <c r="F4"/>
  <c r="E4"/>
  <c r="B13"/>
  <c r="B12"/>
  <c r="B11"/>
  <c r="B10"/>
  <c r="B9"/>
  <c r="B8"/>
  <c r="B7"/>
  <c r="B6"/>
  <c r="B5"/>
  <c r="A383"/>
  <c r="A382"/>
  <c r="A381"/>
  <c r="A380"/>
  <c r="A379"/>
  <c r="A378"/>
  <c r="A377"/>
  <c r="A376"/>
  <c r="A375"/>
  <c r="A374"/>
  <c r="A373"/>
  <c r="A372"/>
  <c r="A371"/>
  <c r="A370"/>
  <c r="A369"/>
  <c r="A368"/>
  <c r="A367"/>
  <c r="A366"/>
  <c r="A365"/>
  <c r="A364"/>
  <c r="A363"/>
  <c r="A362"/>
  <c r="A361"/>
  <c r="A360"/>
  <c r="A359"/>
  <c r="A358"/>
  <c r="A357"/>
  <c r="A356"/>
  <c r="A355"/>
  <c r="A354"/>
  <c r="A353"/>
  <c r="A352"/>
  <c r="A351"/>
  <c r="A350"/>
  <c r="A349"/>
  <c r="A348"/>
  <c r="A347"/>
  <c r="A346"/>
  <c r="A345"/>
  <c r="A344"/>
  <c r="A343"/>
  <c r="A342"/>
  <c r="A341"/>
  <c r="A340"/>
  <c r="A339"/>
  <c r="A338"/>
  <c r="A337"/>
  <c r="A336"/>
  <c r="A335"/>
  <c r="A334"/>
  <c r="A333"/>
  <c r="A332"/>
  <c r="A331"/>
  <c r="A330"/>
  <c r="A329"/>
  <c r="A328"/>
  <c r="A327"/>
  <c r="A326"/>
  <c r="A325"/>
  <c r="A324"/>
  <c r="A323"/>
  <c r="A322"/>
  <c r="A321"/>
  <c r="A320"/>
  <c r="A319"/>
  <c r="A318"/>
  <c r="A317"/>
  <c r="A316"/>
  <c r="A315"/>
  <c r="A314"/>
  <c r="A313"/>
  <c r="A312"/>
  <c r="A311"/>
  <c r="A310"/>
  <c r="A309"/>
  <c r="A308"/>
  <c r="A307"/>
  <c r="A306"/>
  <c r="A305"/>
  <c r="A304"/>
  <c r="A303"/>
  <c r="A302"/>
  <c r="A301"/>
  <c r="A300"/>
  <c r="A299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8"/>
  <c r="A277"/>
  <c r="A276"/>
  <c r="A275"/>
  <c r="A274"/>
  <c r="A273"/>
  <c r="A272"/>
  <c r="A271"/>
  <c r="A270"/>
  <c r="A269"/>
  <c r="A268"/>
  <c r="A267"/>
  <c r="A266"/>
  <c r="A265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<sst xmlns="http://schemas.openxmlformats.org/spreadsheetml/2006/main" count="3807" uniqueCount="195">
  <si>
    <t>Project</t>
  </si>
  <si>
    <t>MadeUP FP&amp;A Model</t>
  </si>
  <si>
    <t>Reporting Date</t>
  </si>
  <si>
    <t>Historical Actuals</t>
  </si>
  <si>
    <t>January 2025 – December 2025</t>
  </si>
  <si>
    <t>Current-Year Actuals</t>
  </si>
  <si>
    <t>January 2026 – June 2026</t>
  </si>
  <si>
    <t>Forecast</t>
  </si>
  <si>
    <t>July 2026 – December 2026</t>
  </si>
  <si>
    <t>Data</t>
  </si>
  <si>
    <t>Synthetic</t>
  </si>
  <si>
    <t>Purpose</t>
  </si>
  <si>
    <t>Demonstrate an end-to-end FP&amp;A workflow.</t>
  </si>
  <si>
    <t>Revenue Assumptions</t>
  </si>
  <si>
    <t>Business Unit</t>
  </si>
  <si>
    <t>Volume Growth</t>
  </si>
  <si>
    <t>Price Growth</t>
  </si>
  <si>
    <t>Devices</t>
  </si>
  <si>
    <t>Cloud &amp; Software</t>
  </si>
  <si>
    <t>Digital Services</t>
  </si>
  <si>
    <t>Opex Assumptions</t>
  </si>
  <si>
    <t>Department</t>
  </si>
  <si>
    <t>Budget Growth</t>
  </si>
  <si>
    <t>Sales</t>
  </si>
  <si>
    <t>Marketing</t>
  </si>
  <si>
    <t>R&amp;D</t>
  </si>
  <si>
    <t>G&amp;A</t>
  </si>
  <si>
    <t>IT</t>
  </si>
  <si>
    <t>Customer Operations</t>
  </si>
  <si>
    <t>HR</t>
  </si>
  <si>
    <t>Facilities</t>
  </si>
  <si>
    <t>Headcount Assumptions</t>
  </si>
  <si>
    <t>Headcount Growth</t>
  </si>
  <si>
    <t>Revenue Growth Assumptions</t>
  </si>
  <si>
    <t>Scenario</t>
  </si>
  <si>
    <t>Revenue Growth Adjustment</t>
  </si>
  <si>
    <t>Downside</t>
  </si>
  <si>
    <t>-3 percentage points</t>
  </si>
  <si>
    <t>Base</t>
  </si>
  <si>
    <t>Upside</t>
  </si>
  <si>
    <t>+3 percentage points</t>
  </si>
  <si>
    <t>MonthStart</t>
  </si>
  <si>
    <t>ProductID</t>
  </si>
  <si>
    <t>RegionID</t>
  </si>
  <si>
    <t>Units</t>
  </si>
  <si>
    <t>ASP</t>
  </si>
  <si>
    <t>Revenue</t>
  </si>
  <si>
    <t>COGS</t>
  </si>
  <si>
    <t>COGS RATE</t>
  </si>
  <si>
    <t>P001</t>
  </si>
  <si>
    <t>R01</t>
  </si>
  <si>
    <t>R02</t>
  </si>
  <si>
    <t>R03</t>
  </si>
  <si>
    <t>R04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</si>
  <si>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</si>
  <si>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</si>
  <si>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</si>
  <si>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</si>
  <si>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</si>
  <si>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</si>
  <si>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</si>
  <si>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</si>
  <si>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</si>
  <si>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Total Actual Revenue</t>
  </si>
  <si>
    <t>Total Actual COGS</t>
  </si>
  <si>
    <t>Total Actual Gross Profit</t>
  </si>
  <si>
    <t>Actual Gross Margin %</t>
  </si>
  <si>
    <t>DepartmentID</t>
  </si>
  <si>
    <t>DepartmentName</t>
  </si>
  <si>
    <t>ExpenseCategoryID</t>
  </si>
  <si>
    <t>Amount</t>
  </si>
  <si>
    <t>D01</t>
  </si>
  <si>
    <t>A01</t>
  </si>
  <si>
    <t>A02</t>
  </si>
  <si>
    <t>A03</t>
  </si>
  <si>
    <t>A04</t>
  </si>
  <si>
    <t>D02</t>
  </si>
  <si>
    <t>D03</t>
  </si>
  <si>
    <t>D04</t>
  </si>
  <si>
    <t>D05</t>
  </si>
  <si>
    <t>D06</t>
  </si>
  <si>
    <t>D07</t>
  </si>
  <si>
    <t>D08</t>
  </si>
  <si>
    <t>Total Actual Opex</t>
  </si>
  <si>
    <t>Headcount</t>
  </si>
  <si>
    <t>AverageMonthlySalary</t>
  </si>
  <si>
    <t>Month</t>
  </si>
  <si>
    <t>BusinessUnit</t>
  </si>
  <si>
    <t>Budget Units</t>
  </si>
  <si>
    <t>Budget ASP</t>
  </si>
  <si>
    <t>Budget Revenue</t>
  </si>
  <si>
    <t>Budget COGS</t>
  </si>
  <si>
    <t>Budget Gross Profit</t>
  </si>
  <si>
    <t>Budget Gross Margin</t>
  </si>
  <si>
    <t>Total Budget Revenue</t>
  </si>
  <si>
    <t>Total Budget COGS</t>
  </si>
  <si>
    <t>Total Budget Gross Profit</t>
  </si>
  <si>
    <t>Budget Gross Margin %</t>
  </si>
  <si>
    <t>BUDGET OPEX</t>
  </si>
  <si>
    <t>2025 Actual Opex</t>
  </si>
  <si>
    <t>2026 Budget Opex</t>
  </si>
  <si>
    <t>Total 2026 Budget Opex</t>
  </si>
  <si>
    <t>BUDGET HEADCOUNT</t>
  </si>
  <si>
    <t>2025 Actual Headcount</t>
  </si>
  <si>
    <t>Budget Headcount</t>
  </si>
  <si>
    <t>Total Budget Headcount</t>
  </si>
  <si>
    <t>Forecast P&amp;L</t>
  </si>
  <si>
    <t>$M</t>
  </si>
  <si>
    <t>Budget</t>
  </si>
  <si>
    <t>YTD Actual</t>
  </si>
  <si>
    <t>Forecast Remaining</t>
  </si>
  <si>
    <t>FY Forecast</t>
  </si>
  <si>
    <t>Variance</t>
  </si>
  <si>
    <t>Gross Profit</t>
  </si>
  <si>
    <t>Gross Margin</t>
  </si>
  <si>
    <t>Opex</t>
  </si>
  <si>
    <t>EBIT</t>
  </si>
  <si>
    <t>EBIT Margin</t>
  </si>
  <si>
    <t>Budget P&amp;L</t>
  </si>
  <si>
    <t>2026 Budget</t>
  </si>
  <si>
    <t>Operating Expenses</t>
  </si>
  <si>
    <t>Category</t>
  </si>
  <si>
    <t>Actual</t>
  </si>
  <si>
    <t>Variance $</t>
  </si>
  <si>
    <t>Variance %</t>
  </si>
  <si>
    <t>Status</t>
  </si>
  <si>
    <t>Materiality</t>
  </si>
  <si>
    <t>Top KPI Scorecard Table</t>
  </si>
  <si>
    <t>#</t>
  </si>
  <si>
    <t>Revenue vs Budget</t>
  </si>
  <si>
    <t>EBIT vs Budget</t>
  </si>
  <si>
    <t>Forecast vs Budget</t>
  </si>
  <si>
    <t>Top Risks</t>
  </si>
  <si>
    <t>High fixed monthly Opex ($396.00M) causing margin compression in Downside scenario</t>
  </si>
  <si>
    <t>R&amp;D and IT budget growth (9% and 8%) outpacing top-line revenue expansion</t>
  </si>
  <si>
    <t>Marketing expansion (7% budget, 6% headcount) underperforming on conversion efficiency</t>
  </si>
  <si>
    <t>Top Opportunities</t>
  </si>
  <si>
    <t>Operating leverage expansion in Upside scenario ($38.60B Revenue)</t>
  </si>
  <si>
    <t>Facilities and G&amp;A spend optimization (5% budget, 2%–3% headcount)</t>
  </si>
  <si>
    <t>Direct COGS reduction to expand Gross Margin beyond 45.51% baseline</t>
  </si>
  <si>
    <t>Recommended Actions</t>
  </si>
  <si>
    <t>Implement dynamic Opex guardrails triggered by quarterly revenue hurdles</t>
  </si>
  <si>
    <t>Tie R&amp;D budget releases (9% growth) to strict product milestone gates</t>
  </si>
  <si>
    <t>Defer non-critical headcount expansion in HR and Facilities</t>
  </si>
  <si>
    <t>Re-evaluate supplier agreements to drive direct COGS savings</t>
  </si>
  <si>
    <t>Revenue check</t>
  </si>
  <si>
    <t>P&amp;L Revenue</t>
  </si>
  <si>
    <t>COGS Check</t>
  </si>
  <si>
    <t>P&amp;L COGS</t>
  </si>
  <si>
    <t>Gross Profit Check</t>
  </si>
  <si>
    <t>EBIT Check</t>
  </si>
  <si>
    <t>Forecast Check</t>
  </si>
  <si>
    <t>Full-Year Forecast</t>
  </si>
  <si>
    <t>Master Check</t>
  </si>
  <si>
    <t>LOOKUP &amp; ERROR HANDLING</t>
  </si>
  <si>
    <t>Product ID</t>
  </si>
  <si>
    <t>Region ID</t>
  </si>
  <si>
    <t>Revenue Model</t>
  </si>
  <si>
    <t>Lookup Status</t>
  </si>
  <si>
    <t>DYNAMIC ARRAY MANAGEMENT ANALYSIS</t>
  </si>
  <si>
    <t>Unique Business Units</t>
  </si>
  <si>
    <t>Unique Products</t>
  </si>
  <si>
    <t>Material Variance Watchlist</t>
  </si>
  <si>
    <t>MANAGEMENT COMMENTARY</t>
  </si>
  <si>
    <t>PIVOT ANALYSIS</t>
  </si>
  <si>
    <t>Revenue by Business Unit</t>
  </si>
  <si>
    <t>Revenue by Region</t>
  </si>
  <si>
    <t>Slicers</t>
  </si>
  <si>
    <t>Sum of Revenue</t>
  </si>
  <si>
    <t>Grand Total</t>
  </si>
  <si>
    <t>Product Performance</t>
  </si>
  <si>
    <t>Sum of Units</t>
  </si>
  <si>
    <t>Monthly Revenue Trend</t>
  </si>
  <si>
    <t>SCENARIO &amp; WHAT-IF ANALYSIS</t>
  </si>
  <si>
    <t>Revenue Adjustment</t>
  </si>
  <si>
    <t>Opex Adjustment</t>
  </si>
  <si>
    <t>Selected Revenue Adjustment</t>
  </si>
  <si>
    <t>Selected Opex Adjustment</t>
  </si>
  <si>
    <t>Metric</t>
  </si>
  <si>
    <t>Value</t>
  </si>
  <si>
    <t>Revenue Growth Input</t>
  </si>
  <si>
    <t>Target EBIT Margin</t>
  </si>
  <si>
    <t>Scenario Revenue</t>
  </si>
  <si>
    <t>Scenario Gross Profit</t>
  </si>
  <si>
    <t>Scenario EBIT</t>
  </si>
  <si>
    <t>Scenario EBIT Margin</t>
  </si>
  <si>
    <t>MODEL CONTROL &amp; EXCEPTION FLAGS</t>
  </si>
  <si>
    <t>Control</t>
  </si>
  <si>
    <t>Result</t>
  </si>
  <si>
    <t>Product Mapping</t>
  </si>
  <si>
    <t>PASS</t>
  </si>
  <si>
    <t>Variance Data</t>
  </si>
  <si>
    <t>Scenario Selection</t>
  </si>
  <si>
    <t>Revenue Reconciliation</t>
  </si>
  <si>
    <t>Gross Profit Reconciliation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</si>
</sst>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5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0" fontId="2" fillId="0" borderId="0" xfId="0" applyNumberFormat="1" applyFont="1" applyAlignment="1">
      <alignment horizontal="left"/>
    </xf>
    <xf numFmtId="10" fontId="0" fillId="0" borderId="0" xfId="0" applyNumberFormat="1" applyAlignment="1">
      <alignment horizontal="left"/>
    </xf>
    <xf numFmtId="10" fontId="0" fillId="0" borderId="0" xfId="0" applyNumberFormat="1"/>
    <xf numFmtId="0" fontId="3" fillId="0" borderId="0" xfId="0" applyFont="1"/>
    <xf numFmtId="0" fontId="4" fillId="0" borderId="0" xfId="0" applyFont="1"/>
    <xf numFmtId="14" fontId="2" fillId="0" borderId="0" xfId="0" applyNumberFormat="1" applyFont="1" applyAlignment="1">
      <alignment horizontal="left"/>
    </xf>
    <xf numFmtId="17" fontId="0" fillId="0" borderId="0" xfId="0" applyNumberFormat="1" applyAlignment="1">
      <alignment horizontal="left"/>
    </xf>
    <xf numFmtId="0" fontId="5" fillId="0" borderId="0" xfId="0" applyFont="1" applyAlignment="1">
      <alignment readingOrder="1"/>
    </xf>
    <xf numFmtId="0" fontId="6" fillId="0" borderId="0" xfId="0" applyFont="1" applyAlignment="1">
      <alignment readingOrder="1"/>
    </xf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left"/>
    </xf>
    <xf numFmtId="14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1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3" formatCode="0%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relativeIndent="255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4" formatCode="0.00%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22" formatCode="mmm\-yy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" formatCode="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9" formatCode="m/d/yyyy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9" formatCode="m/d/yyyy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relativeIndent="255" justifyLastLine="0" shrinkToFit="0" readingOrder="0"/>
    </dxf>
    <dxf>
      <numFmt numFmtId="14" formatCode="0.00%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3" formatCode="#,##0"/>
      <alignment horizontal="left" vertical="bottom" textRotation="0" wrapText="0" indent="0" relativeIndent="255" justifyLastLine="0" shrinkToFit="0" readingOrder="0"/>
    </dxf>
    <dxf>
      <numFmt numFmtId="3" formatCode="#,##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9" formatCode="m/d/yyyy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" formatCode="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9" formatCode="m/d/yyyy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font>
        <b/>
      </font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9" formatCode="m/d/yyyy"/>
      <alignment horizontal="left" vertical="bottom" textRotation="0" wrapText="0" indent="0" relativeIndent="255" justifyLastLine="0" shrinkToFit="0" readingOrder="0"/>
    </dxf>
    <dxf>
      <font>
        <b/>
      </font>
      <alignment horizontal="left" vertical="bottom" textRotation="0" wrapText="0" indent="0" relativeIndent="255" justifyLastLine="0" shrinkToFit="0" readingOrder="0"/>
    </dxf>
    <dxf>
      <numFmt numFmtId="14" formatCode="0.00%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164" formatCode="&quot;$&quot;#,##0.00"/>
      <alignment horizontal="left" vertical="bottom" textRotation="0" wrapText="0" indent="0" relativeIndent="255" justifyLastLine="0" shrinkToFit="0" readingOrder="0"/>
    </dxf>
    <dxf>
      <numFmt numFmtId="3" formatCode="#,##0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9" formatCode="m/d/yyyy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3" formatCode="0%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3" formatCode="0%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numFmt numFmtId="13" formatCode="0%"/>
      <alignment horizontal="left" vertical="bottom" textRotation="0" wrapText="0" indent="0" relativeIndent="255" justifyLastLine="0" shrinkToFit="0" readingOrder="0"/>
    </dxf>
    <dxf>
      <numFmt numFmtId="13" formatCode="0%"/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  <dxf>
      <alignment horizontal="left" vertical="bottom" textRotation="0" wrapText="0" indent="0" relativeIndent="255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[MadeUP_FPA_Model 1.xlsx]14_Advance_PA!PivotTable5</c:name>
    <c:fmtId val="2"/>
  </c:pivotSource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'14_Advance_PA'!$E$26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'14_Advance_PA'!$D$27:$D$45</c:f>
              <c:strCache>
                <c:ptCount val="18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</c:strCache>
            </c:strRef>
          </c:cat>
          <c:val>
            <c:numRef>
              <c:f>'14_Advance_PA'!$E$27:$E$45</c:f>
              <c:numCache>
                <c:formatCode>"$"#,##0.00</c:formatCode>
                <c:ptCount val="18"/>
                <c:pt idx="0">
                  <c:v>1774738880</c:v>
                </c:pt>
                <c:pt idx="1">
                  <c:v>1736157600</c:v>
                </c:pt>
                <c:pt idx="2">
                  <c:v>1851901440</c:v>
                </c:pt>
                <c:pt idx="3">
                  <c:v>1832610800</c:v>
                </c:pt>
                <c:pt idx="4">
                  <c:v>1929064000</c:v>
                </c:pt>
                <c:pt idx="5">
                  <c:v>1967645280</c:v>
                </c:pt>
                <c:pt idx="6">
                  <c:v>1986935920</c:v>
                </c:pt>
                <c:pt idx="7">
                  <c:v>1967645280</c:v>
                </c:pt>
                <c:pt idx="8">
                  <c:v>1929064000</c:v>
                </c:pt>
                <c:pt idx="9">
                  <c:v>2025517200</c:v>
                </c:pt>
                <c:pt idx="10">
                  <c:v>2160551680</c:v>
                </c:pt>
                <c:pt idx="11">
                  <c:v>2276295520</c:v>
                </c:pt>
                <c:pt idx="12">
                  <c:v>1774738880</c:v>
                </c:pt>
                <c:pt idx="13">
                  <c:v>1736157600</c:v>
                </c:pt>
                <c:pt idx="14">
                  <c:v>1851901440</c:v>
                </c:pt>
                <c:pt idx="15">
                  <c:v>1832610800</c:v>
                </c:pt>
                <c:pt idx="16">
                  <c:v>1929064000</c:v>
                </c:pt>
                <c:pt idx="17">
                  <c:v>1967645280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3E-4D26-86C9-5E8A1F1795F1}"/>
            </c:ext>
          </c:extLst>
        </c:ser>
        <c:dLbls/>
        <c:marker val="1"/>
        <c:axId val="139056256"/>
        <c:axId val="139057792"/>
      </c:lineChart>
      <c:catAx>
        <c:axId val="13905625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7792"/>
        <c:crosses val="autoZero"/>
        <c:auto val="1"/>
        <c:lblAlgn val="ctr"/>
        <c:lblOffset val="100"/>
      </c:catAx>
      <c:valAx>
        <c:axId val="13905779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[MadeUP_FPA_Model 1.xlsx]14_Advance_PA!PivotTable2</c:name>
    <c:fmtId val="6"/>
  </c:pivotSource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'14_Advance_PA'!$B$4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strRef>
              <c:f>'14_Advance_PA'!$A$5:$A$385</c:f>
              <c:strCache>
                <c:ptCount val="380"/>
                <c:pt idx="0">
                  <c:v>34,650</c:v>
                </c:pt>
                <c:pt idx="1">
                  <c:v>35,420</c:v>
                </c:pt>
                <c:pt idx="2">
                  <c:v>36,575</c:v>
                </c:pt>
                <c:pt idx="3">
                  <c:v>36,960</c:v>
                </c:pt>
                <c:pt idx="4">
                  <c:v>38,500</c:v>
                </c:pt>
                <c:pt idx="5">
                  <c:v>39,270</c:v>
                </c:pt>
                <c:pt idx="6">
                  <c:v>39,655</c:v>
                </c:pt>
                <c:pt idx="7">
                  <c:v>40,425</c:v>
                </c:pt>
                <c:pt idx="8">
                  <c:v>43,120</c:v>
                </c:pt>
                <c:pt idx="9">
                  <c:v>45,430</c:v>
                </c:pt>
                <c:pt idx="10">
                  <c:v>53,550</c:v>
                </c:pt>
                <c:pt idx="11">
                  <c:v>54,740</c:v>
                </c:pt>
                <c:pt idx="12">
                  <c:v>56,525</c:v>
                </c:pt>
                <c:pt idx="13">
                  <c:v>57,120</c:v>
                </c:pt>
                <c:pt idx="14">
                  <c:v>59,400</c:v>
                </c:pt>
                <c:pt idx="15">
                  <c:v>59,500</c:v>
                </c:pt>
                <c:pt idx="16">
                  <c:v>59,850</c:v>
                </c:pt>
                <c:pt idx="17">
                  <c:v>60,690</c:v>
                </c:pt>
                <c:pt idx="18">
                  <c:v>60,720</c:v>
                </c:pt>
                <c:pt idx="19">
                  <c:v>61,180</c:v>
                </c:pt>
                <c:pt idx="20">
                  <c:v>61,285</c:v>
                </c:pt>
                <c:pt idx="21">
                  <c:v>62,475</c:v>
                </c:pt>
                <c:pt idx="22">
                  <c:v>62,700</c:v>
                </c:pt>
                <c:pt idx="23">
                  <c:v>63,000</c:v>
                </c:pt>
                <c:pt idx="24">
                  <c:v>63,175</c:v>
                </c:pt>
                <c:pt idx="25">
                  <c:v>63,360</c:v>
                </c:pt>
                <c:pt idx="26">
                  <c:v>63,840</c:v>
                </c:pt>
                <c:pt idx="27">
                  <c:v>64,400</c:v>
                </c:pt>
                <c:pt idx="28">
                  <c:v>66,000</c:v>
                </c:pt>
                <c:pt idx="29">
                  <c:v>66,500</c:v>
                </c:pt>
                <c:pt idx="30">
                  <c:v>66,640</c:v>
                </c:pt>
                <c:pt idx="31">
                  <c:v>67,200</c:v>
                </c:pt>
                <c:pt idx="32">
                  <c:v>67,320</c:v>
                </c:pt>
                <c:pt idx="33">
                  <c:v>67,830</c:v>
                </c:pt>
                <c:pt idx="34">
                  <c:v>67,980</c:v>
                </c:pt>
                <c:pt idx="35">
                  <c:v>68,495</c:v>
                </c:pt>
                <c:pt idx="36">
                  <c:v>69,300</c:v>
                </c:pt>
                <c:pt idx="37">
                  <c:v>69,825</c:v>
                </c:pt>
                <c:pt idx="38">
                  <c:v>70,000</c:v>
                </c:pt>
                <c:pt idx="39">
                  <c:v>70,210</c:v>
                </c:pt>
                <c:pt idx="40">
                  <c:v>70,840</c:v>
                </c:pt>
                <c:pt idx="41">
                  <c:v>71,400</c:v>
                </c:pt>
                <c:pt idx="42">
                  <c:v>72,100</c:v>
                </c:pt>
                <c:pt idx="43">
                  <c:v>73,150</c:v>
                </c:pt>
                <c:pt idx="44">
                  <c:v>73,500</c:v>
                </c:pt>
                <c:pt idx="45">
                  <c:v>73,920</c:v>
                </c:pt>
                <c:pt idx="46">
                  <c:v>74,480</c:v>
                </c:pt>
                <c:pt idx="47">
                  <c:v>77,000</c:v>
                </c:pt>
                <c:pt idx="48">
                  <c:v>77,880</c:v>
                </c:pt>
                <c:pt idx="49">
                  <c:v>78,400</c:v>
                </c:pt>
                <c:pt idx="50">
                  <c:v>78,470</c:v>
                </c:pt>
                <c:pt idx="51">
                  <c:v>78,540</c:v>
                </c:pt>
                <c:pt idx="52">
                  <c:v>79,310</c:v>
                </c:pt>
                <c:pt idx="53">
                  <c:v>80,850</c:v>
                </c:pt>
                <c:pt idx="54">
                  <c:v>82,600</c:v>
                </c:pt>
                <c:pt idx="55">
                  <c:v>86,240</c:v>
                </c:pt>
                <c:pt idx="56">
                  <c:v>89,100</c:v>
                </c:pt>
                <c:pt idx="57">
                  <c:v>90,860</c:v>
                </c:pt>
                <c:pt idx="58">
                  <c:v>91,080</c:v>
                </c:pt>
                <c:pt idx="59">
                  <c:v>91,800</c:v>
                </c:pt>
                <c:pt idx="60">
                  <c:v>93,840</c:v>
                </c:pt>
                <c:pt idx="61">
                  <c:v>94,050</c:v>
                </c:pt>
                <c:pt idx="62">
                  <c:v>95,040</c:v>
                </c:pt>
                <c:pt idx="63">
                  <c:v>96,900</c:v>
                </c:pt>
                <c:pt idx="64">
                  <c:v>97,920</c:v>
                </c:pt>
                <c:pt idx="65">
                  <c:v>99,000</c:v>
                </c:pt>
                <c:pt idx="66">
                  <c:v>100,980</c:v>
                </c:pt>
                <c:pt idx="67">
                  <c:v>101,970</c:v>
                </c:pt>
                <c:pt idx="68">
                  <c:v>102,000</c:v>
                </c:pt>
                <c:pt idx="69">
                  <c:v>102,600</c:v>
                </c:pt>
                <c:pt idx="70">
                  <c:v>103,950</c:v>
                </c:pt>
                <c:pt idx="71">
                  <c:v>104,040</c:v>
                </c:pt>
                <c:pt idx="72">
                  <c:v>104,880</c:v>
                </c:pt>
                <c:pt idx="73">
                  <c:v>105,060</c:v>
                </c:pt>
                <c:pt idx="74">
                  <c:v>107,100</c:v>
                </c:pt>
                <c:pt idx="75">
                  <c:v>108,000</c:v>
                </c:pt>
                <c:pt idx="76">
                  <c:v>108,300</c:v>
                </c:pt>
                <c:pt idx="77">
                  <c:v>109,440</c:v>
                </c:pt>
                <c:pt idx="78">
                  <c:v>109,480</c:v>
                </c:pt>
                <c:pt idx="79">
                  <c:v>110,400</c:v>
                </c:pt>
                <c:pt idx="80">
                  <c:v>110,880</c:v>
                </c:pt>
                <c:pt idx="81">
                  <c:v>113,050</c:v>
                </c:pt>
                <c:pt idx="82">
                  <c:v>114,000</c:v>
                </c:pt>
                <c:pt idx="83">
                  <c:v>114,240</c:v>
                </c:pt>
                <c:pt idx="84">
                  <c:v>115,200</c:v>
                </c:pt>
                <c:pt idx="85">
                  <c:v>116,280</c:v>
                </c:pt>
                <c:pt idx="86">
                  <c:v>116,820</c:v>
                </c:pt>
                <c:pt idx="87">
                  <c:v>117,420</c:v>
                </c:pt>
                <c:pt idx="88">
                  <c:v>119,000</c:v>
                </c:pt>
                <c:pt idx="89">
                  <c:v>119,700</c:v>
                </c:pt>
                <c:pt idx="90">
                  <c:v>120,000</c:v>
                </c:pt>
                <c:pt idx="91">
                  <c:v>120,360</c:v>
                </c:pt>
                <c:pt idx="92">
                  <c:v>121,380</c:v>
                </c:pt>
                <c:pt idx="93">
                  <c:v>122,360</c:v>
                </c:pt>
                <c:pt idx="94">
                  <c:v>122,400</c:v>
                </c:pt>
                <c:pt idx="95">
                  <c:v>122,570</c:v>
                </c:pt>
                <c:pt idx="96">
                  <c:v>123,600</c:v>
                </c:pt>
                <c:pt idx="97">
                  <c:v>123,750</c:v>
                </c:pt>
                <c:pt idx="98">
                  <c:v>124,950</c:v>
                </c:pt>
                <c:pt idx="99">
                  <c:v>126,000</c:v>
                </c:pt>
                <c:pt idx="100">
                  <c:v>126,350</c:v>
                </c:pt>
                <c:pt idx="101">
                  <c:v>126,500</c:v>
                </c:pt>
                <c:pt idx="102">
                  <c:v>127,680</c:v>
                </c:pt>
                <c:pt idx="103">
                  <c:v>128,800</c:v>
                </c:pt>
                <c:pt idx="104">
                  <c:v>130,625</c:v>
                </c:pt>
                <c:pt idx="105">
                  <c:v>132,000</c:v>
                </c:pt>
                <c:pt idx="106">
                  <c:v>133,000</c:v>
                </c:pt>
                <c:pt idx="107">
                  <c:v>133,280</c:v>
                </c:pt>
                <c:pt idx="108">
                  <c:v>134,400</c:v>
                </c:pt>
                <c:pt idx="109">
                  <c:v>134,520</c:v>
                </c:pt>
                <c:pt idx="110">
                  <c:v>135,660</c:v>
                </c:pt>
                <c:pt idx="111">
                  <c:v>136,990</c:v>
                </c:pt>
                <c:pt idx="112">
                  <c:v>137,500</c:v>
                </c:pt>
                <c:pt idx="113">
                  <c:v>137,700</c:v>
                </c:pt>
                <c:pt idx="114">
                  <c:v>139,650</c:v>
                </c:pt>
                <c:pt idx="115">
                  <c:v>140,000</c:v>
                </c:pt>
                <c:pt idx="116">
                  <c:v>140,250</c:v>
                </c:pt>
                <c:pt idx="117">
                  <c:v>140,420</c:v>
                </c:pt>
                <c:pt idx="118">
                  <c:v>140,760</c:v>
                </c:pt>
                <c:pt idx="119">
                  <c:v>141,600</c:v>
                </c:pt>
                <c:pt idx="120">
                  <c:v>141,625</c:v>
                </c:pt>
                <c:pt idx="121">
                  <c:v>142,800</c:v>
                </c:pt>
                <c:pt idx="122">
                  <c:v>144,200</c:v>
                </c:pt>
                <c:pt idx="123">
                  <c:v>144,375</c:v>
                </c:pt>
                <c:pt idx="124">
                  <c:v>145,350</c:v>
                </c:pt>
                <c:pt idx="125">
                  <c:v>146,880</c:v>
                </c:pt>
                <c:pt idx="126">
                  <c:v>147,000</c:v>
                </c:pt>
                <c:pt idx="127">
                  <c:v>148,960</c:v>
                </c:pt>
                <c:pt idx="128">
                  <c:v>153,000</c:v>
                </c:pt>
                <c:pt idx="129">
                  <c:v>153,900</c:v>
                </c:pt>
                <c:pt idx="130">
                  <c:v>154,000</c:v>
                </c:pt>
                <c:pt idx="131">
                  <c:v>156,060</c:v>
                </c:pt>
                <c:pt idx="132">
                  <c:v>156,800</c:v>
                </c:pt>
                <c:pt idx="133">
                  <c:v>156,940</c:v>
                </c:pt>
                <c:pt idx="134">
                  <c:v>157,320</c:v>
                </c:pt>
                <c:pt idx="135">
                  <c:v>157,590</c:v>
                </c:pt>
                <c:pt idx="136">
                  <c:v>160,650</c:v>
                </c:pt>
                <c:pt idx="137">
                  <c:v>162,000</c:v>
                </c:pt>
                <c:pt idx="138">
                  <c:v>162,250</c:v>
                </c:pt>
                <c:pt idx="139">
                  <c:v>162,450</c:v>
                </c:pt>
                <c:pt idx="140">
                  <c:v>164,160</c:v>
                </c:pt>
                <c:pt idx="141">
                  <c:v>165,200</c:v>
                </c:pt>
                <c:pt idx="142">
                  <c:v>165,600</c:v>
                </c:pt>
                <c:pt idx="143">
                  <c:v>171,000</c:v>
                </c:pt>
                <c:pt idx="144">
                  <c:v>171,360</c:v>
                </c:pt>
                <c:pt idx="145">
                  <c:v>172,800</c:v>
                </c:pt>
                <c:pt idx="146">
                  <c:v>174,420</c:v>
                </c:pt>
                <c:pt idx="147">
                  <c:v>176,130</c:v>
                </c:pt>
                <c:pt idx="148">
                  <c:v>179,550</c:v>
                </c:pt>
                <c:pt idx="149">
                  <c:v>180,000</c:v>
                </c:pt>
                <c:pt idx="150">
                  <c:v>180,540</c:v>
                </c:pt>
                <c:pt idx="151">
                  <c:v>183,600</c:v>
                </c:pt>
                <c:pt idx="152">
                  <c:v>185,400</c:v>
                </c:pt>
                <c:pt idx="153">
                  <c:v>189,000</c:v>
                </c:pt>
                <c:pt idx="154">
                  <c:v>191,250</c:v>
                </c:pt>
                <c:pt idx="155">
                  <c:v>191,520</c:v>
                </c:pt>
                <c:pt idx="156">
                  <c:v>195,500</c:v>
                </c:pt>
                <c:pt idx="157">
                  <c:v>198,000</c:v>
                </c:pt>
                <c:pt idx="158">
                  <c:v>201,600</c:v>
                </c:pt>
                <c:pt idx="159">
                  <c:v>201,780</c:v>
                </c:pt>
                <c:pt idx="160">
                  <c:v>201,875</c:v>
                </c:pt>
                <c:pt idx="161">
                  <c:v>202,400</c:v>
                </c:pt>
                <c:pt idx="162">
                  <c:v>204,000</c:v>
                </c:pt>
                <c:pt idx="163">
                  <c:v>209,000</c:v>
                </c:pt>
                <c:pt idx="164">
                  <c:v>211,200</c:v>
                </c:pt>
                <c:pt idx="165">
                  <c:v>212,400</c:v>
                </c:pt>
                <c:pt idx="166">
                  <c:v>212,500</c:v>
                </c:pt>
                <c:pt idx="167">
                  <c:v>213,750</c:v>
                </c:pt>
                <c:pt idx="168">
                  <c:v>216,750</c:v>
                </c:pt>
                <c:pt idx="169">
                  <c:v>218,500</c:v>
                </c:pt>
                <c:pt idx="170">
                  <c:v>218,875</c:v>
                </c:pt>
                <c:pt idx="171">
                  <c:v>220,000</c:v>
                </c:pt>
                <c:pt idx="172">
                  <c:v>223,125</c:v>
                </c:pt>
                <c:pt idx="173">
                  <c:v>224,400</c:v>
                </c:pt>
                <c:pt idx="174">
                  <c:v>225,000</c:v>
                </c:pt>
                <c:pt idx="175">
                  <c:v>225,625</c:v>
                </c:pt>
                <c:pt idx="176">
                  <c:v>226,600</c:v>
                </c:pt>
                <c:pt idx="177">
                  <c:v>228,000</c:v>
                </c:pt>
                <c:pt idx="178">
                  <c:v>230,000</c:v>
                </c:pt>
                <c:pt idx="179">
                  <c:v>231,000</c:v>
                </c:pt>
                <c:pt idx="180">
                  <c:v>237,500</c:v>
                </c:pt>
                <c:pt idx="181">
                  <c:v>238,000</c:v>
                </c:pt>
                <c:pt idx="182">
                  <c:v>240,000</c:v>
                </c:pt>
                <c:pt idx="183">
                  <c:v>242,250</c:v>
                </c:pt>
                <c:pt idx="184">
                  <c:v>244,625</c:v>
                </c:pt>
                <c:pt idx="185">
                  <c:v>246,400</c:v>
                </c:pt>
                <c:pt idx="186">
                  <c:v>249,375</c:v>
                </c:pt>
                <c:pt idx="187">
                  <c:v>250,000</c:v>
                </c:pt>
                <c:pt idx="188">
                  <c:v>250,750</c:v>
                </c:pt>
                <c:pt idx="189">
                  <c:v>255,000</c:v>
                </c:pt>
                <c:pt idx="190">
                  <c:v>257,500</c:v>
                </c:pt>
                <c:pt idx="191">
                  <c:v>259,600</c:v>
                </c:pt>
                <c:pt idx="192">
                  <c:v>262,500</c:v>
                </c:pt>
                <c:pt idx="193">
                  <c:v>266,000</c:v>
                </c:pt>
                <c:pt idx="194">
                  <c:v>280,000</c:v>
                </c:pt>
                <c:pt idx="195">
                  <c:v>280,250</c:v>
                </c:pt>
                <c:pt idx="196">
                  <c:v>295,000</c:v>
                </c:pt>
                <c:pt idx="197">
                  <c:v>297,000</c:v>
                </c:pt>
                <c:pt idx="198">
                  <c:v>303,600</c:v>
                </c:pt>
                <c:pt idx="199">
                  <c:v>306,000</c:v>
                </c:pt>
                <c:pt idx="200">
                  <c:v>312,800</c:v>
                </c:pt>
                <c:pt idx="201">
                  <c:v>313,500</c:v>
                </c:pt>
                <c:pt idx="202">
                  <c:v>316,800</c:v>
                </c:pt>
                <c:pt idx="203">
                  <c:v>323,000</c:v>
                </c:pt>
                <c:pt idx="204">
                  <c:v>326,400</c:v>
                </c:pt>
                <c:pt idx="205">
                  <c:v>330,000</c:v>
                </c:pt>
                <c:pt idx="206">
                  <c:v>336,600</c:v>
                </c:pt>
                <c:pt idx="207">
                  <c:v>339,900</c:v>
                </c:pt>
                <c:pt idx="208">
                  <c:v>340,000</c:v>
                </c:pt>
                <c:pt idx="209">
                  <c:v>342,000</c:v>
                </c:pt>
                <c:pt idx="210">
                  <c:v>346,500</c:v>
                </c:pt>
                <c:pt idx="211">
                  <c:v>346,800</c:v>
                </c:pt>
                <c:pt idx="212">
                  <c:v>349,600</c:v>
                </c:pt>
                <c:pt idx="213">
                  <c:v>350,200</c:v>
                </c:pt>
                <c:pt idx="214">
                  <c:v>357,000</c:v>
                </c:pt>
                <c:pt idx="215">
                  <c:v>360,000</c:v>
                </c:pt>
                <c:pt idx="216">
                  <c:v>361,000</c:v>
                </c:pt>
                <c:pt idx="217">
                  <c:v>364,800</c:v>
                </c:pt>
                <c:pt idx="218">
                  <c:v>368,000</c:v>
                </c:pt>
                <c:pt idx="219">
                  <c:v>369,600</c:v>
                </c:pt>
                <c:pt idx="220">
                  <c:v>380,000</c:v>
                </c:pt>
                <c:pt idx="221">
                  <c:v>380,800</c:v>
                </c:pt>
                <c:pt idx="222">
                  <c:v>384,000</c:v>
                </c:pt>
                <c:pt idx="223">
                  <c:v>387,600</c:v>
                </c:pt>
                <c:pt idx="224">
                  <c:v>389,400</c:v>
                </c:pt>
                <c:pt idx="225">
                  <c:v>391,400</c:v>
                </c:pt>
                <c:pt idx="226">
                  <c:v>396,000</c:v>
                </c:pt>
                <c:pt idx="227">
                  <c:v>399,000</c:v>
                </c:pt>
                <c:pt idx="228">
                  <c:v>400,000</c:v>
                </c:pt>
                <c:pt idx="229">
                  <c:v>401,200</c:v>
                </c:pt>
                <c:pt idx="230">
                  <c:v>404,800</c:v>
                </c:pt>
                <c:pt idx="231">
                  <c:v>408,000</c:v>
                </c:pt>
                <c:pt idx="232">
                  <c:v>412,000</c:v>
                </c:pt>
                <c:pt idx="233">
                  <c:v>418,000</c:v>
                </c:pt>
                <c:pt idx="234">
                  <c:v>420,000</c:v>
                </c:pt>
                <c:pt idx="235">
                  <c:v>422,400</c:v>
                </c:pt>
                <c:pt idx="236">
                  <c:v>425,600</c:v>
                </c:pt>
                <c:pt idx="237">
                  <c:v>440,000</c:v>
                </c:pt>
                <c:pt idx="238">
                  <c:v>445,500</c:v>
                </c:pt>
                <c:pt idx="239">
                  <c:v>448,000</c:v>
                </c:pt>
                <c:pt idx="240">
                  <c:v>448,400</c:v>
                </c:pt>
                <c:pt idx="241">
                  <c:v>448,800</c:v>
                </c:pt>
                <c:pt idx="242">
                  <c:v>453,200</c:v>
                </c:pt>
                <c:pt idx="243">
                  <c:v>455,400</c:v>
                </c:pt>
                <c:pt idx="244">
                  <c:v>459,000</c:v>
                </c:pt>
                <c:pt idx="245">
                  <c:v>462,000</c:v>
                </c:pt>
                <c:pt idx="246">
                  <c:v>469,200</c:v>
                </c:pt>
                <c:pt idx="247">
                  <c:v>470,250</c:v>
                </c:pt>
                <c:pt idx="248">
                  <c:v>472,000</c:v>
                </c:pt>
                <c:pt idx="249">
                  <c:v>475,200</c:v>
                </c:pt>
                <c:pt idx="250">
                  <c:v>484,500</c:v>
                </c:pt>
                <c:pt idx="251">
                  <c:v>489,600</c:v>
                </c:pt>
                <c:pt idx="252">
                  <c:v>492,800</c:v>
                </c:pt>
                <c:pt idx="253">
                  <c:v>495,000</c:v>
                </c:pt>
                <c:pt idx="254">
                  <c:v>504,900</c:v>
                </c:pt>
                <c:pt idx="255">
                  <c:v>509,850</c:v>
                </c:pt>
                <c:pt idx="256">
                  <c:v>510,000</c:v>
                </c:pt>
                <c:pt idx="257">
                  <c:v>513,000</c:v>
                </c:pt>
                <c:pt idx="258">
                  <c:v>519,200</c:v>
                </c:pt>
                <c:pt idx="259">
                  <c:v>519,750</c:v>
                </c:pt>
                <c:pt idx="260">
                  <c:v>520,200</c:v>
                </c:pt>
                <c:pt idx="261">
                  <c:v>524,400</c:v>
                </c:pt>
                <c:pt idx="262">
                  <c:v>525,300</c:v>
                </c:pt>
                <c:pt idx="263">
                  <c:v>535,500</c:v>
                </c:pt>
                <c:pt idx="264">
                  <c:v>540,000</c:v>
                </c:pt>
                <c:pt idx="265">
                  <c:v>541,500</c:v>
                </c:pt>
                <c:pt idx="266">
                  <c:v>547,200</c:v>
                </c:pt>
                <c:pt idx="267">
                  <c:v>552,000</c:v>
                </c:pt>
                <c:pt idx="268">
                  <c:v>554,400</c:v>
                </c:pt>
                <c:pt idx="269">
                  <c:v>570,000</c:v>
                </c:pt>
                <c:pt idx="270">
                  <c:v>571,200</c:v>
                </c:pt>
                <c:pt idx="271">
                  <c:v>576,000</c:v>
                </c:pt>
                <c:pt idx="272">
                  <c:v>581,400</c:v>
                </c:pt>
                <c:pt idx="273">
                  <c:v>584,100</c:v>
                </c:pt>
                <c:pt idx="274">
                  <c:v>587,100</c:v>
                </c:pt>
                <c:pt idx="275">
                  <c:v>594,000</c:v>
                </c:pt>
                <c:pt idx="276">
                  <c:v>598,500</c:v>
                </c:pt>
                <c:pt idx="277">
                  <c:v>600,000</c:v>
                </c:pt>
                <c:pt idx="278">
                  <c:v>601,800</c:v>
                </c:pt>
                <c:pt idx="279">
                  <c:v>607,200</c:v>
                </c:pt>
                <c:pt idx="280">
                  <c:v>612,000</c:v>
                </c:pt>
                <c:pt idx="281">
                  <c:v>618,000</c:v>
                </c:pt>
                <c:pt idx="282">
                  <c:v>625,600</c:v>
                </c:pt>
                <c:pt idx="283">
                  <c:v>627,000</c:v>
                </c:pt>
                <c:pt idx="284">
                  <c:v>630,000</c:v>
                </c:pt>
                <c:pt idx="285">
                  <c:v>633,600</c:v>
                </c:pt>
                <c:pt idx="286">
                  <c:v>638,400</c:v>
                </c:pt>
                <c:pt idx="287">
                  <c:v>646,000</c:v>
                </c:pt>
                <c:pt idx="288">
                  <c:v>652,800</c:v>
                </c:pt>
                <c:pt idx="289">
                  <c:v>660,000</c:v>
                </c:pt>
                <c:pt idx="290">
                  <c:v>672,000</c:v>
                </c:pt>
                <c:pt idx="291">
                  <c:v>672,600</c:v>
                </c:pt>
                <c:pt idx="292">
                  <c:v>673,200</c:v>
                </c:pt>
                <c:pt idx="293">
                  <c:v>679,800</c:v>
                </c:pt>
                <c:pt idx="294">
                  <c:v>680,000</c:v>
                </c:pt>
                <c:pt idx="295">
                  <c:v>684,000</c:v>
                </c:pt>
                <c:pt idx="296">
                  <c:v>688,500</c:v>
                </c:pt>
                <c:pt idx="297">
                  <c:v>693,000</c:v>
                </c:pt>
                <c:pt idx="298">
                  <c:v>693,600</c:v>
                </c:pt>
                <c:pt idx="299">
                  <c:v>699,200</c:v>
                </c:pt>
                <c:pt idx="300">
                  <c:v>700,400</c:v>
                </c:pt>
                <c:pt idx="301">
                  <c:v>703,800</c:v>
                </c:pt>
                <c:pt idx="302">
                  <c:v>708,000</c:v>
                </c:pt>
                <c:pt idx="303">
                  <c:v>714,000</c:v>
                </c:pt>
                <c:pt idx="304">
                  <c:v>720,000</c:v>
                </c:pt>
                <c:pt idx="305">
                  <c:v>722,000</c:v>
                </c:pt>
                <c:pt idx="306">
                  <c:v>726,750</c:v>
                </c:pt>
                <c:pt idx="307">
                  <c:v>729,600</c:v>
                </c:pt>
                <c:pt idx="308">
                  <c:v>734,400</c:v>
                </c:pt>
                <c:pt idx="309">
                  <c:v>736,000</c:v>
                </c:pt>
                <c:pt idx="310">
                  <c:v>739,200</c:v>
                </c:pt>
                <c:pt idx="311">
                  <c:v>760,000</c:v>
                </c:pt>
                <c:pt idx="312">
                  <c:v>761,600</c:v>
                </c:pt>
                <c:pt idx="313">
                  <c:v>765,000</c:v>
                </c:pt>
                <c:pt idx="314">
                  <c:v>768,000</c:v>
                </c:pt>
                <c:pt idx="315">
                  <c:v>769,500</c:v>
                </c:pt>
                <c:pt idx="316">
                  <c:v>775,200</c:v>
                </c:pt>
                <c:pt idx="317">
                  <c:v>778,800</c:v>
                </c:pt>
                <c:pt idx="318">
                  <c:v>780,300</c:v>
                </c:pt>
                <c:pt idx="319">
                  <c:v>782,800</c:v>
                </c:pt>
                <c:pt idx="320">
                  <c:v>786,600</c:v>
                </c:pt>
                <c:pt idx="321">
                  <c:v>787,950</c:v>
                </c:pt>
                <c:pt idx="322">
                  <c:v>798,000</c:v>
                </c:pt>
                <c:pt idx="323">
                  <c:v>800,000</c:v>
                </c:pt>
                <c:pt idx="324">
                  <c:v>802,400</c:v>
                </c:pt>
                <c:pt idx="325">
                  <c:v>803,250</c:v>
                </c:pt>
                <c:pt idx="326">
                  <c:v>810,000</c:v>
                </c:pt>
                <c:pt idx="327">
                  <c:v>812,250</c:v>
                </c:pt>
                <c:pt idx="328">
                  <c:v>816,000</c:v>
                </c:pt>
                <c:pt idx="329">
                  <c:v>820,800</c:v>
                </c:pt>
                <c:pt idx="330">
                  <c:v>824,000</c:v>
                </c:pt>
                <c:pt idx="331">
                  <c:v>828,000</c:v>
                </c:pt>
                <c:pt idx="332">
                  <c:v>840,000</c:v>
                </c:pt>
                <c:pt idx="333">
                  <c:v>851,200</c:v>
                </c:pt>
                <c:pt idx="334">
                  <c:v>855,000</c:v>
                </c:pt>
                <c:pt idx="335">
                  <c:v>856,800</c:v>
                </c:pt>
                <c:pt idx="336">
                  <c:v>864,000</c:v>
                </c:pt>
                <c:pt idx="337">
                  <c:v>872,100</c:v>
                </c:pt>
                <c:pt idx="338">
                  <c:v>880,650</c:v>
                </c:pt>
                <c:pt idx="339">
                  <c:v>896,000</c:v>
                </c:pt>
                <c:pt idx="340">
                  <c:v>896,800</c:v>
                </c:pt>
                <c:pt idx="341">
                  <c:v>897,750</c:v>
                </c:pt>
                <c:pt idx="342">
                  <c:v>900,000</c:v>
                </c:pt>
                <c:pt idx="343">
                  <c:v>902,700</c:v>
                </c:pt>
                <c:pt idx="344">
                  <c:v>918,000</c:v>
                </c:pt>
                <c:pt idx="345">
                  <c:v>927,000</c:v>
                </c:pt>
                <c:pt idx="346">
                  <c:v>938,400</c:v>
                </c:pt>
                <c:pt idx="347">
                  <c:v>944,000</c:v>
                </c:pt>
                <c:pt idx="348">
                  <c:v>945,000</c:v>
                </c:pt>
                <c:pt idx="349">
                  <c:v>957,600</c:v>
                </c:pt>
                <c:pt idx="350">
                  <c:v>969,000</c:v>
                </c:pt>
                <c:pt idx="351">
                  <c:v>979,200</c:v>
                </c:pt>
                <c:pt idx="352">
                  <c:v>1,008,000</c:v>
                </c:pt>
                <c:pt idx="353">
                  <c:v>1,008,900</c:v>
                </c:pt>
                <c:pt idx="354">
                  <c:v>1,020,000</c:v>
                </c:pt>
                <c:pt idx="355">
                  <c:v>1,026,000</c:v>
                </c:pt>
                <c:pt idx="356">
                  <c:v>1,040,400</c:v>
                </c:pt>
                <c:pt idx="357">
                  <c:v>1,048,800</c:v>
                </c:pt>
                <c:pt idx="358">
                  <c:v>1,050,600</c:v>
                </c:pt>
                <c:pt idx="359">
                  <c:v>1,062,000</c:v>
                </c:pt>
                <c:pt idx="360">
                  <c:v>1,071,000</c:v>
                </c:pt>
                <c:pt idx="361">
                  <c:v>1,080,000</c:v>
                </c:pt>
                <c:pt idx="362">
                  <c:v>1,083,000</c:v>
                </c:pt>
                <c:pt idx="363">
                  <c:v>1,094,400</c:v>
                </c:pt>
                <c:pt idx="364">
                  <c:v>1,104,000</c:v>
                </c:pt>
                <c:pt idx="365">
                  <c:v>1,140,000</c:v>
                </c:pt>
                <c:pt idx="366">
                  <c:v>1,142,400</c:v>
                </c:pt>
                <c:pt idx="367">
                  <c:v>1,152,000</c:v>
                </c:pt>
                <c:pt idx="368">
                  <c:v>1,162,800</c:v>
                </c:pt>
                <c:pt idx="369">
                  <c:v>1,174,200</c:v>
                </c:pt>
                <c:pt idx="370">
                  <c:v>1,197,000</c:v>
                </c:pt>
                <c:pt idx="371">
                  <c:v>1,200,000</c:v>
                </c:pt>
                <c:pt idx="372">
                  <c:v>1,203,600</c:v>
                </c:pt>
                <c:pt idx="373">
                  <c:v>1,224,000</c:v>
                </c:pt>
                <c:pt idx="374">
                  <c:v>1,236,000</c:v>
                </c:pt>
                <c:pt idx="375">
                  <c:v>1,260,000</c:v>
                </c:pt>
                <c:pt idx="376">
                  <c:v>1,276,800</c:v>
                </c:pt>
                <c:pt idx="377">
                  <c:v>1,344,000</c:v>
                </c:pt>
                <c:pt idx="378">
                  <c:v>1,345,200</c:v>
                </c:pt>
                <c:pt idx="379">
                  <c:v>1,416,000</c:v>
                </c:pt>
              </c:strCache>
            </c:strRef>
          </c:cat>
          <c:val>
            <c:numRef>
              <c:f>'14_Advance_PA'!$B$5:$B$385</c:f>
              <c:numCache>
                <c:formatCode>"$"#,##0.00</c:formatCode>
                <c:ptCount val="380"/>
                <c:pt idx="0">
                  <c:v>83090700</c:v>
                </c:pt>
                <c:pt idx="1">
                  <c:v>84937160</c:v>
                </c:pt>
                <c:pt idx="2">
                  <c:v>87706850</c:v>
                </c:pt>
                <c:pt idx="3">
                  <c:v>88630080</c:v>
                </c:pt>
                <c:pt idx="4">
                  <c:v>138484500</c:v>
                </c:pt>
                <c:pt idx="5">
                  <c:v>141254190</c:v>
                </c:pt>
                <c:pt idx="6">
                  <c:v>47546345</c:v>
                </c:pt>
                <c:pt idx="7">
                  <c:v>48469575</c:v>
                </c:pt>
                <c:pt idx="8">
                  <c:v>51700880</c:v>
                </c:pt>
                <c:pt idx="9">
                  <c:v>54470570</c:v>
                </c:pt>
                <c:pt idx="10">
                  <c:v>128412900</c:v>
                </c:pt>
                <c:pt idx="11">
                  <c:v>131266520</c:v>
                </c:pt>
                <c:pt idx="12">
                  <c:v>135546950</c:v>
                </c:pt>
                <c:pt idx="13">
                  <c:v>136973760</c:v>
                </c:pt>
                <c:pt idx="14">
                  <c:v>118681200</c:v>
                </c:pt>
                <c:pt idx="15">
                  <c:v>214021500</c:v>
                </c:pt>
                <c:pt idx="16">
                  <c:v>143520300</c:v>
                </c:pt>
                <c:pt idx="17">
                  <c:v>218301930</c:v>
                </c:pt>
                <c:pt idx="18">
                  <c:v>121318560</c:v>
                </c:pt>
                <c:pt idx="19">
                  <c:v>146709640</c:v>
                </c:pt>
                <c:pt idx="20">
                  <c:v>73480715</c:v>
                </c:pt>
                <c:pt idx="21">
                  <c:v>74907525</c:v>
                </c:pt>
                <c:pt idx="22">
                  <c:v>125274600</c:v>
                </c:pt>
                <c:pt idx="23">
                  <c:v>151074000</c:v>
                </c:pt>
                <c:pt idx="24">
                  <c:v>151493650</c:v>
                </c:pt>
                <c:pt idx="25">
                  <c:v>126593280</c:v>
                </c:pt>
                <c:pt idx="26">
                  <c:v>153088320</c:v>
                </c:pt>
                <c:pt idx="27">
                  <c:v>154431200</c:v>
                </c:pt>
                <c:pt idx="28">
                  <c:v>197802000</c:v>
                </c:pt>
                <c:pt idx="29">
                  <c:v>398667500</c:v>
                </c:pt>
                <c:pt idx="30">
                  <c:v>79901360</c:v>
                </c:pt>
                <c:pt idx="31">
                  <c:v>161145600</c:v>
                </c:pt>
                <c:pt idx="32">
                  <c:v>201758040</c:v>
                </c:pt>
                <c:pt idx="33">
                  <c:v>243984510</c:v>
                </c:pt>
                <c:pt idx="34">
                  <c:v>67912020</c:v>
                </c:pt>
                <c:pt idx="35">
                  <c:v>82125505</c:v>
                </c:pt>
                <c:pt idx="36">
                  <c:v>145322100</c:v>
                </c:pt>
                <c:pt idx="37">
                  <c:v>83720175</c:v>
                </c:pt>
                <c:pt idx="38">
                  <c:v>251790000</c:v>
                </c:pt>
                <c:pt idx="39">
                  <c:v>84181790</c:v>
                </c:pt>
                <c:pt idx="40">
                  <c:v>77782320</c:v>
                </c:pt>
                <c:pt idx="41">
                  <c:v>256825800</c:v>
                </c:pt>
                <c:pt idx="42">
                  <c:v>86447900</c:v>
                </c:pt>
                <c:pt idx="43">
                  <c:v>80318700</c:v>
                </c:pt>
                <c:pt idx="44">
                  <c:v>88126500</c:v>
                </c:pt>
                <c:pt idx="45">
                  <c:v>155010240</c:v>
                </c:pt>
                <c:pt idx="46">
                  <c:v>89301520</c:v>
                </c:pt>
                <c:pt idx="47">
                  <c:v>126819000</c:v>
                </c:pt>
                <c:pt idx="48">
                  <c:v>77802120</c:v>
                </c:pt>
                <c:pt idx="49">
                  <c:v>94001600</c:v>
                </c:pt>
                <c:pt idx="50">
                  <c:v>94085530</c:v>
                </c:pt>
                <c:pt idx="51">
                  <c:v>129355380</c:v>
                </c:pt>
                <c:pt idx="52">
                  <c:v>43541190</c:v>
                </c:pt>
                <c:pt idx="53">
                  <c:v>44386650</c:v>
                </c:pt>
                <c:pt idx="54">
                  <c:v>99037400</c:v>
                </c:pt>
                <c:pt idx="55">
                  <c:v>47345760</c:v>
                </c:pt>
                <c:pt idx="56">
                  <c:v>53281800</c:v>
                </c:pt>
                <c:pt idx="57">
                  <c:v>49882140</c:v>
                </c:pt>
                <c:pt idx="58">
                  <c:v>54465840</c:v>
                </c:pt>
                <c:pt idx="59">
                  <c:v>183416400</c:v>
                </c:pt>
                <c:pt idx="60">
                  <c:v>187492320</c:v>
                </c:pt>
                <c:pt idx="61">
                  <c:v>56241900</c:v>
                </c:pt>
                <c:pt idx="62">
                  <c:v>56833920</c:v>
                </c:pt>
                <c:pt idx="63">
                  <c:v>193606200</c:v>
                </c:pt>
                <c:pt idx="64">
                  <c:v>195644160</c:v>
                </c:pt>
                <c:pt idx="65">
                  <c:v>88803000</c:v>
                </c:pt>
                <c:pt idx="66">
                  <c:v>90579060</c:v>
                </c:pt>
                <c:pt idx="67">
                  <c:v>30489030</c:v>
                </c:pt>
                <c:pt idx="68">
                  <c:v>305694000</c:v>
                </c:pt>
                <c:pt idx="69">
                  <c:v>204994800</c:v>
                </c:pt>
                <c:pt idx="70">
                  <c:v>31081050</c:v>
                </c:pt>
                <c:pt idx="71">
                  <c:v>311807880</c:v>
                </c:pt>
                <c:pt idx="72">
                  <c:v>209550240</c:v>
                </c:pt>
                <c:pt idx="73">
                  <c:v>104954940</c:v>
                </c:pt>
                <c:pt idx="74">
                  <c:v>224588700</c:v>
                </c:pt>
                <c:pt idx="75">
                  <c:v>215784000</c:v>
                </c:pt>
                <c:pt idx="76">
                  <c:v>216383400</c:v>
                </c:pt>
                <c:pt idx="77">
                  <c:v>218661120</c:v>
                </c:pt>
                <c:pt idx="78">
                  <c:v>120209040</c:v>
                </c:pt>
                <c:pt idx="79">
                  <c:v>220579200</c:v>
                </c:pt>
                <c:pt idx="80">
                  <c:v>33153120</c:v>
                </c:pt>
                <c:pt idx="81">
                  <c:v>124128900</c:v>
                </c:pt>
                <c:pt idx="82">
                  <c:v>569430000</c:v>
                </c:pt>
                <c:pt idx="83">
                  <c:v>239561280</c:v>
                </c:pt>
                <c:pt idx="84">
                  <c:v>230169600</c:v>
                </c:pt>
                <c:pt idx="85">
                  <c:v>348491160</c:v>
                </c:pt>
                <c:pt idx="86">
                  <c:v>34929180</c:v>
                </c:pt>
                <c:pt idx="87">
                  <c:v>117302580</c:v>
                </c:pt>
                <c:pt idx="88">
                  <c:v>195993000</c:v>
                </c:pt>
                <c:pt idx="89">
                  <c:v>251010900</c:v>
                </c:pt>
                <c:pt idx="90">
                  <c:v>359640000</c:v>
                </c:pt>
                <c:pt idx="91">
                  <c:v>120239640</c:v>
                </c:pt>
                <c:pt idx="92">
                  <c:v>199912860</c:v>
                </c:pt>
                <c:pt idx="93">
                  <c:v>134351280</c:v>
                </c:pt>
                <c:pt idx="94">
                  <c:v>366832800</c:v>
                </c:pt>
                <c:pt idx="95">
                  <c:v>67290930</c:v>
                </c:pt>
                <c:pt idx="96">
                  <c:v>123476400</c:v>
                </c:pt>
                <c:pt idx="97">
                  <c:v>173002500</c:v>
                </c:pt>
                <c:pt idx="98">
                  <c:v>68597550</c:v>
                </c:pt>
                <c:pt idx="99">
                  <c:v>264222000</c:v>
                </c:pt>
                <c:pt idx="100">
                  <c:v>138732300</c:v>
                </c:pt>
                <c:pt idx="101">
                  <c:v>176847000</c:v>
                </c:pt>
                <c:pt idx="102">
                  <c:v>267744960</c:v>
                </c:pt>
                <c:pt idx="103">
                  <c:v>141422400</c:v>
                </c:pt>
                <c:pt idx="104">
                  <c:v>182613750</c:v>
                </c:pt>
                <c:pt idx="105">
                  <c:v>184536000</c:v>
                </c:pt>
                <c:pt idx="106">
                  <c:v>365085000</c:v>
                </c:pt>
                <c:pt idx="107">
                  <c:v>73170720</c:v>
                </c:pt>
                <c:pt idx="108">
                  <c:v>281836800</c:v>
                </c:pt>
                <c:pt idx="109">
                  <c:v>134385480</c:v>
                </c:pt>
                <c:pt idx="110">
                  <c:v>223432020</c:v>
                </c:pt>
                <c:pt idx="111">
                  <c:v>75207510</c:v>
                </c:pt>
                <c:pt idx="112">
                  <c:v>288337500</c:v>
                </c:pt>
                <c:pt idx="113">
                  <c:v>82344600</c:v>
                </c:pt>
                <c:pt idx="114">
                  <c:v>76667850</c:v>
                </c:pt>
                <c:pt idx="115">
                  <c:v>230580000</c:v>
                </c:pt>
                <c:pt idx="116">
                  <c:v>294104250</c:v>
                </c:pt>
                <c:pt idx="117">
                  <c:v>77090580</c:v>
                </c:pt>
                <c:pt idx="118">
                  <c:v>84174480</c:v>
                </c:pt>
                <c:pt idx="119">
                  <c:v>141458400</c:v>
                </c:pt>
                <c:pt idx="120">
                  <c:v>98995875</c:v>
                </c:pt>
                <c:pt idx="121">
                  <c:v>235191600</c:v>
                </c:pt>
                <c:pt idx="122">
                  <c:v>79165800</c:v>
                </c:pt>
                <c:pt idx="123">
                  <c:v>100918125</c:v>
                </c:pt>
                <c:pt idx="124">
                  <c:v>86919300</c:v>
                </c:pt>
                <c:pt idx="125">
                  <c:v>87834240</c:v>
                </c:pt>
                <c:pt idx="126">
                  <c:v>80703000</c:v>
                </c:pt>
                <c:pt idx="127">
                  <c:v>81779040</c:v>
                </c:pt>
                <c:pt idx="128">
                  <c:v>137241000</c:v>
                </c:pt>
                <c:pt idx="129">
                  <c:v>92032200</c:v>
                </c:pt>
                <c:pt idx="130">
                  <c:v>107646000</c:v>
                </c:pt>
                <c:pt idx="131">
                  <c:v>139985820</c:v>
                </c:pt>
                <c:pt idx="132">
                  <c:v>86083200</c:v>
                </c:pt>
                <c:pt idx="133">
                  <c:v>86160060</c:v>
                </c:pt>
                <c:pt idx="134">
                  <c:v>94077360</c:v>
                </c:pt>
                <c:pt idx="135">
                  <c:v>47119410</c:v>
                </c:pt>
                <c:pt idx="136">
                  <c:v>48034350</c:v>
                </c:pt>
                <c:pt idx="137">
                  <c:v>96876000</c:v>
                </c:pt>
                <c:pt idx="138">
                  <c:v>113412750</c:v>
                </c:pt>
                <c:pt idx="139">
                  <c:v>97145100</c:v>
                </c:pt>
                <c:pt idx="140">
                  <c:v>98167680</c:v>
                </c:pt>
                <c:pt idx="141">
                  <c:v>90694800</c:v>
                </c:pt>
                <c:pt idx="142">
                  <c:v>99028800</c:v>
                </c:pt>
                <c:pt idx="143">
                  <c:v>255645000</c:v>
                </c:pt>
                <c:pt idx="144">
                  <c:v>51236640</c:v>
                </c:pt>
                <c:pt idx="145">
                  <c:v>103334400</c:v>
                </c:pt>
                <c:pt idx="146">
                  <c:v>156454740</c:v>
                </c:pt>
                <c:pt idx="147">
                  <c:v>52662870</c:v>
                </c:pt>
                <c:pt idx="148">
                  <c:v>53685450</c:v>
                </c:pt>
                <c:pt idx="149">
                  <c:v>161460000</c:v>
                </c:pt>
                <c:pt idx="150">
                  <c:v>53981460</c:v>
                </c:pt>
                <c:pt idx="151">
                  <c:v>164689200</c:v>
                </c:pt>
                <c:pt idx="152">
                  <c:v>55434600</c:v>
                </c:pt>
                <c:pt idx="153">
                  <c:v>56511000</c:v>
                </c:pt>
                <c:pt idx="154">
                  <c:v>267367500</c:v>
                </c:pt>
                <c:pt idx="155">
                  <c:v>57264480</c:v>
                </c:pt>
                <c:pt idx="156">
                  <c:v>273309000</c:v>
                </c:pt>
                <c:pt idx="157">
                  <c:v>9504000</c:v>
                </c:pt>
                <c:pt idx="158">
                  <c:v>60278400</c:v>
                </c:pt>
                <c:pt idx="159">
                  <c:v>60332220</c:v>
                </c:pt>
                <c:pt idx="160">
                  <c:v>282221250</c:v>
                </c:pt>
                <c:pt idx="161">
                  <c:v>9715200</c:v>
                </c:pt>
                <c:pt idx="162">
                  <c:v>285192000</c:v>
                </c:pt>
                <c:pt idx="163">
                  <c:v>10032000</c:v>
                </c:pt>
                <c:pt idx="164">
                  <c:v>10137600</c:v>
                </c:pt>
                <c:pt idx="165">
                  <c:v>63507600</c:v>
                </c:pt>
                <c:pt idx="166">
                  <c:v>445612500</c:v>
                </c:pt>
                <c:pt idx="167">
                  <c:v>298822500</c:v>
                </c:pt>
                <c:pt idx="168">
                  <c:v>454524750</c:v>
                </c:pt>
                <c:pt idx="169">
                  <c:v>305463000</c:v>
                </c:pt>
                <c:pt idx="170">
                  <c:v>152993625</c:v>
                </c:pt>
                <c:pt idx="171">
                  <c:v>15840000</c:v>
                </c:pt>
                <c:pt idx="172">
                  <c:v>155964375</c:v>
                </c:pt>
                <c:pt idx="173">
                  <c:v>16156800</c:v>
                </c:pt>
                <c:pt idx="174">
                  <c:v>314550000</c:v>
                </c:pt>
                <c:pt idx="175">
                  <c:v>315423750</c:v>
                </c:pt>
                <c:pt idx="176">
                  <c:v>5438400</c:v>
                </c:pt>
                <c:pt idx="177">
                  <c:v>318744000</c:v>
                </c:pt>
                <c:pt idx="178">
                  <c:v>321540000</c:v>
                </c:pt>
                <c:pt idx="179">
                  <c:v>5544000</c:v>
                </c:pt>
                <c:pt idx="180">
                  <c:v>830062500</c:v>
                </c:pt>
                <c:pt idx="181">
                  <c:v>166362000</c:v>
                </c:pt>
                <c:pt idx="182">
                  <c:v>335520000</c:v>
                </c:pt>
                <c:pt idx="183">
                  <c:v>507998250</c:v>
                </c:pt>
                <c:pt idx="184">
                  <c:v>170992875</c:v>
                </c:pt>
                <c:pt idx="185">
                  <c:v>5913600</c:v>
                </c:pt>
                <c:pt idx="186">
                  <c:v>174313125</c:v>
                </c:pt>
                <c:pt idx="187">
                  <c:v>524250000</c:v>
                </c:pt>
                <c:pt idx="188">
                  <c:v>175274250</c:v>
                </c:pt>
                <c:pt idx="189">
                  <c:v>534735000</c:v>
                </c:pt>
                <c:pt idx="190">
                  <c:v>179992500</c:v>
                </c:pt>
                <c:pt idx="191">
                  <c:v>6230400</c:v>
                </c:pt>
                <c:pt idx="192">
                  <c:v>183487500</c:v>
                </c:pt>
                <c:pt idx="193">
                  <c:v>185934000</c:v>
                </c:pt>
                <c:pt idx="194">
                  <c:v>195720000</c:v>
                </c:pt>
                <c:pt idx="195">
                  <c:v>195894750</c:v>
                </c:pt>
                <c:pt idx="196">
                  <c:v>206205000</c:v>
                </c:pt>
                <c:pt idx="197">
                  <c:v>23166000</c:v>
                </c:pt>
                <c:pt idx="198">
                  <c:v>23680800</c:v>
                </c:pt>
                <c:pt idx="199">
                  <c:v>14688000</c:v>
                </c:pt>
                <c:pt idx="200">
                  <c:v>15014400</c:v>
                </c:pt>
                <c:pt idx="201">
                  <c:v>24453000</c:v>
                </c:pt>
                <c:pt idx="202">
                  <c:v>24710400</c:v>
                </c:pt>
                <c:pt idx="203">
                  <c:v>15504000</c:v>
                </c:pt>
                <c:pt idx="204">
                  <c:v>15667200</c:v>
                </c:pt>
                <c:pt idx="205">
                  <c:v>38610000</c:v>
                </c:pt>
                <c:pt idx="206">
                  <c:v>39382200</c:v>
                </c:pt>
                <c:pt idx="207">
                  <c:v>13256100</c:v>
                </c:pt>
                <c:pt idx="208">
                  <c:v>24480000</c:v>
                </c:pt>
                <c:pt idx="209">
                  <c:v>16416000</c:v>
                </c:pt>
                <c:pt idx="210">
                  <c:v>13513500</c:v>
                </c:pt>
                <c:pt idx="211">
                  <c:v>24969600</c:v>
                </c:pt>
                <c:pt idx="212">
                  <c:v>16780800</c:v>
                </c:pt>
                <c:pt idx="213">
                  <c:v>8404800</c:v>
                </c:pt>
                <c:pt idx="214">
                  <c:v>8568000</c:v>
                </c:pt>
                <c:pt idx="215">
                  <c:v>17280000</c:v>
                </c:pt>
                <c:pt idx="216">
                  <c:v>17328000</c:v>
                </c:pt>
                <c:pt idx="217">
                  <c:v>17510400</c:v>
                </c:pt>
                <c:pt idx="218">
                  <c:v>17664000</c:v>
                </c:pt>
                <c:pt idx="219">
                  <c:v>14414400</c:v>
                </c:pt>
                <c:pt idx="220">
                  <c:v>45600000</c:v>
                </c:pt>
                <c:pt idx="221">
                  <c:v>9139200</c:v>
                </c:pt>
                <c:pt idx="222">
                  <c:v>18432000</c:v>
                </c:pt>
                <c:pt idx="223">
                  <c:v>27907200</c:v>
                </c:pt>
                <c:pt idx="224">
                  <c:v>15186600</c:v>
                </c:pt>
                <c:pt idx="225">
                  <c:v>9393600</c:v>
                </c:pt>
                <c:pt idx="226">
                  <c:v>11880000</c:v>
                </c:pt>
                <c:pt idx="227">
                  <c:v>9576000</c:v>
                </c:pt>
                <c:pt idx="228">
                  <c:v>28800000</c:v>
                </c:pt>
                <c:pt idx="229">
                  <c:v>9628800</c:v>
                </c:pt>
                <c:pt idx="230">
                  <c:v>12144000</c:v>
                </c:pt>
                <c:pt idx="231">
                  <c:v>29376000</c:v>
                </c:pt>
                <c:pt idx="232">
                  <c:v>9888000</c:v>
                </c:pt>
                <c:pt idx="233">
                  <c:v>12540000</c:v>
                </c:pt>
                <c:pt idx="234">
                  <c:v>10080000</c:v>
                </c:pt>
                <c:pt idx="235">
                  <c:v>12672000</c:v>
                </c:pt>
                <c:pt idx="236">
                  <c:v>10214400</c:v>
                </c:pt>
                <c:pt idx="237">
                  <c:v>19800000</c:v>
                </c:pt>
                <c:pt idx="238">
                  <c:v>7128000</c:v>
                </c:pt>
                <c:pt idx="239">
                  <c:v>10752000</c:v>
                </c:pt>
                <c:pt idx="240">
                  <c:v>10761600</c:v>
                </c:pt>
                <c:pt idx="241">
                  <c:v>20196000</c:v>
                </c:pt>
                <c:pt idx="242">
                  <c:v>6798000</c:v>
                </c:pt>
                <c:pt idx="243">
                  <c:v>7286400</c:v>
                </c:pt>
                <c:pt idx="244">
                  <c:v>35802000</c:v>
                </c:pt>
                <c:pt idx="245">
                  <c:v>6930000</c:v>
                </c:pt>
                <c:pt idx="246">
                  <c:v>36597600</c:v>
                </c:pt>
                <c:pt idx="247">
                  <c:v>7524000</c:v>
                </c:pt>
                <c:pt idx="248">
                  <c:v>11328000</c:v>
                </c:pt>
                <c:pt idx="249">
                  <c:v>7603200</c:v>
                </c:pt>
                <c:pt idx="250">
                  <c:v>37791000</c:v>
                </c:pt>
                <c:pt idx="251">
                  <c:v>38188800</c:v>
                </c:pt>
                <c:pt idx="252">
                  <c:v>7392000</c:v>
                </c:pt>
                <c:pt idx="253">
                  <c:v>11880000</c:v>
                </c:pt>
                <c:pt idx="254">
                  <c:v>12117600</c:v>
                </c:pt>
                <c:pt idx="255">
                  <c:v>4078800</c:v>
                </c:pt>
                <c:pt idx="256">
                  <c:v>59670000</c:v>
                </c:pt>
                <c:pt idx="257">
                  <c:v>40014000</c:v>
                </c:pt>
                <c:pt idx="258">
                  <c:v>7788000</c:v>
                </c:pt>
                <c:pt idx="259">
                  <c:v>4158000</c:v>
                </c:pt>
                <c:pt idx="260">
                  <c:v>60863400</c:v>
                </c:pt>
                <c:pt idx="261">
                  <c:v>40903200</c:v>
                </c:pt>
                <c:pt idx="262">
                  <c:v>20486700</c:v>
                </c:pt>
                <c:pt idx="263">
                  <c:v>20884500</c:v>
                </c:pt>
                <c:pt idx="264">
                  <c:v>42120000</c:v>
                </c:pt>
                <c:pt idx="265">
                  <c:v>42237000</c:v>
                </c:pt>
                <c:pt idx="266">
                  <c:v>42681600</c:v>
                </c:pt>
                <c:pt idx="267">
                  <c:v>43056000</c:v>
                </c:pt>
                <c:pt idx="268">
                  <c:v>4435200</c:v>
                </c:pt>
                <c:pt idx="269">
                  <c:v>111150000</c:v>
                </c:pt>
                <c:pt idx="270">
                  <c:v>22276800</c:v>
                </c:pt>
                <c:pt idx="271">
                  <c:v>44928000</c:v>
                </c:pt>
                <c:pt idx="272">
                  <c:v>68023800</c:v>
                </c:pt>
                <c:pt idx="273">
                  <c:v>4672800</c:v>
                </c:pt>
                <c:pt idx="274">
                  <c:v>22896900</c:v>
                </c:pt>
                <c:pt idx="275">
                  <c:v>14256000</c:v>
                </c:pt>
                <c:pt idx="276">
                  <c:v>23341500</c:v>
                </c:pt>
                <c:pt idx="277">
                  <c:v>70200000</c:v>
                </c:pt>
                <c:pt idx="278">
                  <c:v>23470200</c:v>
                </c:pt>
                <c:pt idx="279">
                  <c:v>14572800</c:v>
                </c:pt>
                <c:pt idx="280">
                  <c:v>89964000</c:v>
                </c:pt>
                <c:pt idx="281">
                  <c:v>24102000</c:v>
                </c:pt>
                <c:pt idx="282">
                  <c:v>18768000</c:v>
                </c:pt>
                <c:pt idx="283">
                  <c:v>15048000</c:v>
                </c:pt>
                <c:pt idx="284">
                  <c:v>24570000</c:v>
                </c:pt>
                <c:pt idx="285">
                  <c:v>15206400</c:v>
                </c:pt>
                <c:pt idx="286">
                  <c:v>24897600</c:v>
                </c:pt>
                <c:pt idx="287">
                  <c:v>19380000</c:v>
                </c:pt>
                <c:pt idx="288">
                  <c:v>19584000</c:v>
                </c:pt>
                <c:pt idx="289">
                  <c:v>23760000</c:v>
                </c:pt>
                <c:pt idx="290">
                  <c:v>26208000</c:v>
                </c:pt>
                <c:pt idx="291">
                  <c:v>26231400</c:v>
                </c:pt>
                <c:pt idx="292">
                  <c:v>24235200</c:v>
                </c:pt>
                <c:pt idx="293">
                  <c:v>8157600</c:v>
                </c:pt>
                <c:pt idx="294">
                  <c:v>30600000</c:v>
                </c:pt>
                <c:pt idx="295">
                  <c:v>20520000</c:v>
                </c:pt>
                <c:pt idx="296">
                  <c:v>11016000</c:v>
                </c:pt>
                <c:pt idx="297">
                  <c:v>8316000</c:v>
                </c:pt>
                <c:pt idx="298">
                  <c:v>31212000</c:v>
                </c:pt>
                <c:pt idx="299">
                  <c:v>20976000</c:v>
                </c:pt>
                <c:pt idx="300">
                  <c:v>10506000</c:v>
                </c:pt>
                <c:pt idx="301">
                  <c:v>11260800</c:v>
                </c:pt>
                <c:pt idx="302">
                  <c:v>27612000</c:v>
                </c:pt>
                <c:pt idx="303">
                  <c:v>10710000</c:v>
                </c:pt>
                <c:pt idx="304">
                  <c:v>21600000</c:v>
                </c:pt>
                <c:pt idx="305">
                  <c:v>21660000</c:v>
                </c:pt>
                <c:pt idx="306">
                  <c:v>11628000</c:v>
                </c:pt>
                <c:pt idx="307">
                  <c:v>21888000</c:v>
                </c:pt>
                <c:pt idx="308">
                  <c:v>11750400</c:v>
                </c:pt>
                <c:pt idx="309">
                  <c:v>22080000</c:v>
                </c:pt>
                <c:pt idx="310">
                  <c:v>8870400</c:v>
                </c:pt>
                <c:pt idx="311">
                  <c:v>57000000</c:v>
                </c:pt>
                <c:pt idx="312">
                  <c:v>11424000</c:v>
                </c:pt>
                <c:pt idx="313">
                  <c:v>18360000</c:v>
                </c:pt>
                <c:pt idx="314">
                  <c:v>23040000</c:v>
                </c:pt>
                <c:pt idx="315">
                  <c:v>12312000</c:v>
                </c:pt>
                <c:pt idx="316">
                  <c:v>34884000</c:v>
                </c:pt>
                <c:pt idx="317">
                  <c:v>9345600</c:v>
                </c:pt>
                <c:pt idx="318">
                  <c:v>18727200</c:v>
                </c:pt>
                <c:pt idx="319">
                  <c:v>11742000</c:v>
                </c:pt>
                <c:pt idx="320">
                  <c:v>12585600</c:v>
                </c:pt>
                <c:pt idx="321">
                  <c:v>6303600</c:v>
                </c:pt>
                <c:pt idx="322">
                  <c:v>11970000</c:v>
                </c:pt>
                <c:pt idx="323">
                  <c:v>36000000</c:v>
                </c:pt>
                <c:pt idx="324">
                  <c:v>12036000</c:v>
                </c:pt>
                <c:pt idx="325">
                  <c:v>6426000</c:v>
                </c:pt>
                <c:pt idx="326">
                  <c:v>12960000</c:v>
                </c:pt>
                <c:pt idx="327">
                  <c:v>12996000</c:v>
                </c:pt>
                <c:pt idx="328">
                  <c:v>36720000</c:v>
                </c:pt>
                <c:pt idx="329">
                  <c:v>13132800</c:v>
                </c:pt>
                <c:pt idx="330">
                  <c:v>12360000</c:v>
                </c:pt>
                <c:pt idx="331">
                  <c:v>13248000</c:v>
                </c:pt>
                <c:pt idx="332">
                  <c:v>12600000</c:v>
                </c:pt>
                <c:pt idx="333">
                  <c:v>12768000</c:v>
                </c:pt>
                <c:pt idx="334">
                  <c:v>34200000</c:v>
                </c:pt>
                <c:pt idx="335">
                  <c:v>6854400</c:v>
                </c:pt>
                <c:pt idx="336">
                  <c:v>13824000</c:v>
                </c:pt>
                <c:pt idx="337">
                  <c:v>20930400</c:v>
                </c:pt>
                <c:pt idx="338">
                  <c:v>7045200</c:v>
                </c:pt>
                <c:pt idx="339">
                  <c:v>13440000</c:v>
                </c:pt>
                <c:pt idx="340">
                  <c:v>13452000</c:v>
                </c:pt>
                <c:pt idx="341">
                  <c:v>7182000</c:v>
                </c:pt>
                <c:pt idx="342">
                  <c:v>21600000</c:v>
                </c:pt>
                <c:pt idx="343">
                  <c:v>7221600</c:v>
                </c:pt>
                <c:pt idx="344">
                  <c:v>44064000</c:v>
                </c:pt>
                <c:pt idx="345">
                  <c:v>7416000</c:v>
                </c:pt>
                <c:pt idx="346">
                  <c:v>22521600</c:v>
                </c:pt>
                <c:pt idx="347">
                  <c:v>14160000</c:v>
                </c:pt>
                <c:pt idx="348">
                  <c:v>7560000</c:v>
                </c:pt>
                <c:pt idx="349">
                  <c:v>7660800</c:v>
                </c:pt>
                <c:pt idx="350">
                  <c:v>23256000</c:v>
                </c:pt>
                <c:pt idx="351">
                  <c:v>23500800</c:v>
                </c:pt>
                <c:pt idx="352">
                  <c:v>8064000</c:v>
                </c:pt>
                <c:pt idx="353">
                  <c:v>8071200</c:v>
                </c:pt>
                <c:pt idx="354">
                  <c:v>36720000</c:v>
                </c:pt>
                <c:pt idx="355">
                  <c:v>24624000</c:v>
                </c:pt>
                <c:pt idx="356">
                  <c:v>37454400</c:v>
                </c:pt>
                <c:pt idx="357">
                  <c:v>25171200</c:v>
                </c:pt>
                <c:pt idx="358">
                  <c:v>12607200</c:v>
                </c:pt>
                <c:pt idx="359">
                  <c:v>8496000</c:v>
                </c:pt>
                <c:pt idx="360">
                  <c:v>12852000</c:v>
                </c:pt>
                <c:pt idx="361">
                  <c:v>25920000</c:v>
                </c:pt>
                <c:pt idx="362">
                  <c:v>25992000</c:v>
                </c:pt>
                <c:pt idx="363">
                  <c:v>26265600</c:v>
                </c:pt>
                <c:pt idx="364">
                  <c:v>26496000</c:v>
                </c:pt>
                <c:pt idx="365">
                  <c:v>68400000</c:v>
                </c:pt>
                <c:pt idx="366">
                  <c:v>13708800</c:v>
                </c:pt>
                <c:pt idx="367">
                  <c:v>27648000</c:v>
                </c:pt>
                <c:pt idx="368">
                  <c:v>41860800</c:v>
                </c:pt>
                <c:pt idx="369">
                  <c:v>14090400</c:v>
                </c:pt>
                <c:pt idx="370">
                  <c:v>14364000</c:v>
                </c:pt>
                <c:pt idx="371">
                  <c:v>43200000</c:v>
                </c:pt>
                <c:pt idx="372">
                  <c:v>14443200</c:v>
                </c:pt>
                <c:pt idx="373">
                  <c:v>44064000</c:v>
                </c:pt>
                <c:pt idx="374">
                  <c:v>14832000</c:v>
                </c:pt>
                <c:pt idx="375">
                  <c:v>15120000</c:v>
                </c:pt>
                <c:pt idx="376">
                  <c:v>15321600</c:v>
                </c:pt>
                <c:pt idx="377">
                  <c:v>16128000</c:v>
                </c:pt>
                <c:pt idx="378">
                  <c:v>16142400</c:v>
                </c:pt>
                <c:pt idx="379">
                  <c:v>16992000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A0-4B07-BAF8-132B2370557F}"/>
            </c:ext>
          </c:extLst>
        </c:ser>
        <c:dLbls/>
        <c:gapWidth val="219"/>
        <c:overlap val="-27"/>
        <c:axId val="139392128"/>
        <c:axId val="139393664"/>
      </c:barChart>
      <c:catAx>
        <c:axId val="13939212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93664"/>
        <c:crosses val="autoZero"/>
        <c:auto val="1"/>
        <c:lblAlgn val="ctr"/>
        <c:lblOffset val="100"/>
      </c:catAx>
      <c:valAx>
        <c:axId val="13939366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9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[MadeUP_FPA_Model 1.xlsx]14_Advance_PA!PivotTable4</c:name>
    <c:fmtId val="2"/>
  </c:pivotSource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'14_Advance_PA'!$E$4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strRef>
              <c:f>'14_Advance_PA'!$D$5:$D$9</c:f>
              <c:strCache>
                <c:ptCount val="4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</c:strCache>
            </c:strRef>
          </c:cat>
          <c:val>
            <c:numRef>
              <c:f>'14_Advance_PA'!$E$5:$E$9</c:f>
              <c:numCache>
                <c:formatCode>"$"#,##0.00</c:formatCode>
                <c:ptCount val="4"/>
                <c:pt idx="0">
                  <c:v>10307536000</c:v>
                </c:pt>
                <c:pt idx="1">
                  <c:v>8761405600</c:v>
                </c:pt>
                <c:pt idx="2">
                  <c:v>9792159200</c:v>
                </c:pt>
                <c:pt idx="3">
                  <c:v>5669144800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F5B-48B7-B12A-3D4EDA03C386}"/>
            </c:ext>
          </c:extLst>
        </c:ser>
        <c:dLbls/>
        <c:gapWidth val="182"/>
        <c:axId val="139572352"/>
        <c:axId val="139573888"/>
      </c:barChart>
      <c:catAx>
        <c:axId val="139572352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73888"/>
        <c:crosses val="autoZero"/>
        <c:auto val="1"/>
        <c:lblAlgn val="ctr"/>
        <c:lblOffset val="100"/>
      </c:catAx>
      <c:valAx>
        <c:axId val="13957388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7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[MadeUP_FPA_Model 1.xlsx]14_Advance_PA!PivotTable3</c:name>
    <c:fmtId val="2"/>
  </c:pivotSource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'14_Advance_PA'!$E$12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718-4B42-8471-09933B4117E1}"/>
              </c:ext>
            </c:extLst>
          </c:dPt>
          <c:dPt>
            <c:idx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718-4B42-8471-09933B4117E1}"/>
              </c:ext>
            </c:extLst>
          </c:dPt>
          <c:dPt>
            <c:idx val="2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718-4B42-8471-09933B4117E1}"/>
              </c:ext>
            </c:extLst>
          </c:dPt>
          <c:dPt>
            <c:idx val="3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718-4B42-8471-09933B4117E1}"/>
              </c:ext>
            </c:extLst>
          </c:dPt>
          <c:dPt>
            <c:idx val="4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718-4B42-8471-09933B4117E1}"/>
              </c:ext>
            </c:extLst>
          </c:dPt>
          <c:dPt>
            <c:idx val="5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718-4B42-8471-09933B4117E1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1718-4B42-8471-09933B4117E1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1718-4B42-8471-09933B4117E1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1718-4B42-8471-09933B4117E1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1718-4B42-8471-09933B4117E1}"/>
              </c:ext>
            </c:extLst>
          </c:dPt>
          <c:cat>
            <c:strRef>
              <c:f>'14_Advance_PA'!$D$13:$D$23</c:f>
              <c:strCache>
                <c:ptCount val="10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</c:strCache>
            </c:strRef>
          </c:cat>
          <c:val>
            <c:numRef>
              <c:f>'14_Advance_PA'!$E$13:$E$23</c:f>
              <c:numCache>
                <c:formatCode>"$"#,##0.00</c:formatCode>
                <c:ptCount val="10"/>
                <c:pt idx="0">
                  <c:v>10478883750</c:v>
                </c:pt>
                <c:pt idx="1">
                  <c:v>7188604200</c:v>
                </c:pt>
                <c:pt idx="2">
                  <c:v>4608909900</c:v>
                </c:pt>
                <c:pt idx="3">
                  <c:v>5032862450</c:v>
                </c:pt>
                <c:pt idx="4">
                  <c:v>3227316300</c:v>
                </c:pt>
                <c:pt idx="5">
                  <c:v>1403181000</c:v>
                </c:pt>
                <c:pt idx="6">
                  <c:v>575664000</c:v>
                </c:pt>
                <c:pt idx="7">
                  <c:v>863496000</c:v>
                </c:pt>
                <c:pt idx="8">
                  <c:v>719580000</c:v>
                </c:pt>
                <c:pt idx="9">
                  <c:v>431748000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1718-4B42-8471-09933B4117E1}"/>
            </c:ext>
          </c:extLst>
        </c:ser>
        <c:ser>
          <c:idx val="1"/>
          <c:order val="1"/>
          <c:tx>
            <c:strRef>
              <c:f>'14_Advance_PA'!$F$12</c:f>
              <c:strCache>
                <c:ptCount val="1"/>
                <c:pt idx="0">
                  <c:v>Sum of Units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1718-4B42-8471-09933B4117E1}"/>
              </c:ext>
            </c:extLst>
          </c:dPt>
          <c:dPt>
            <c:idx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1718-4B42-8471-09933B4117E1}"/>
              </c:ext>
            </c:extLst>
          </c:dPt>
          <c:dPt>
            <c:idx val="2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1718-4B42-8471-09933B4117E1}"/>
              </c:ext>
            </c:extLst>
          </c:dPt>
          <c:dPt>
            <c:idx val="3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1718-4B42-8471-09933B4117E1}"/>
              </c:ext>
            </c:extLst>
          </c:dPt>
          <c:dPt>
            <c:idx val="4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1718-4B42-8471-09933B4117E1}"/>
              </c:ext>
            </c:extLst>
          </c:dPt>
          <c:dPt>
            <c:idx val="5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1718-4B42-8471-09933B4117E1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1718-4B42-8471-09933B4117E1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1718-4B42-8471-09933B4117E1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1718-4B42-8471-09933B4117E1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1718-4B42-8471-09933B4117E1}"/>
              </c:ext>
            </c:extLst>
          </c:dPt>
          <c:cat>
            <c:strRef>
              <c:f>'14_Advance_PA'!$D$13:$D$23</c:f>
              <c:strCache>
                <c:ptCount val="10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</c:strCache>
            </c:strRef>
          </c:cat>
          <c:val>
            <c:numRef>
              <c:f>'14_Advance_PA'!$F$13:$F$23</c:f>
              <c:numCache>
                <c:formatCode>#,##0</c:formatCode>
                <c:ptCount val="10"/>
                <c:pt idx="0">
                  <c:v>14991250</c:v>
                </c:pt>
                <c:pt idx="1">
                  <c:v>7195800</c:v>
                </c:pt>
                <c:pt idx="2">
                  <c:v>8395100</c:v>
                </c:pt>
                <c:pt idx="3">
                  <c:v>4197550</c:v>
                </c:pt>
                <c:pt idx="4">
                  <c:v>10793700</c:v>
                </c:pt>
                <c:pt idx="5">
                  <c:v>35979000</c:v>
                </c:pt>
                <c:pt idx="6">
                  <c:v>23986000</c:v>
                </c:pt>
                <c:pt idx="7">
                  <c:v>71958000</c:v>
                </c:pt>
                <c:pt idx="8">
                  <c:v>47972000</c:v>
                </c:pt>
                <c:pt idx="9">
                  <c:v>53968500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9-1718-4B42-8471-09933B4117E1}"/>
            </c:ext>
          </c:extLst>
        </c:ser>
        <c:dLbls/>
        <c:firstSliceAng val="0"/>
      </c:pieChart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55</xdr:row>
      <xdr:rowOff>0</xdr:rowOff>
    </xdr:from>
    <xdr:to>
      <xdr:col>11</xdr:col>
      <xdr:colOff>1419225</xdr:colOff>
      <xdr:row>69</xdr:row>
      <xdr:rowOff>180975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xmlns="" id="{45E6B3D4-68AA-4488-9402-0F268CE41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9525</xdr:rowOff>
    </xdr:from>
    <xdr:to>
      <xdr:col>11</xdr:col>
      <xdr:colOff>1419225</xdr:colOff>
      <xdr:row>18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xmlns="" id="{F19F61EF-E1B6-47A7-AF2F-58EDA011048F}"/>
            </a:ext>
            <a:ext uri="{147F2762-F138-4A5C-976F-8EAC2B608ADB}">
              <a16:predDERef xmlns:a16="http://schemas.microsoft.com/office/drawing/2014/main" xmlns="" pred="{45E6B3D4-68AA-4488-9402-0F268CE41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161925</xdr:rowOff>
    </xdr:from>
    <xdr:to>
      <xdr:col>11</xdr:col>
      <xdr:colOff>1419225</xdr:colOff>
      <xdr:row>35</xdr:row>
      <xdr:rowOff>171450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xmlns="" id="{4C5A4B25-9651-48C5-BEC2-76A11EAB4C78}"/>
            </a:ext>
            <a:ext uri="{147F2762-F138-4A5C-976F-8EAC2B608ADB}">
              <a16:predDERef xmlns:a16="http://schemas.microsoft.com/office/drawing/2014/main" xmlns="" pred="{F19F61EF-E1B6-47A7-AF2F-58EDA0110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11</xdr:col>
      <xdr:colOff>1419225</xdr:colOff>
      <xdr:row>52</xdr:row>
      <xdr:rowOff>180975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xmlns="" id="{00031299-D3F3-490B-83E4-04D4443D724F}"/>
            </a:ext>
            <a:ext uri="{147F2762-F138-4A5C-976F-8EAC2B608ADB}">
              <a16:predDERef xmlns:a16="http://schemas.microsoft.com/office/drawing/2014/main" xmlns="" pred="{4C5A4B25-9651-48C5-BEC2-76A11EAB4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9525</xdr:colOff>
      <xdr:row>3</xdr:row>
      <xdr:rowOff>0</xdr:rowOff>
    </xdr:from>
    <xdr:to>
      <xdr:col>14</xdr:col>
      <xdr:colOff>409575</xdr:colOff>
      <xdr:row>16</xdr:row>
      <xdr:rowOff>161925</xdr:rowOff>
    </xdr:to>
    <xdr:sp macro="" textlink="">
      <xdr:nvSpPr>
        <xdr:cNvPr id="6" name="Rectangle 5"/>
        <xdr:cNvSpPr>
          <a:spLocks noTextEdit="1"/>
        </xdr:cNvSpPr>
      </xdr:nvSpPr>
      <xdr:spPr>
        <a:xfrm>
          <a:off x="18583275" y="571500"/>
          <a:ext cx="1828800" cy="26384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endParaRPr sz="1100"/>
        </a:p>
      </xdr:txBody>
    </xdr:sp>
    <xdr:clientData/>
  </xdr:twoCellAnchor>
  <xdr:twoCellAnchor editAs="oneCell">
    <xdr:from>
      <xdr:col>15</xdr:col>
      <xdr:colOff>0</xdr:colOff>
      <xdr:row>3</xdr:row>
      <xdr:rowOff>0</xdr:rowOff>
    </xdr:from>
    <xdr:to>
      <xdr:col>18</xdr:col>
      <xdr:colOff>0</xdr:colOff>
      <xdr:row>16</xdr:row>
      <xdr:rowOff>161925</xdr:rowOff>
    </xdr:to>
    <xdr:sp macro="" textlink="">
      <xdr:nvSpPr>
        <xdr:cNvPr id="7" name="Rectangle 6"/>
        <xdr:cNvSpPr>
          <a:spLocks noTextEdit="1"/>
        </xdr:cNvSpPr>
      </xdr:nvSpPr>
      <xdr:spPr>
        <a:xfrm>
          <a:off x="20612100" y="571500"/>
          <a:ext cx="1828800" cy="26384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endParaRPr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76.914672453706" createdVersion="8" refreshedVersion="8" minRefreshableVersion="3" recordCount="720">
  <cacheSource type="worksheet">
    <worksheetSource name="tblActualRevenue"/>
  </cacheSource>
  <cacheFields count="8">
    <cacheField name="MonthStart" numFmtId="14">
      <sharedItems containsSemiMixedTypes="0" containsNonDate="0" containsDate="1" containsString="0" minDate="2025-01-01T00:00:00" maxDate="2026-06-02T00:00:00" count="18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</sharedItems>
    </cacheField>
    <cacheField name="ProductID" numFmtId="0">
      <sharedItems count="10">
        <s v="P001"/>
        <s v="P002"/>
        <s v="P003"/>
        <s v="P004"/>
        <s v="P005"/>
        <s v="P006"/>
        <s v="P007"/>
        <s v="P008"/>
        <s v="P009"/>
        <s v="P010"/>
      </sharedItems>
    </cacheField>
    <cacheField name="RegionID" numFmtId="0">
      <sharedItems count="4">
        <s v="R01"/>
        <s v="R02"/>
        <s v="R03"/>
        <s v="R04"/>
      </sharedItems>
    </cacheField>
    <cacheField name="Units" numFmtId="3">
      <sharedItems containsSemiMixedTypes="0" containsString="0" containsNumber="1" containsInteger="1" minValue="34650" maxValue="1416000" count="380">
        <n v="230000"/>
        <n v="195500"/>
        <n v="218500"/>
        <n v="126500"/>
        <n v="110400"/>
        <n v="93840"/>
        <n v="104880"/>
        <n v="60720"/>
        <n v="128800"/>
        <n v="109480"/>
        <n v="122360"/>
        <n v="70840"/>
        <n v="64400"/>
        <n v="54740"/>
        <n v="61180"/>
        <n v="35420"/>
        <n v="165600"/>
        <n v="140760"/>
        <n v="157320"/>
        <n v="91080"/>
        <n v="552000"/>
        <n v="469200"/>
        <n v="524400"/>
        <n v="303600"/>
        <n v="368000"/>
        <n v="312800"/>
        <n v="349600"/>
        <n v="202400"/>
        <n v="1104000"/>
        <n v="938400"/>
        <n v="1048800"/>
        <n v="607200"/>
        <n v="736000"/>
        <n v="625600"/>
        <n v="699200"/>
        <n v="404800"/>
        <n v="828000"/>
        <n v="703800"/>
        <n v="786600"/>
        <n v="455400"/>
        <n v="225000"/>
        <n v="191250"/>
        <n v="213750"/>
        <n v="123750"/>
        <n v="108000"/>
        <n v="91800"/>
        <n v="102600"/>
        <n v="59400"/>
        <n v="126000"/>
        <n v="107100"/>
        <n v="119700"/>
        <n v="69300"/>
        <n v="63000"/>
        <n v="53550"/>
        <n v="59850"/>
        <n v="34650"/>
        <n v="162000"/>
        <n v="137700"/>
        <n v="153900"/>
        <n v="89100"/>
        <n v="540000"/>
        <n v="459000"/>
        <n v="513000"/>
        <n v="297000"/>
        <n v="360000"/>
        <n v="306000"/>
        <n v="342000"/>
        <n v="198000"/>
        <n v="1080000"/>
        <n v="918000"/>
        <n v="1026000"/>
        <n v="594000"/>
        <n v="720000"/>
        <n v="612000"/>
        <n v="684000"/>
        <n v="396000"/>
        <n v="810000"/>
        <n v="688500"/>
        <n v="769500"/>
        <n v="445500"/>
        <n v="240000"/>
        <n v="204000"/>
        <n v="228000"/>
        <n v="132000"/>
        <n v="115200"/>
        <n v="97920"/>
        <n v="109440"/>
        <n v="63360"/>
        <n v="134400"/>
        <n v="114240"/>
        <n v="127680"/>
        <n v="73920"/>
        <n v="67200"/>
        <n v="57120"/>
        <n v="63840"/>
        <n v="36960"/>
        <n v="172800"/>
        <n v="146880"/>
        <n v="164160"/>
        <n v="95040"/>
        <n v="576000"/>
        <n v="489600"/>
        <n v="547200"/>
        <n v="316800"/>
        <n v="384000"/>
        <n v="326400"/>
        <n v="364800"/>
        <n v="211200"/>
        <n v="1152000"/>
        <n v="979200"/>
        <n v="1094400"/>
        <n v="633600"/>
        <n v="768000"/>
        <n v="652800"/>
        <n v="729600"/>
        <n v="422400"/>
        <n v="864000"/>
        <n v="734400"/>
        <n v="820800"/>
        <n v="475200"/>
        <n v="237500"/>
        <n v="201875"/>
        <n v="225625"/>
        <n v="130625"/>
        <n v="114000"/>
        <n v="96900"/>
        <n v="108300"/>
        <n v="62700"/>
        <n v="133000"/>
        <n v="113050"/>
        <n v="126350"/>
        <n v="73150"/>
        <n v="66500"/>
        <n v="56525"/>
        <n v="63175"/>
        <n v="36575"/>
        <n v="171000"/>
        <n v="145350"/>
        <n v="162450"/>
        <n v="94050"/>
        <n v="570000"/>
        <n v="484500"/>
        <n v="541500"/>
        <n v="313500"/>
        <n v="380000"/>
        <n v="323000"/>
        <n v="361000"/>
        <n v="209000"/>
        <n v="1140000"/>
        <n v="969000"/>
        <n v="1083000"/>
        <n v="627000"/>
        <n v="760000"/>
        <n v="646000"/>
        <n v="722000"/>
        <n v="418000"/>
        <n v="855000"/>
        <n v="726750"/>
        <n v="812250"/>
        <n v="470250"/>
        <n v="250000"/>
        <n v="212500"/>
        <n v="137500"/>
        <n v="120000"/>
        <n v="102000"/>
        <n v="66000"/>
        <n v="140000"/>
        <n v="119000"/>
        <n v="77000"/>
        <n v="70000"/>
        <n v="59500"/>
        <n v="38500"/>
        <n v="180000"/>
        <n v="153000"/>
        <n v="99000"/>
        <n v="600000"/>
        <n v="510000"/>
        <n v="330000"/>
        <n v="400000"/>
        <n v="340000"/>
        <n v="220000"/>
        <n v="1200000"/>
        <n v="1020000"/>
        <n v="660000"/>
        <n v="800000"/>
        <n v="680000"/>
        <n v="440000"/>
        <n v="900000"/>
        <n v="765000"/>
        <n v="495000"/>
        <n v="255000"/>
        <n v="216750"/>
        <n v="242250"/>
        <n v="140250"/>
        <n v="122400"/>
        <n v="104040"/>
        <n v="116280"/>
        <n v="67320"/>
        <n v="142800"/>
        <n v="121380"/>
        <n v="135660"/>
        <n v="78540"/>
        <n v="71400"/>
        <n v="60690"/>
        <n v="67830"/>
        <n v="39270"/>
        <n v="183600"/>
        <n v="156060"/>
        <n v="174420"/>
        <n v="100980"/>
        <n v="520200"/>
        <n v="581400"/>
        <n v="336600"/>
        <n v="408000"/>
        <n v="346800"/>
        <n v="387600"/>
        <n v="224400"/>
        <n v="1224000"/>
        <n v="1040400"/>
        <n v="1162800"/>
        <n v="673200"/>
        <n v="816000"/>
        <n v="693600"/>
        <n v="775200"/>
        <n v="448800"/>
        <n v="780300"/>
        <n v="872100"/>
        <n v="504900"/>
        <n v="257500"/>
        <n v="218875"/>
        <n v="244625"/>
        <n v="141625"/>
        <n v="123600"/>
        <n v="105060"/>
        <n v="117420"/>
        <n v="67980"/>
        <n v="144200"/>
        <n v="122570"/>
        <n v="136990"/>
        <n v="79310"/>
        <n v="72100"/>
        <n v="61285"/>
        <n v="68495"/>
        <n v="39655"/>
        <n v="185400"/>
        <n v="157590"/>
        <n v="176130"/>
        <n v="101970"/>
        <n v="618000"/>
        <n v="525300"/>
        <n v="587100"/>
        <n v="339900"/>
        <n v="412000"/>
        <n v="350200"/>
        <n v="391400"/>
        <n v="226600"/>
        <n v="1236000"/>
        <n v="1050600"/>
        <n v="1174200"/>
        <n v="679800"/>
        <n v="824000"/>
        <n v="700400"/>
        <n v="782800"/>
        <n v="453200"/>
        <n v="927000"/>
        <n v="787950"/>
        <n v="880650"/>
        <n v="509850"/>
        <n v="262500"/>
        <n v="223125"/>
        <n v="249375"/>
        <n v="144375"/>
        <n v="147000"/>
        <n v="124950"/>
        <n v="139650"/>
        <n v="80850"/>
        <n v="73500"/>
        <n v="62475"/>
        <n v="69825"/>
        <n v="40425"/>
        <n v="189000"/>
        <n v="160650"/>
        <n v="179550"/>
        <n v="103950"/>
        <n v="630000"/>
        <n v="535500"/>
        <n v="598500"/>
        <n v="346500"/>
        <n v="420000"/>
        <n v="357000"/>
        <n v="399000"/>
        <n v="231000"/>
        <n v="1260000"/>
        <n v="1071000"/>
        <n v="1197000"/>
        <n v="693000"/>
        <n v="840000"/>
        <n v="714000"/>
        <n v="798000"/>
        <n v="462000"/>
        <n v="945000"/>
        <n v="803250"/>
        <n v="897750"/>
        <n v="519750"/>
        <n v="280000"/>
        <n v="238000"/>
        <n v="266000"/>
        <n v="154000"/>
        <n v="156800"/>
        <n v="133280"/>
        <n v="148960"/>
        <n v="86240"/>
        <n v="78400"/>
        <n v="66640"/>
        <n v="74480"/>
        <n v="43120"/>
        <n v="201600"/>
        <n v="171360"/>
        <n v="191520"/>
        <n v="110880"/>
        <n v="672000"/>
        <n v="571200"/>
        <n v="638400"/>
        <n v="369600"/>
        <n v="448000"/>
        <n v="380800"/>
        <n v="425600"/>
        <n v="246400"/>
        <n v="1344000"/>
        <n v="1142400"/>
        <n v="1276800"/>
        <n v="739200"/>
        <n v="896000"/>
        <n v="761600"/>
        <n v="851200"/>
        <n v="492800"/>
        <n v="1008000"/>
        <n v="856800"/>
        <n v="957600"/>
        <n v="554400"/>
        <n v="295000"/>
        <n v="250750"/>
        <n v="280250"/>
        <n v="162250"/>
        <n v="141600"/>
        <n v="120360"/>
        <n v="134520"/>
        <n v="77880"/>
        <n v="165200"/>
        <n v="140420"/>
        <n v="156940"/>
        <n v="90860"/>
        <n v="82600"/>
        <n v="70210"/>
        <n v="78470"/>
        <n v="45430"/>
        <n v="212400"/>
        <n v="180540"/>
        <n v="201780"/>
        <n v="116820"/>
        <n v="708000"/>
        <n v="601800"/>
        <n v="672600"/>
        <n v="389400"/>
        <n v="472000"/>
        <n v="401200"/>
        <n v="448400"/>
        <n v="259600"/>
        <n v="1416000"/>
        <n v="1203600"/>
        <n v="1345200"/>
        <n v="778800"/>
        <n v="944000"/>
        <n v="802400"/>
        <n v="896800"/>
        <n v="519200"/>
        <n v="1062000"/>
        <n v="902700"/>
        <n v="1008900"/>
        <n v="584100"/>
      </sharedItems>
    </cacheField>
    <cacheField name="ASP" numFmtId="164">
      <sharedItems containsSemiMixedTypes="0" containsString="0" containsNumber="1" containsInteger="1" minValue="8" maxValue="1199" count="10">
        <n v="699"/>
        <n v="999"/>
        <n v="549"/>
        <n v="1199"/>
        <n v="299"/>
        <n v="39"/>
        <n v="24"/>
        <n v="12"/>
        <n v="15"/>
        <n v="8"/>
      </sharedItems>
    </cacheField>
    <cacheField name="Revenue" numFmtId="164">
      <sharedItems containsSemiMixedTypes="0" containsString="0" containsNumber="1" containsInteger="1" minValue="3564000" maxValue="206205000" count="386">
        <n v="160770000"/>
        <n v="136654500"/>
        <n v="152731500"/>
        <n v="88423500"/>
        <n v="110289600"/>
        <n v="93746160"/>
        <n v="104775120"/>
        <n v="60659280"/>
        <n v="70711200"/>
        <n v="60104520"/>
        <n v="67175640"/>
        <n v="38891160"/>
        <n v="77215600"/>
        <n v="65633260"/>
        <n v="73354820"/>
        <n v="42468580"/>
        <n v="49514400"/>
        <n v="42087240"/>
        <n v="47038680"/>
        <n v="27232920"/>
        <n v="21528000"/>
        <n v="18298800"/>
        <n v="20451600"/>
        <n v="11840400"/>
        <n v="8832000"/>
        <n v="7507200"/>
        <n v="8390400"/>
        <n v="4857600"/>
        <n v="13248000"/>
        <n v="11260800"/>
        <n v="12585600"/>
        <n v="7286400"/>
        <n v="11040000"/>
        <n v="9384000"/>
        <n v="10488000"/>
        <n v="6072000"/>
        <n v="6624000"/>
        <n v="5630400"/>
        <n v="6292800"/>
        <n v="3643200"/>
        <n v="157275000"/>
        <n v="133683750"/>
        <n v="149411250"/>
        <n v="86501250"/>
        <n v="107892000"/>
        <n v="91708200"/>
        <n v="102497400"/>
        <n v="59340600"/>
        <n v="69174000"/>
        <n v="58797900"/>
        <n v="65715300"/>
        <n v="38045700"/>
        <n v="75537000"/>
        <n v="64206450"/>
        <n v="71760150"/>
        <n v="41545350"/>
        <n v="48438000"/>
        <n v="41172300"/>
        <n v="46016100"/>
        <n v="26640900"/>
        <n v="21060000"/>
        <n v="17901000"/>
        <n v="20007000"/>
        <n v="11583000"/>
        <n v="8640000"/>
        <n v="7344000"/>
        <n v="8208000"/>
        <n v="4752000"/>
        <n v="12960000"/>
        <n v="11016000"/>
        <n v="12312000"/>
        <n v="7128000"/>
        <n v="10800000"/>
        <n v="9180000"/>
        <n v="10260000"/>
        <n v="5940000"/>
        <n v="6480000"/>
        <n v="5508000"/>
        <n v="6156000"/>
        <n v="3564000"/>
        <n v="167760000"/>
        <n v="142596000"/>
        <n v="159372000"/>
        <n v="92268000"/>
        <n v="115084800"/>
        <n v="97822080"/>
        <n v="109330560"/>
        <n v="63296640"/>
        <n v="73785600"/>
        <n v="62717760"/>
        <n v="70096320"/>
        <n v="40582080"/>
        <n v="80572800"/>
        <n v="68486880"/>
        <n v="76544160"/>
        <n v="44315040"/>
        <n v="51667200"/>
        <n v="43917120"/>
        <n v="49083840"/>
        <n v="28416960"/>
        <n v="22464000"/>
        <n v="19094400"/>
        <n v="21340800"/>
        <n v="12355200"/>
        <n v="9216000"/>
        <n v="7833600"/>
        <n v="8755200"/>
        <n v="5068800"/>
        <n v="13824000"/>
        <n v="11750400"/>
        <n v="13132800"/>
        <n v="7603200"/>
        <n v="11520000"/>
        <n v="9792000"/>
        <n v="10944000"/>
        <n v="6336000"/>
        <n v="6912000"/>
        <n v="5875200"/>
        <n v="6566400"/>
        <n v="3801600"/>
        <n v="166012500"/>
        <n v="141110625"/>
        <n v="157711875"/>
        <n v="91306875"/>
        <n v="113886000"/>
        <n v="96803100"/>
        <n v="108191700"/>
        <n v="62637300"/>
        <n v="73017000"/>
        <n v="62064450"/>
        <n v="69366150"/>
        <n v="40159350"/>
        <n v="79733500"/>
        <n v="67773475"/>
        <n v="75746825"/>
        <n v="43853425"/>
        <n v="51129000"/>
        <n v="43459650"/>
        <n v="48572550"/>
        <n v="28120950"/>
        <n v="22230000"/>
        <n v="18895500"/>
        <n v="21118500"/>
        <n v="12226500"/>
        <n v="9120000"/>
        <n v="7752000"/>
        <n v="8664000"/>
        <n v="5016000"/>
        <n v="13680000"/>
        <n v="11628000"/>
        <n v="12996000"/>
        <n v="7524000"/>
        <n v="11400000"/>
        <n v="9690000"/>
        <n v="10830000"/>
        <n v="6270000"/>
        <n v="6840000"/>
        <n v="5814000"/>
        <n v="6498000"/>
        <n v="3762000"/>
        <n v="174750000"/>
        <n v="148537500"/>
        <n v="96112500"/>
        <n v="119880000"/>
        <n v="101898000"/>
        <n v="65934000"/>
        <n v="76860000"/>
        <n v="65331000"/>
        <n v="42273000"/>
        <n v="83930000"/>
        <n v="71340500"/>
        <n v="46161500"/>
        <n v="53820000"/>
        <n v="45747000"/>
        <n v="29601000"/>
        <n v="23400000"/>
        <n v="19890000"/>
        <n v="12870000"/>
        <n v="9600000"/>
        <n v="8160000"/>
        <n v="5280000"/>
        <n v="14400000"/>
        <n v="12240000"/>
        <n v="7920000"/>
        <n v="12000000"/>
        <n v="10200000"/>
        <n v="6600000"/>
        <n v="7200000"/>
        <n v="6120000"/>
        <n v="3960000"/>
        <n v="178245000"/>
        <n v="151508250"/>
        <n v="169332750"/>
        <n v="98034750"/>
        <n v="122277600"/>
        <n v="103935960"/>
        <n v="116163720"/>
        <n v="67252680"/>
        <n v="78397200"/>
        <n v="66637620"/>
        <n v="74477340"/>
        <n v="43118460"/>
        <n v="85608600"/>
        <n v="72767310"/>
        <n v="81328170"/>
        <n v="47084730"/>
        <n v="54896400"/>
        <n v="46661940"/>
        <n v="52151580"/>
        <n v="30193020"/>
        <n v="23868000"/>
        <n v="20287800"/>
        <n v="22674600"/>
        <n v="13127400"/>
        <n v="8323200"/>
        <n v="9302400"/>
        <n v="5385600"/>
        <n v="14688000"/>
        <n v="12484800"/>
        <n v="13953600"/>
        <n v="8078400"/>
        <n v="10404000"/>
        <n v="6732000"/>
        <n v="6242400"/>
        <n v="6976800"/>
        <n v="4039200"/>
        <n v="179992500"/>
        <n v="152993625"/>
        <n v="170992875"/>
        <n v="98995875"/>
        <n v="123476400"/>
        <n v="104954940"/>
        <n v="117302580"/>
        <n v="67912020"/>
        <n v="79165800"/>
        <n v="67290930"/>
        <n v="75207510"/>
        <n v="43541190"/>
        <n v="86447900"/>
        <n v="73480715"/>
        <n v="82125505"/>
        <n v="47546345"/>
        <n v="55434600"/>
        <n v="47119410"/>
        <n v="52662870"/>
        <n v="30489030"/>
        <n v="24102000"/>
        <n v="20486700"/>
        <n v="22896900"/>
        <n v="13256100"/>
        <n v="9888000"/>
        <n v="8404800"/>
        <n v="9393600"/>
        <n v="5438400"/>
        <n v="14832000"/>
        <n v="12607200"/>
        <n v="14090400"/>
        <n v="8157600"/>
        <n v="12360000"/>
        <n v="10506000"/>
        <n v="11742000"/>
        <n v="6798000"/>
        <n v="7416000"/>
        <n v="6303600"/>
        <n v="7045200"/>
        <n v="4078800"/>
        <n v="183487500"/>
        <n v="155964375"/>
        <n v="174313125"/>
        <n v="100918125"/>
        <n v="125874000"/>
        <n v="106992900"/>
        <n v="119580300"/>
        <n v="69230700"/>
        <n v="80703000"/>
        <n v="68597550"/>
        <n v="76667850"/>
        <n v="44386650"/>
        <n v="88126500"/>
        <n v="74907525"/>
        <n v="83720175"/>
        <n v="48469575"/>
        <n v="56511000"/>
        <n v="48034350"/>
        <n v="53685450"/>
        <n v="31081050"/>
        <n v="24570000"/>
        <n v="20884500"/>
        <n v="23341500"/>
        <n v="13513500"/>
        <n v="10080000"/>
        <n v="8568000"/>
        <n v="9576000"/>
        <n v="5544000"/>
        <n v="15120000"/>
        <n v="12852000"/>
        <n v="14364000"/>
        <n v="8316000"/>
        <n v="12600000"/>
        <n v="10710000"/>
        <n v="11970000"/>
        <n v="6930000"/>
        <n v="7560000"/>
        <n v="6426000"/>
        <n v="7182000"/>
        <n v="4158000"/>
        <n v="195720000"/>
        <n v="166362000"/>
        <n v="185934000"/>
        <n v="107646000"/>
        <n v="134265600"/>
        <n v="114125760"/>
        <n v="127552320"/>
        <n v="73846080"/>
        <n v="86083200"/>
        <n v="73170720"/>
        <n v="81779040"/>
        <n v="47345760"/>
        <n v="94001600"/>
        <n v="79901360"/>
        <n v="89301520"/>
        <n v="51700880"/>
        <n v="60278400"/>
        <n v="51236640"/>
        <n v="57264480"/>
        <n v="33153120"/>
        <n v="26208000"/>
        <n v="22276800"/>
        <n v="24897600"/>
        <n v="14414400"/>
        <n v="10752000"/>
        <n v="9139200"/>
        <n v="10214400"/>
        <n v="5913600"/>
        <n v="16128000"/>
        <n v="13708800"/>
        <n v="15321600"/>
        <n v="8870400"/>
        <n v="13440000"/>
        <n v="11424000"/>
        <n v="12768000"/>
        <n v="7392000"/>
        <n v="8064000"/>
        <n v="6854400"/>
        <n v="7660800"/>
        <n v="4435200"/>
        <n v="206205000"/>
        <n v="175274250"/>
        <n v="195894750"/>
        <n v="113412750"/>
        <n v="141458400"/>
        <n v="120239640"/>
        <n v="134385480"/>
        <n v="77802120"/>
        <n v="90694800"/>
        <n v="77090580"/>
        <n v="86160060"/>
        <n v="49882140"/>
        <n v="99037400"/>
        <n v="84181790"/>
        <n v="94085530"/>
        <n v="54470570"/>
        <n v="63507600"/>
        <n v="53981460"/>
        <n v="60332220"/>
        <n v="34929180"/>
        <n v="27612000"/>
        <n v="23470200"/>
        <n v="26231400"/>
        <n v="15186600"/>
        <n v="11328000"/>
        <n v="9628800"/>
        <n v="10761600"/>
        <n v="6230400"/>
        <n v="16992000"/>
        <n v="14443200"/>
        <n v="16142400"/>
        <n v="9345600"/>
        <n v="14160000"/>
        <n v="12036000"/>
        <n v="13452000"/>
        <n v="7788000"/>
        <n v="8496000"/>
        <n v="7221600"/>
        <n v="8071200"/>
        <n v="4672800"/>
      </sharedItems>
    </cacheField>
    <cacheField name="COGS" numFmtId="164">
      <sharedItems containsSemiMixedTypes="0" containsString="0" containsNumber="1" minValue="534600" maxValue="127847100" count="390">
        <n v="99677400"/>
        <n v="84725790"/>
        <n v="94693530"/>
        <n v="54822570"/>
        <n v="63967968"/>
        <n v="54372772.799999997"/>
        <n v="60769569.600000001"/>
        <n v="35182382.399999999"/>
        <n v="42426720"/>
        <n v="36062712"/>
        <n v="40305384"/>
        <n v="23334696"/>
        <n v="42468580"/>
        <n v="36098293"/>
        <n v="40345151"/>
        <n v="23357719"/>
        <n v="24757200"/>
        <n v="21043620"/>
        <n v="23519340"/>
        <n v="13616460"/>
        <n v="5382000"/>
        <n v="4574700"/>
        <n v="5112900"/>
        <n v="2960100"/>
        <n v="1766400"/>
        <n v="1501440"/>
        <n v="1678080"/>
        <n v="971520"/>
        <n v="3974400"/>
        <n v="3378240"/>
        <n v="3775680"/>
        <n v="2185920"/>
        <n v="3864000"/>
        <n v="3284400"/>
        <n v="3670800"/>
        <n v="2125200"/>
        <n v="993600"/>
        <n v="844560"/>
        <n v="943920"/>
        <n v="546480"/>
        <n v="97510500"/>
        <n v="82883925"/>
        <n v="92634975"/>
        <n v="53630775"/>
        <n v="62577360"/>
        <n v="53190756"/>
        <n v="59448492"/>
        <n v="34417548"/>
        <n v="41504400"/>
        <n v="35278740"/>
        <n v="39429180"/>
        <n v="22827420"/>
        <n v="41545350"/>
        <n v="35313547.5"/>
        <n v="39468082.5"/>
        <n v="22849942.5"/>
        <n v="24219000"/>
        <n v="20586150"/>
        <n v="23008050"/>
        <n v="13320450"/>
        <n v="5265000"/>
        <n v="4475250"/>
        <n v="5001750"/>
        <n v="2895750"/>
        <n v="1728000"/>
        <n v="1468800"/>
        <n v="1641600"/>
        <n v="950400"/>
        <n v="3888000"/>
        <n v="3304800"/>
        <n v="3693600"/>
        <n v="2138400"/>
        <n v="3780000"/>
        <n v="3213000"/>
        <n v="3591000"/>
        <n v="2079000"/>
        <n v="972000"/>
        <n v="826200"/>
        <n v="923400"/>
        <n v="534600"/>
        <n v="104011200"/>
        <n v="88409520"/>
        <n v="98810640"/>
        <n v="57206160"/>
        <n v="66749184"/>
        <n v="56736806.399999999"/>
        <n v="63411724.799999997"/>
        <n v="36712051.200000003"/>
        <n v="44271360"/>
        <n v="37630656"/>
        <n v="42057792"/>
        <n v="24349248"/>
        <n v="44315040"/>
        <n v="37667784"/>
        <n v="42099288"/>
        <n v="24373272"/>
        <n v="25833600"/>
        <n v="21958560"/>
        <n v="24541920"/>
        <n v="14208480"/>
        <n v="5616000"/>
        <n v="4773600"/>
        <n v="5335200"/>
        <n v="3088800"/>
        <n v="1843200"/>
        <n v="1566720"/>
        <n v="1751040"/>
        <n v="1013760"/>
        <n v="4147200"/>
        <n v="3525120"/>
        <n v="3939840"/>
        <n v="2280960"/>
        <n v="4032000"/>
        <n v="3427200"/>
        <n v="3830400"/>
        <n v="2217600"/>
        <n v="1036800"/>
        <n v="881280"/>
        <n v="984960"/>
        <n v="570240"/>
        <n v="102927750"/>
        <n v="87488587.5"/>
        <n v="97781362.5"/>
        <n v="56610262.5"/>
        <n v="66053880"/>
        <n v="56145798"/>
        <n v="62751186"/>
        <n v="36329634"/>
        <n v="43810200"/>
        <n v="37238670"/>
        <n v="41619690"/>
        <n v="24095610"/>
        <n v="43853425"/>
        <n v="37275411.25"/>
        <n v="41660753.75"/>
        <n v="24119383.75"/>
        <n v="25564500"/>
        <n v="21729825"/>
        <n v="24286275"/>
        <n v="14060475"/>
        <n v="5557500"/>
        <n v="4723875"/>
        <n v="5279625"/>
        <n v="3056625"/>
        <n v="1824000"/>
        <n v="1550400"/>
        <n v="1732800"/>
        <n v="1003200"/>
        <n v="4104000"/>
        <n v="3488400"/>
        <n v="3898800"/>
        <n v="2257200"/>
        <n v="3990000"/>
        <n v="3391500"/>
        <n v="3790500"/>
        <n v="2194500"/>
        <n v="1026000"/>
        <n v="872100"/>
        <n v="974700"/>
        <n v="564300"/>
        <n v="108345000"/>
        <n v="92093250"/>
        <n v="59589750"/>
        <n v="69530400"/>
        <n v="59100840"/>
        <n v="38241720"/>
        <n v="46116000"/>
        <n v="39198600"/>
        <n v="25363800"/>
        <n v="46161500"/>
        <n v="39237275"/>
        <n v="25388825"/>
        <n v="26910000"/>
        <n v="22873500"/>
        <n v="14800500"/>
        <n v="5850000"/>
        <n v="4972500"/>
        <n v="3217500"/>
        <n v="1920000"/>
        <n v="1632000"/>
        <n v="1056000"/>
        <n v="4320000"/>
        <n v="3672000"/>
        <n v="2376000"/>
        <n v="4200000"/>
        <n v="3570000"/>
        <n v="2310000"/>
        <n v="1080000"/>
        <n v="918000"/>
        <n v="594000"/>
        <n v="110511900"/>
        <n v="93935115"/>
        <n v="104986305"/>
        <n v="60781545"/>
        <n v="70921008"/>
        <n v="60282856.799999997"/>
        <n v="67374957.599999994"/>
        <n v="39006554.399999999"/>
        <n v="47038320"/>
        <n v="39982572"/>
        <n v="44686404"/>
        <n v="25871076"/>
        <n v="47084730"/>
        <n v="40022020.5"/>
        <n v="44730493.5"/>
        <n v="25896601.5"/>
        <n v="27448200"/>
        <n v="23330970"/>
        <n v="26075790"/>
        <n v="15096510"/>
        <n v="5967000"/>
        <n v="5071950"/>
        <n v="5668650"/>
        <n v="3281850"/>
        <n v="1958400"/>
        <n v="1664640"/>
        <n v="1860480"/>
        <n v="1077120"/>
        <n v="4406400"/>
        <n v="3745440"/>
        <n v="4186080"/>
        <n v="2423520"/>
        <n v="4284000"/>
        <n v="3641400"/>
        <n v="4069800"/>
        <n v="2356200"/>
        <n v="1101600"/>
        <n v="936360"/>
        <n v="1046520"/>
        <n v="605880"/>
        <n v="111595350"/>
        <n v="94856047.5"/>
        <n v="106015582.5"/>
        <n v="61377442.5"/>
        <n v="71616312"/>
        <n v="60873865.200000003"/>
        <n v="68035496.400000006"/>
        <n v="39388971.600000001"/>
        <n v="47499480"/>
        <n v="40374558"/>
        <n v="45124506"/>
        <n v="26124714"/>
        <n v="47546345"/>
        <n v="40414393.25"/>
        <n v="45169027.75"/>
        <n v="26150489.75"/>
        <n v="27717300"/>
        <n v="23559705"/>
        <n v="26331435"/>
        <n v="15244515"/>
        <n v="6025500"/>
        <n v="5121675"/>
        <n v="5724225"/>
        <n v="3314025"/>
        <n v="1977600"/>
        <n v="1680960"/>
        <n v="1878720"/>
        <n v="1087680"/>
        <n v="4449600"/>
        <n v="3782160"/>
        <n v="4227120"/>
        <n v="2447280"/>
        <n v="4326000"/>
        <n v="3677100"/>
        <n v="4109700"/>
        <n v="2379300"/>
        <n v="1112400"/>
        <n v="945540"/>
        <n v="1056780"/>
        <n v="611820"/>
        <n v="113762250"/>
        <n v="96697912.5"/>
        <n v="108074137.5"/>
        <n v="62569237.5"/>
        <n v="73006920"/>
        <n v="62055882"/>
        <n v="69356574"/>
        <n v="40153806"/>
        <n v="48421800"/>
        <n v="41158530"/>
        <n v="46000710"/>
        <n v="26631990"/>
        <n v="48469575"/>
        <n v="41199138.75"/>
        <n v="46046096.25"/>
        <n v="26658266.25"/>
        <n v="28255500"/>
        <n v="24017175"/>
        <n v="26842725"/>
        <n v="15540525"/>
        <n v="6142500"/>
        <n v="5221125"/>
        <n v="5835375"/>
        <n v="3378375"/>
        <n v="2016000"/>
        <n v="1713600"/>
        <n v="1915200"/>
        <n v="1108800"/>
        <n v="4536000"/>
        <n v="3855600"/>
        <n v="4309200"/>
        <n v="2494800"/>
        <n v="4410000"/>
        <n v="3748500"/>
        <n v="4189500"/>
        <n v="2425500"/>
        <n v="1134000"/>
        <n v="963900"/>
        <n v="1077300"/>
        <n v="623700"/>
        <n v="121346400"/>
        <n v="103144440"/>
        <n v="115279080"/>
        <n v="66740520"/>
        <n v="77874048"/>
        <n v="66192940.799999997"/>
        <n v="73980345.599999994"/>
        <n v="42830726.399999999"/>
        <n v="51649920"/>
        <n v="43902432"/>
        <n v="49067424"/>
        <n v="28407456"/>
        <n v="51700880"/>
        <n v="43945748"/>
        <n v="49115836"/>
        <n v="28435484"/>
        <n v="30139200"/>
        <n v="25618320"/>
        <n v="28632240"/>
        <n v="16576560"/>
        <n v="6552000"/>
        <n v="5569200"/>
        <n v="6224400"/>
        <n v="3603600"/>
        <n v="2150400"/>
        <n v="1827840"/>
        <n v="2042880"/>
        <n v="1182720"/>
        <n v="4838400"/>
        <n v="4112640"/>
        <n v="4596480"/>
        <n v="2661120"/>
        <n v="4704000"/>
        <n v="3998400"/>
        <n v="4468800"/>
        <n v="2587200"/>
        <n v="1209600"/>
        <n v="1028160"/>
        <n v="1149120"/>
        <n v="665280"/>
        <n v="127847100"/>
        <n v="108670035"/>
        <n v="121454745"/>
        <n v="70315905"/>
        <n v="82045872"/>
        <n v="69738991.200000003"/>
        <n v="77943578.400000006"/>
        <n v="45125229.600000001"/>
        <n v="54416880"/>
        <n v="46254348"/>
        <n v="51696036"/>
        <n v="29929284"/>
        <n v="54470570"/>
        <n v="46299984.5"/>
        <n v="51747041.5"/>
        <n v="29958813.5"/>
        <n v="31753800"/>
        <n v="26990730"/>
        <n v="30166110"/>
        <n v="17464590"/>
        <n v="6903000"/>
        <n v="5867550"/>
        <n v="6557850"/>
        <n v="3796650"/>
        <n v="2265600"/>
        <n v="1925760"/>
        <n v="2152320"/>
        <n v="1246080"/>
        <n v="5097600"/>
        <n v="4332960"/>
        <n v="4842720"/>
        <n v="2803680"/>
        <n v="4956000"/>
        <n v="4212600"/>
        <n v="4708200"/>
        <n v="2725800"/>
        <n v="1274400"/>
        <n v="1083240"/>
        <n v="1210680"/>
        <n v="700920"/>
      </sharedItems>
    </cacheField>
    <cacheField name="COGS RATE" numFmtId="10">
      <sharedItems containsSemiMixedTypes="0" containsString="0" containsNumber="1" minValue="0.15" maxValue="0.62" count="11">
        <n v="0.62"/>
        <n v="0.57999999999999996"/>
        <n v="0.6"/>
        <n v="0.55000000000000004"/>
        <n v="0.5"/>
        <n v="0.25"/>
        <n v="0.2"/>
        <n v="0.3"/>
        <n v="0.35"/>
        <n v="0.15"/>
        <n v="0.58000000000000007"/>
      </sharedItems>
    </cacheField>
  </cacheFields>
  <extLst>
    <ext xmlns:x14="http://schemas.microsoft.com/office/spreadsheetml/2009/9/main" uri="{725AE2AE-9491-48be-B2B4-4EB974FC3084}">
      <x14:pivotCacheDefinition pivotCacheId="16316072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x v="0"/>
    <x v="0"/>
    <x v="0"/>
    <x v="0"/>
    <x v="0"/>
    <x v="0"/>
    <x v="0"/>
  </r>
  <r>
    <x v="0"/>
    <x v="0"/>
    <x v="1"/>
    <x v="1"/>
    <x v="0"/>
    <x v="1"/>
    <x v="1"/>
    <x v="0"/>
  </r>
  <r>
    <x v="0"/>
    <x v="0"/>
    <x v="2"/>
    <x v="2"/>
    <x v="0"/>
    <x v="2"/>
    <x v="2"/>
    <x v="0"/>
  </r>
  <r>
    <x v="0"/>
    <x v="0"/>
    <x v="3"/>
    <x v="3"/>
    <x v="0"/>
    <x v="3"/>
    <x v="3"/>
    <x v="0"/>
  </r>
  <r>
    <x v="0"/>
    <x v="1"/>
    <x v="0"/>
    <x v="4"/>
    <x v="1"/>
    <x v="4"/>
    <x v="4"/>
    <x v="1"/>
  </r>
  <r>
    <x v="0"/>
    <x v="1"/>
    <x v="1"/>
    <x v="5"/>
    <x v="1"/>
    <x v="5"/>
    <x v="5"/>
    <x v="1"/>
  </r>
  <r>
    <x v="0"/>
    <x v="1"/>
    <x v="2"/>
    <x v="6"/>
    <x v="1"/>
    <x v="6"/>
    <x v="6"/>
    <x v="1"/>
  </r>
  <r>
    <x v="0"/>
    <x v="1"/>
    <x v="3"/>
    <x v="7"/>
    <x v="1"/>
    <x v="7"/>
    <x v="7"/>
    <x v="1"/>
  </r>
  <r>
    <x v="0"/>
    <x v="2"/>
    <x v="0"/>
    <x v="8"/>
    <x v="2"/>
    <x v="8"/>
    <x v="8"/>
    <x v="2"/>
  </r>
  <r>
    <x v="0"/>
    <x v="2"/>
    <x v="1"/>
    <x v="9"/>
    <x v="2"/>
    <x v="9"/>
    <x v="9"/>
    <x v="2"/>
  </r>
  <r>
    <x v="0"/>
    <x v="2"/>
    <x v="2"/>
    <x v="10"/>
    <x v="2"/>
    <x v="10"/>
    <x v="10"/>
    <x v="2"/>
  </r>
  <r>
    <x v="0"/>
    <x v="2"/>
    <x v="3"/>
    <x v="11"/>
    <x v="2"/>
    <x v="11"/>
    <x v="11"/>
    <x v="2"/>
  </r>
  <r>
    <x v="0"/>
    <x v="3"/>
    <x v="0"/>
    <x v="12"/>
    <x v="3"/>
    <x v="12"/>
    <x v="12"/>
    <x v="3"/>
  </r>
  <r>
    <x v="0"/>
    <x v="3"/>
    <x v="1"/>
    <x v="13"/>
    <x v="3"/>
    <x v="13"/>
    <x v="13"/>
    <x v="3"/>
  </r>
  <r>
    <x v="0"/>
    <x v="3"/>
    <x v="2"/>
    <x v="14"/>
    <x v="3"/>
    <x v="14"/>
    <x v="14"/>
    <x v="3"/>
  </r>
  <r>
    <x v="0"/>
    <x v="3"/>
    <x v="3"/>
    <x v="15"/>
    <x v="3"/>
    <x v="15"/>
    <x v="15"/>
    <x v="3"/>
  </r>
  <r>
    <x v="0"/>
    <x v="4"/>
    <x v="0"/>
    <x v="16"/>
    <x v="4"/>
    <x v="16"/>
    <x v="16"/>
    <x v="4"/>
  </r>
  <r>
    <x v="0"/>
    <x v="4"/>
    <x v="1"/>
    <x v="17"/>
    <x v="4"/>
    <x v="17"/>
    <x v="17"/>
    <x v="4"/>
  </r>
  <r>
    <x v="0"/>
    <x v="4"/>
    <x v="2"/>
    <x v="18"/>
    <x v="4"/>
    <x v="18"/>
    <x v="18"/>
    <x v="4"/>
  </r>
  <r>
    <x v="0"/>
    <x v="4"/>
    <x v="3"/>
    <x v="19"/>
    <x v="4"/>
    <x v="19"/>
    <x v="19"/>
    <x v="4"/>
  </r>
  <r>
    <x v="0"/>
    <x v="5"/>
    <x v="0"/>
    <x v="20"/>
    <x v="5"/>
    <x v="20"/>
    <x v="20"/>
    <x v="5"/>
  </r>
  <r>
    <x v="0"/>
    <x v="5"/>
    <x v="1"/>
    <x v="21"/>
    <x v="5"/>
    <x v="21"/>
    <x v="21"/>
    <x v="5"/>
  </r>
  <r>
    <x v="0"/>
    <x v="5"/>
    <x v="2"/>
    <x v="22"/>
    <x v="5"/>
    <x v="22"/>
    <x v="22"/>
    <x v="5"/>
  </r>
  <r>
    <x v="0"/>
    <x v="5"/>
    <x v="3"/>
    <x v="23"/>
    <x v="5"/>
    <x v="23"/>
    <x v="23"/>
    <x v="5"/>
  </r>
  <r>
    <x v="0"/>
    <x v="6"/>
    <x v="0"/>
    <x v="24"/>
    <x v="6"/>
    <x v="24"/>
    <x v="24"/>
    <x v="6"/>
  </r>
  <r>
    <x v="0"/>
    <x v="6"/>
    <x v="1"/>
    <x v="25"/>
    <x v="6"/>
    <x v="25"/>
    <x v="25"/>
    <x v="6"/>
  </r>
  <r>
    <x v="0"/>
    <x v="6"/>
    <x v="2"/>
    <x v="26"/>
    <x v="6"/>
    <x v="26"/>
    <x v="26"/>
    <x v="6"/>
  </r>
  <r>
    <x v="0"/>
    <x v="6"/>
    <x v="3"/>
    <x v="27"/>
    <x v="6"/>
    <x v="27"/>
    <x v="27"/>
    <x v="6"/>
  </r>
  <r>
    <x v="0"/>
    <x v="7"/>
    <x v="0"/>
    <x v="28"/>
    <x v="7"/>
    <x v="28"/>
    <x v="28"/>
    <x v="7"/>
  </r>
  <r>
    <x v="0"/>
    <x v="7"/>
    <x v="1"/>
    <x v="29"/>
    <x v="7"/>
    <x v="29"/>
    <x v="29"/>
    <x v="7"/>
  </r>
  <r>
    <x v="0"/>
    <x v="7"/>
    <x v="2"/>
    <x v="30"/>
    <x v="7"/>
    <x v="30"/>
    <x v="30"/>
    <x v="7"/>
  </r>
  <r>
    <x v="0"/>
    <x v="7"/>
    <x v="3"/>
    <x v="31"/>
    <x v="7"/>
    <x v="31"/>
    <x v="31"/>
    <x v="7"/>
  </r>
  <r>
    <x v="0"/>
    <x v="8"/>
    <x v="0"/>
    <x v="32"/>
    <x v="8"/>
    <x v="32"/>
    <x v="32"/>
    <x v="8"/>
  </r>
  <r>
    <x v="0"/>
    <x v="8"/>
    <x v="1"/>
    <x v="33"/>
    <x v="8"/>
    <x v="33"/>
    <x v="33"/>
    <x v="8"/>
  </r>
  <r>
    <x v="0"/>
    <x v="8"/>
    <x v="2"/>
    <x v="34"/>
    <x v="8"/>
    <x v="34"/>
    <x v="34"/>
    <x v="8"/>
  </r>
  <r>
    <x v="0"/>
    <x v="8"/>
    <x v="3"/>
    <x v="35"/>
    <x v="8"/>
    <x v="35"/>
    <x v="35"/>
    <x v="8"/>
  </r>
  <r>
    <x v="0"/>
    <x v="9"/>
    <x v="0"/>
    <x v="36"/>
    <x v="9"/>
    <x v="36"/>
    <x v="36"/>
    <x v="9"/>
  </r>
  <r>
    <x v="0"/>
    <x v="9"/>
    <x v="1"/>
    <x v="37"/>
    <x v="9"/>
    <x v="37"/>
    <x v="37"/>
    <x v="9"/>
  </r>
  <r>
    <x v="0"/>
    <x v="9"/>
    <x v="2"/>
    <x v="38"/>
    <x v="9"/>
    <x v="38"/>
    <x v="38"/>
    <x v="9"/>
  </r>
  <r>
    <x v="0"/>
    <x v="9"/>
    <x v="3"/>
    <x v="39"/>
    <x v="9"/>
    <x v="39"/>
    <x v="39"/>
    <x v="9"/>
  </r>
  <r>
    <x v="1"/>
    <x v="0"/>
    <x v="0"/>
    <x v="40"/>
    <x v="0"/>
    <x v="40"/>
    <x v="40"/>
    <x v="0"/>
  </r>
  <r>
    <x v="1"/>
    <x v="0"/>
    <x v="1"/>
    <x v="41"/>
    <x v="0"/>
    <x v="41"/>
    <x v="41"/>
    <x v="0"/>
  </r>
  <r>
    <x v="1"/>
    <x v="0"/>
    <x v="2"/>
    <x v="42"/>
    <x v="0"/>
    <x v="42"/>
    <x v="42"/>
    <x v="0"/>
  </r>
  <r>
    <x v="1"/>
    <x v="0"/>
    <x v="3"/>
    <x v="43"/>
    <x v="0"/>
    <x v="43"/>
    <x v="43"/>
    <x v="0"/>
  </r>
  <r>
    <x v="1"/>
    <x v="1"/>
    <x v="0"/>
    <x v="44"/>
    <x v="1"/>
    <x v="44"/>
    <x v="44"/>
    <x v="1"/>
  </r>
  <r>
    <x v="1"/>
    <x v="1"/>
    <x v="1"/>
    <x v="45"/>
    <x v="1"/>
    <x v="45"/>
    <x v="45"/>
    <x v="1"/>
  </r>
  <r>
    <x v="1"/>
    <x v="1"/>
    <x v="2"/>
    <x v="46"/>
    <x v="1"/>
    <x v="46"/>
    <x v="46"/>
    <x v="1"/>
  </r>
  <r>
    <x v="1"/>
    <x v="1"/>
    <x v="3"/>
    <x v="47"/>
    <x v="1"/>
    <x v="47"/>
    <x v="47"/>
    <x v="1"/>
  </r>
  <r>
    <x v="1"/>
    <x v="2"/>
    <x v="0"/>
    <x v="48"/>
    <x v="2"/>
    <x v="48"/>
    <x v="48"/>
    <x v="2"/>
  </r>
  <r>
    <x v="1"/>
    <x v="2"/>
    <x v="1"/>
    <x v="49"/>
    <x v="2"/>
    <x v="49"/>
    <x v="49"/>
    <x v="2"/>
  </r>
  <r>
    <x v="1"/>
    <x v="2"/>
    <x v="2"/>
    <x v="50"/>
    <x v="2"/>
    <x v="50"/>
    <x v="50"/>
    <x v="2"/>
  </r>
  <r>
    <x v="1"/>
    <x v="2"/>
    <x v="3"/>
    <x v="51"/>
    <x v="2"/>
    <x v="51"/>
    <x v="51"/>
    <x v="2"/>
  </r>
  <r>
    <x v="1"/>
    <x v="3"/>
    <x v="0"/>
    <x v="52"/>
    <x v="3"/>
    <x v="52"/>
    <x v="52"/>
    <x v="3"/>
  </r>
  <r>
    <x v="1"/>
    <x v="3"/>
    <x v="1"/>
    <x v="53"/>
    <x v="3"/>
    <x v="53"/>
    <x v="53"/>
    <x v="3"/>
  </r>
  <r>
    <x v="1"/>
    <x v="3"/>
    <x v="2"/>
    <x v="54"/>
    <x v="3"/>
    <x v="54"/>
    <x v="54"/>
    <x v="3"/>
  </r>
  <r>
    <x v="1"/>
    <x v="3"/>
    <x v="3"/>
    <x v="55"/>
    <x v="3"/>
    <x v="55"/>
    <x v="55"/>
    <x v="3"/>
  </r>
  <r>
    <x v="1"/>
    <x v="4"/>
    <x v="0"/>
    <x v="56"/>
    <x v="4"/>
    <x v="56"/>
    <x v="56"/>
    <x v="4"/>
  </r>
  <r>
    <x v="1"/>
    <x v="4"/>
    <x v="1"/>
    <x v="57"/>
    <x v="4"/>
    <x v="57"/>
    <x v="57"/>
    <x v="4"/>
  </r>
  <r>
    <x v="1"/>
    <x v="4"/>
    <x v="2"/>
    <x v="58"/>
    <x v="4"/>
    <x v="58"/>
    <x v="58"/>
    <x v="4"/>
  </r>
  <r>
    <x v="1"/>
    <x v="4"/>
    <x v="3"/>
    <x v="59"/>
    <x v="4"/>
    <x v="59"/>
    <x v="59"/>
    <x v="4"/>
  </r>
  <r>
    <x v="1"/>
    <x v="5"/>
    <x v="0"/>
    <x v="60"/>
    <x v="5"/>
    <x v="60"/>
    <x v="60"/>
    <x v="5"/>
  </r>
  <r>
    <x v="1"/>
    <x v="5"/>
    <x v="1"/>
    <x v="61"/>
    <x v="5"/>
    <x v="61"/>
    <x v="61"/>
    <x v="5"/>
  </r>
  <r>
    <x v="1"/>
    <x v="5"/>
    <x v="2"/>
    <x v="62"/>
    <x v="5"/>
    <x v="62"/>
    <x v="62"/>
    <x v="5"/>
  </r>
  <r>
    <x v="1"/>
    <x v="5"/>
    <x v="3"/>
    <x v="63"/>
    <x v="5"/>
    <x v="63"/>
    <x v="63"/>
    <x v="5"/>
  </r>
  <r>
    <x v="1"/>
    <x v="6"/>
    <x v="0"/>
    <x v="64"/>
    <x v="6"/>
    <x v="64"/>
    <x v="64"/>
    <x v="6"/>
  </r>
  <r>
    <x v="1"/>
    <x v="6"/>
    <x v="1"/>
    <x v="65"/>
    <x v="6"/>
    <x v="65"/>
    <x v="65"/>
    <x v="6"/>
  </r>
  <r>
    <x v="1"/>
    <x v="6"/>
    <x v="2"/>
    <x v="66"/>
    <x v="6"/>
    <x v="66"/>
    <x v="66"/>
    <x v="6"/>
  </r>
  <r>
    <x v="1"/>
    <x v="6"/>
    <x v="3"/>
    <x v="67"/>
    <x v="6"/>
    <x v="67"/>
    <x v="67"/>
    <x v="6"/>
  </r>
  <r>
    <x v="1"/>
    <x v="7"/>
    <x v="0"/>
    <x v="68"/>
    <x v="7"/>
    <x v="68"/>
    <x v="68"/>
    <x v="7"/>
  </r>
  <r>
    <x v="1"/>
    <x v="7"/>
    <x v="1"/>
    <x v="69"/>
    <x v="7"/>
    <x v="69"/>
    <x v="69"/>
    <x v="7"/>
  </r>
  <r>
    <x v="1"/>
    <x v="7"/>
    <x v="2"/>
    <x v="70"/>
    <x v="7"/>
    <x v="70"/>
    <x v="70"/>
    <x v="7"/>
  </r>
  <r>
    <x v="1"/>
    <x v="7"/>
    <x v="3"/>
    <x v="71"/>
    <x v="7"/>
    <x v="71"/>
    <x v="71"/>
    <x v="7"/>
  </r>
  <r>
    <x v="1"/>
    <x v="8"/>
    <x v="0"/>
    <x v="72"/>
    <x v="8"/>
    <x v="72"/>
    <x v="72"/>
    <x v="8"/>
  </r>
  <r>
    <x v="1"/>
    <x v="8"/>
    <x v="1"/>
    <x v="73"/>
    <x v="8"/>
    <x v="73"/>
    <x v="73"/>
    <x v="8"/>
  </r>
  <r>
    <x v="1"/>
    <x v="8"/>
    <x v="2"/>
    <x v="74"/>
    <x v="8"/>
    <x v="74"/>
    <x v="74"/>
    <x v="8"/>
  </r>
  <r>
    <x v="1"/>
    <x v="8"/>
    <x v="3"/>
    <x v="75"/>
    <x v="8"/>
    <x v="75"/>
    <x v="75"/>
    <x v="8"/>
  </r>
  <r>
    <x v="1"/>
    <x v="9"/>
    <x v="0"/>
    <x v="76"/>
    <x v="9"/>
    <x v="76"/>
    <x v="76"/>
    <x v="9"/>
  </r>
  <r>
    <x v="1"/>
    <x v="9"/>
    <x v="1"/>
    <x v="77"/>
    <x v="9"/>
    <x v="77"/>
    <x v="77"/>
    <x v="9"/>
  </r>
  <r>
    <x v="1"/>
    <x v="9"/>
    <x v="2"/>
    <x v="78"/>
    <x v="9"/>
    <x v="78"/>
    <x v="78"/>
    <x v="9"/>
  </r>
  <r>
    <x v="1"/>
    <x v="9"/>
    <x v="3"/>
    <x v="79"/>
    <x v="9"/>
    <x v="79"/>
    <x v="79"/>
    <x v="9"/>
  </r>
  <r>
    <x v="2"/>
    <x v="0"/>
    <x v="0"/>
    <x v="80"/>
    <x v="0"/>
    <x v="80"/>
    <x v="80"/>
    <x v="0"/>
  </r>
  <r>
    <x v="2"/>
    <x v="0"/>
    <x v="1"/>
    <x v="81"/>
    <x v="0"/>
    <x v="81"/>
    <x v="81"/>
    <x v="0"/>
  </r>
  <r>
    <x v="2"/>
    <x v="0"/>
    <x v="2"/>
    <x v="82"/>
    <x v="0"/>
    <x v="82"/>
    <x v="82"/>
    <x v="0"/>
  </r>
  <r>
    <x v="2"/>
    <x v="0"/>
    <x v="3"/>
    <x v="83"/>
    <x v="0"/>
    <x v="83"/>
    <x v="83"/>
    <x v="0"/>
  </r>
  <r>
    <x v="2"/>
    <x v="1"/>
    <x v="0"/>
    <x v="84"/>
    <x v="1"/>
    <x v="84"/>
    <x v="84"/>
    <x v="1"/>
  </r>
  <r>
    <x v="2"/>
    <x v="1"/>
    <x v="1"/>
    <x v="85"/>
    <x v="1"/>
    <x v="85"/>
    <x v="85"/>
    <x v="1"/>
  </r>
  <r>
    <x v="2"/>
    <x v="1"/>
    <x v="2"/>
    <x v="86"/>
    <x v="1"/>
    <x v="86"/>
    <x v="86"/>
    <x v="1"/>
  </r>
  <r>
    <x v="2"/>
    <x v="1"/>
    <x v="3"/>
    <x v="87"/>
    <x v="1"/>
    <x v="87"/>
    <x v="87"/>
    <x v="10"/>
  </r>
  <r>
    <x v="2"/>
    <x v="2"/>
    <x v="0"/>
    <x v="88"/>
    <x v="2"/>
    <x v="88"/>
    <x v="88"/>
    <x v="2"/>
  </r>
  <r>
    <x v="2"/>
    <x v="2"/>
    <x v="1"/>
    <x v="89"/>
    <x v="2"/>
    <x v="89"/>
    <x v="89"/>
    <x v="2"/>
  </r>
  <r>
    <x v="2"/>
    <x v="2"/>
    <x v="2"/>
    <x v="90"/>
    <x v="2"/>
    <x v="90"/>
    <x v="90"/>
    <x v="2"/>
  </r>
  <r>
    <x v="2"/>
    <x v="2"/>
    <x v="3"/>
    <x v="91"/>
    <x v="2"/>
    <x v="91"/>
    <x v="91"/>
    <x v="2"/>
  </r>
  <r>
    <x v="2"/>
    <x v="3"/>
    <x v="0"/>
    <x v="92"/>
    <x v="3"/>
    <x v="92"/>
    <x v="92"/>
    <x v="3"/>
  </r>
  <r>
    <x v="2"/>
    <x v="3"/>
    <x v="1"/>
    <x v="93"/>
    <x v="3"/>
    <x v="93"/>
    <x v="93"/>
    <x v="3"/>
  </r>
  <r>
    <x v="2"/>
    <x v="3"/>
    <x v="2"/>
    <x v="94"/>
    <x v="3"/>
    <x v="94"/>
    <x v="94"/>
    <x v="3"/>
  </r>
  <r>
    <x v="2"/>
    <x v="3"/>
    <x v="3"/>
    <x v="95"/>
    <x v="3"/>
    <x v="95"/>
    <x v="95"/>
    <x v="3"/>
  </r>
  <r>
    <x v="2"/>
    <x v="4"/>
    <x v="0"/>
    <x v="96"/>
    <x v="4"/>
    <x v="96"/>
    <x v="96"/>
    <x v="4"/>
  </r>
  <r>
    <x v="2"/>
    <x v="4"/>
    <x v="1"/>
    <x v="97"/>
    <x v="4"/>
    <x v="97"/>
    <x v="97"/>
    <x v="4"/>
  </r>
  <r>
    <x v="2"/>
    <x v="4"/>
    <x v="2"/>
    <x v="98"/>
    <x v="4"/>
    <x v="98"/>
    <x v="98"/>
    <x v="4"/>
  </r>
  <r>
    <x v="2"/>
    <x v="4"/>
    <x v="3"/>
    <x v="99"/>
    <x v="4"/>
    <x v="99"/>
    <x v="99"/>
    <x v="4"/>
  </r>
  <r>
    <x v="2"/>
    <x v="5"/>
    <x v="0"/>
    <x v="100"/>
    <x v="5"/>
    <x v="100"/>
    <x v="100"/>
    <x v="5"/>
  </r>
  <r>
    <x v="2"/>
    <x v="5"/>
    <x v="1"/>
    <x v="101"/>
    <x v="5"/>
    <x v="101"/>
    <x v="101"/>
    <x v="5"/>
  </r>
  <r>
    <x v="2"/>
    <x v="5"/>
    <x v="2"/>
    <x v="102"/>
    <x v="5"/>
    <x v="102"/>
    <x v="102"/>
    <x v="5"/>
  </r>
  <r>
    <x v="2"/>
    <x v="5"/>
    <x v="3"/>
    <x v="103"/>
    <x v="5"/>
    <x v="103"/>
    <x v="103"/>
    <x v="5"/>
  </r>
  <r>
    <x v="2"/>
    <x v="6"/>
    <x v="0"/>
    <x v="104"/>
    <x v="6"/>
    <x v="104"/>
    <x v="104"/>
    <x v="6"/>
  </r>
  <r>
    <x v="2"/>
    <x v="6"/>
    <x v="1"/>
    <x v="105"/>
    <x v="6"/>
    <x v="105"/>
    <x v="105"/>
    <x v="6"/>
  </r>
  <r>
    <x v="2"/>
    <x v="6"/>
    <x v="2"/>
    <x v="106"/>
    <x v="6"/>
    <x v="106"/>
    <x v="106"/>
    <x v="6"/>
  </r>
  <r>
    <x v="2"/>
    <x v="6"/>
    <x v="3"/>
    <x v="107"/>
    <x v="6"/>
    <x v="107"/>
    <x v="107"/>
    <x v="6"/>
  </r>
  <r>
    <x v="2"/>
    <x v="7"/>
    <x v="0"/>
    <x v="108"/>
    <x v="7"/>
    <x v="108"/>
    <x v="108"/>
    <x v="7"/>
  </r>
  <r>
    <x v="2"/>
    <x v="7"/>
    <x v="1"/>
    <x v="109"/>
    <x v="7"/>
    <x v="109"/>
    <x v="109"/>
    <x v="7"/>
  </r>
  <r>
    <x v="2"/>
    <x v="7"/>
    <x v="2"/>
    <x v="110"/>
    <x v="7"/>
    <x v="110"/>
    <x v="110"/>
    <x v="7"/>
  </r>
  <r>
    <x v="2"/>
    <x v="7"/>
    <x v="3"/>
    <x v="111"/>
    <x v="7"/>
    <x v="111"/>
    <x v="111"/>
    <x v="7"/>
  </r>
  <r>
    <x v="2"/>
    <x v="8"/>
    <x v="0"/>
    <x v="112"/>
    <x v="8"/>
    <x v="112"/>
    <x v="112"/>
    <x v="8"/>
  </r>
  <r>
    <x v="2"/>
    <x v="8"/>
    <x v="1"/>
    <x v="113"/>
    <x v="8"/>
    <x v="113"/>
    <x v="113"/>
    <x v="8"/>
  </r>
  <r>
    <x v="2"/>
    <x v="8"/>
    <x v="2"/>
    <x v="114"/>
    <x v="8"/>
    <x v="114"/>
    <x v="114"/>
    <x v="8"/>
  </r>
  <r>
    <x v="2"/>
    <x v="8"/>
    <x v="3"/>
    <x v="115"/>
    <x v="8"/>
    <x v="115"/>
    <x v="115"/>
    <x v="8"/>
  </r>
  <r>
    <x v="2"/>
    <x v="9"/>
    <x v="0"/>
    <x v="116"/>
    <x v="9"/>
    <x v="116"/>
    <x v="116"/>
    <x v="9"/>
  </r>
  <r>
    <x v="2"/>
    <x v="9"/>
    <x v="1"/>
    <x v="117"/>
    <x v="9"/>
    <x v="117"/>
    <x v="117"/>
    <x v="9"/>
  </r>
  <r>
    <x v="2"/>
    <x v="9"/>
    <x v="2"/>
    <x v="118"/>
    <x v="9"/>
    <x v="118"/>
    <x v="118"/>
    <x v="9"/>
  </r>
  <r>
    <x v="2"/>
    <x v="9"/>
    <x v="3"/>
    <x v="119"/>
    <x v="9"/>
    <x v="119"/>
    <x v="119"/>
    <x v="9"/>
  </r>
  <r>
    <x v="3"/>
    <x v="0"/>
    <x v="0"/>
    <x v="120"/>
    <x v="0"/>
    <x v="120"/>
    <x v="120"/>
    <x v="0"/>
  </r>
  <r>
    <x v="3"/>
    <x v="0"/>
    <x v="1"/>
    <x v="121"/>
    <x v="0"/>
    <x v="121"/>
    <x v="121"/>
    <x v="0"/>
  </r>
  <r>
    <x v="3"/>
    <x v="0"/>
    <x v="2"/>
    <x v="122"/>
    <x v="0"/>
    <x v="122"/>
    <x v="122"/>
    <x v="0"/>
  </r>
  <r>
    <x v="3"/>
    <x v="0"/>
    <x v="3"/>
    <x v="123"/>
    <x v="0"/>
    <x v="123"/>
    <x v="123"/>
    <x v="0"/>
  </r>
  <r>
    <x v="3"/>
    <x v="1"/>
    <x v="0"/>
    <x v="124"/>
    <x v="1"/>
    <x v="124"/>
    <x v="124"/>
    <x v="1"/>
  </r>
  <r>
    <x v="3"/>
    <x v="1"/>
    <x v="1"/>
    <x v="125"/>
    <x v="1"/>
    <x v="125"/>
    <x v="125"/>
    <x v="1"/>
  </r>
  <r>
    <x v="3"/>
    <x v="1"/>
    <x v="2"/>
    <x v="126"/>
    <x v="1"/>
    <x v="126"/>
    <x v="126"/>
    <x v="1"/>
  </r>
  <r>
    <x v="3"/>
    <x v="1"/>
    <x v="3"/>
    <x v="127"/>
    <x v="1"/>
    <x v="127"/>
    <x v="127"/>
    <x v="1"/>
  </r>
  <r>
    <x v="3"/>
    <x v="2"/>
    <x v="0"/>
    <x v="128"/>
    <x v="2"/>
    <x v="128"/>
    <x v="128"/>
    <x v="2"/>
  </r>
  <r>
    <x v="3"/>
    <x v="2"/>
    <x v="1"/>
    <x v="129"/>
    <x v="2"/>
    <x v="129"/>
    <x v="129"/>
    <x v="2"/>
  </r>
  <r>
    <x v="3"/>
    <x v="2"/>
    <x v="2"/>
    <x v="130"/>
    <x v="2"/>
    <x v="130"/>
    <x v="130"/>
    <x v="2"/>
  </r>
  <r>
    <x v="3"/>
    <x v="2"/>
    <x v="3"/>
    <x v="131"/>
    <x v="2"/>
    <x v="131"/>
    <x v="131"/>
    <x v="2"/>
  </r>
  <r>
    <x v="3"/>
    <x v="3"/>
    <x v="0"/>
    <x v="132"/>
    <x v="3"/>
    <x v="132"/>
    <x v="132"/>
    <x v="3"/>
  </r>
  <r>
    <x v="3"/>
    <x v="3"/>
    <x v="1"/>
    <x v="133"/>
    <x v="3"/>
    <x v="133"/>
    <x v="133"/>
    <x v="3"/>
  </r>
  <r>
    <x v="3"/>
    <x v="3"/>
    <x v="2"/>
    <x v="134"/>
    <x v="3"/>
    <x v="134"/>
    <x v="134"/>
    <x v="3"/>
  </r>
  <r>
    <x v="3"/>
    <x v="3"/>
    <x v="3"/>
    <x v="135"/>
    <x v="3"/>
    <x v="135"/>
    <x v="135"/>
    <x v="3"/>
  </r>
  <r>
    <x v="3"/>
    <x v="4"/>
    <x v="0"/>
    <x v="136"/>
    <x v="4"/>
    <x v="136"/>
    <x v="136"/>
    <x v="4"/>
  </r>
  <r>
    <x v="3"/>
    <x v="4"/>
    <x v="1"/>
    <x v="137"/>
    <x v="4"/>
    <x v="137"/>
    <x v="137"/>
    <x v="4"/>
  </r>
  <r>
    <x v="3"/>
    <x v="4"/>
    <x v="2"/>
    <x v="138"/>
    <x v="4"/>
    <x v="138"/>
    <x v="138"/>
    <x v="4"/>
  </r>
  <r>
    <x v="3"/>
    <x v="4"/>
    <x v="3"/>
    <x v="139"/>
    <x v="4"/>
    <x v="139"/>
    <x v="139"/>
    <x v="4"/>
  </r>
  <r>
    <x v="3"/>
    <x v="5"/>
    <x v="0"/>
    <x v="140"/>
    <x v="5"/>
    <x v="140"/>
    <x v="140"/>
    <x v="5"/>
  </r>
  <r>
    <x v="3"/>
    <x v="5"/>
    <x v="1"/>
    <x v="141"/>
    <x v="5"/>
    <x v="141"/>
    <x v="141"/>
    <x v="5"/>
  </r>
  <r>
    <x v="3"/>
    <x v="5"/>
    <x v="2"/>
    <x v="142"/>
    <x v="5"/>
    <x v="142"/>
    <x v="142"/>
    <x v="5"/>
  </r>
  <r>
    <x v="3"/>
    <x v="5"/>
    <x v="3"/>
    <x v="143"/>
    <x v="5"/>
    <x v="143"/>
    <x v="143"/>
    <x v="5"/>
  </r>
  <r>
    <x v="3"/>
    <x v="6"/>
    <x v="0"/>
    <x v="144"/>
    <x v="6"/>
    <x v="144"/>
    <x v="144"/>
    <x v="6"/>
  </r>
  <r>
    <x v="3"/>
    <x v="6"/>
    <x v="1"/>
    <x v="145"/>
    <x v="6"/>
    <x v="145"/>
    <x v="145"/>
    <x v="6"/>
  </r>
  <r>
    <x v="3"/>
    <x v="6"/>
    <x v="2"/>
    <x v="146"/>
    <x v="6"/>
    <x v="146"/>
    <x v="146"/>
    <x v="6"/>
  </r>
  <r>
    <x v="3"/>
    <x v="6"/>
    <x v="3"/>
    <x v="147"/>
    <x v="6"/>
    <x v="147"/>
    <x v="147"/>
    <x v="6"/>
  </r>
  <r>
    <x v="3"/>
    <x v="7"/>
    <x v="0"/>
    <x v="148"/>
    <x v="7"/>
    <x v="148"/>
    <x v="148"/>
    <x v="7"/>
  </r>
  <r>
    <x v="3"/>
    <x v="7"/>
    <x v="1"/>
    <x v="149"/>
    <x v="7"/>
    <x v="149"/>
    <x v="149"/>
    <x v="7"/>
  </r>
  <r>
    <x v="3"/>
    <x v="7"/>
    <x v="2"/>
    <x v="150"/>
    <x v="7"/>
    <x v="150"/>
    <x v="150"/>
    <x v="7"/>
  </r>
  <r>
    <x v="3"/>
    <x v="7"/>
    <x v="3"/>
    <x v="151"/>
    <x v="7"/>
    <x v="151"/>
    <x v="151"/>
    <x v="7"/>
  </r>
  <r>
    <x v="3"/>
    <x v="8"/>
    <x v="0"/>
    <x v="152"/>
    <x v="8"/>
    <x v="152"/>
    <x v="152"/>
    <x v="8"/>
  </r>
  <r>
    <x v="3"/>
    <x v="8"/>
    <x v="1"/>
    <x v="153"/>
    <x v="8"/>
    <x v="153"/>
    <x v="153"/>
    <x v="8"/>
  </r>
  <r>
    <x v="3"/>
    <x v="8"/>
    <x v="2"/>
    <x v="154"/>
    <x v="8"/>
    <x v="154"/>
    <x v="154"/>
    <x v="8"/>
  </r>
  <r>
    <x v="3"/>
    <x v="8"/>
    <x v="3"/>
    <x v="155"/>
    <x v="8"/>
    <x v="155"/>
    <x v="155"/>
    <x v="8"/>
  </r>
  <r>
    <x v="3"/>
    <x v="9"/>
    <x v="0"/>
    <x v="156"/>
    <x v="9"/>
    <x v="156"/>
    <x v="156"/>
    <x v="9"/>
  </r>
  <r>
    <x v="3"/>
    <x v="9"/>
    <x v="1"/>
    <x v="157"/>
    <x v="9"/>
    <x v="157"/>
    <x v="157"/>
    <x v="9"/>
  </r>
  <r>
    <x v="3"/>
    <x v="9"/>
    <x v="2"/>
    <x v="158"/>
    <x v="9"/>
    <x v="158"/>
    <x v="158"/>
    <x v="9"/>
  </r>
  <r>
    <x v="3"/>
    <x v="9"/>
    <x v="3"/>
    <x v="159"/>
    <x v="9"/>
    <x v="159"/>
    <x v="159"/>
    <x v="9"/>
  </r>
  <r>
    <x v="4"/>
    <x v="0"/>
    <x v="0"/>
    <x v="160"/>
    <x v="0"/>
    <x v="160"/>
    <x v="160"/>
    <x v="0"/>
  </r>
  <r>
    <x v="4"/>
    <x v="0"/>
    <x v="1"/>
    <x v="161"/>
    <x v="0"/>
    <x v="161"/>
    <x v="161"/>
    <x v="0"/>
  </r>
  <r>
    <x v="4"/>
    <x v="0"/>
    <x v="2"/>
    <x v="120"/>
    <x v="0"/>
    <x v="120"/>
    <x v="120"/>
    <x v="0"/>
  </r>
  <r>
    <x v="4"/>
    <x v="0"/>
    <x v="3"/>
    <x v="162"/>
    <x v="0"/>
    <x v="162"/>
    <x v="162"/>
    <x v="0"/>
  </r>
  <r>
    <x v="4"/>
    <x v="1"/>
    <x v="0"/>
    <x v="163"/>
    <x v="1"/>
    <x v="163"/>
    <x v="163"/>
    <x v="1"/>
  </r>
  <r>
    <x v="4"/>
    <x v="1"/>
    <x v="1"/>
    <x v="164"/>
    <x v="1"/>
    <x v="164"/>
    <x v="164"/>
    <x v="1"/>
  </r>
  <r>
    <x v="4"/>
    <x v="1"/>
    <x v="2"/>
    <x v="124"/>
    <x v="1"/>
    <x v="124"/>
    <x v="124"/>
    <x v="1"/>
  </r>
  <r>
    <x v="4"/>
    <x v="1"/>
    <x v="3"/>
    <x v="165"/>
    <x v="1"/>
    <x v="165"/>
    <x v="165"/>
    <x v="1"/>
  </r>
  <r>
    <x v="4"/>
    <x v="2"/>
    <x v="0"/>
    <x v="166"/>
    <x v="2"/>
    <x v="166"/>
    <x v="166"/>
    <x v="2"/>
  </r>
  <r>
    <x v="4"/>
    <x v="2"/>
    <x v="1"/>
    <x v="167"/>
    <x v="2"/>
    <x v="167"/>
    <x v="167"/>
    <x v="2"/>
  </r>
  <r>
    <x v="4"/>
    <x v="2"/>
    <x v="2"/>
    <x v="128"/>
    <x v="2"/>
    <x v="128"/>
    <x v="128"/>
    <x v="2"/>
  </r>
  <r>
    <x v="4"/>
    <x v="2"/>
    <x v="3"/>
    <x v="168"/>
    <x v="2"/>
    <x v="168"/>
    <x v="168"/>
    <x v="2"/>
  </r>
  <r>
    <x v="4"/>
    <x v="3"/>
    <x v="0"/>
    <x v="169"/>
    <x v="3"/>
    <x v="169"/>
    <x v="169"/>
    <x v="3"/>
  </r>
  <r>
    <x v="4"/>
    <x v="3"/>
    <x v="1"/>
    <x v="170"/>
    <x v="3"/>
    <x v="170"/>
    <x v="170"/>
    <x v="3"/>
  </r>
  <r>
    <x v="4"/>
    <x v="3"/>
    <x v="2"/>
    <x v="132"/>
    <x v="3"/>
    <x v="132"/>
    <x v="132"/>
    <x v="3"/>
  </r>
  <r>
    <x v="4"/>
    <x v="3"/>
    <x v="3"/>
    <x v="171"/>
    <x v="3"/>
    <x v="171"/>
    <x v="171"/>
    <x v="3"/>
  </r>
  <r>
    <x v="4"/>
    <x v="4"/>
    <x v="0"/>
    <x v="172"/>
    <x v="4"/>
    <x v="172"/>
    <x v="172"/>
    <x v="4"/>
  </r>
  <r>
    <x v="4"/>
    <x v="4"/>
    <x v="1"/>
    <x v="173"/>
    <x v="4"/>
    <x v="173"/>
    <x v="173"/>
    <x v="4"/>
  </r>
  <r>
    <x v="4"/>
    <x v="4"/>
    <x v="2"/>
    <x v="136"/>
    <x v="4"/>
    <x v="136"/>
    <x v="136"/>
    <x v="4"/>
  </r>
  <r>
    <x v="4"/>
    <x v="4"/>
    <x v="3"/>
    <x v="174"/>
    <x v="4"/>
    <x v="174"/>
    <x v="174"/>
    <x v="4"/>
  </r>
  <r>
    <x v="4"/>
    <x v="5"/>
    <x v="0"/>
    <x v="175"/>
    <x v="5"/>
    <x v="175"/>
    <x v="175"/>
    <x v="5"/>
  </r>
  <r>
    <x v="4"/>
    <x v="5"/>
    <x v="1"/>
    <x v="176"/>
    <x v="5"/>
    <x v="176"/>
    <x v="176"/>
    <x v="5"/>
  </r>
  <r>
    <x v="4"/>
    <x v="5"/>
    <x v="2"/>
    <x v="140"/>
    <x v="5"/>
    <x v="140"/>
    <x v="140"/>
    <x v="5"/>
  </r>
  <r>
    <x v="4"/>
    <x v="5"/>
    <x v="3"/>
    <x v="177"/>
    <x v="5"/>
    <x v="177"/>
    <x v="177"/>
    <x v="5"/>
  </r>
  <r>
    <x v="4"/>
    <x v="6"/>
    <x v="0"/>
    <x v="178"/>
    <x v="6"/>
    <x v="178"/>
    <x v="178"/>
    <x v="6"/>
  </r>
  <r>
    <x v="4"/>
    <x v="6"/>
    <x v="1"/>
    <x v="179"/>
    <x v="6"/>
    <x v="179"/>
    <x v="179"/>
    <x v="6"/>
  </r>
  <r>
    <x v="4"/>
    <x v="6"/>
    <x v="2"/>
    <x v="144"/>
    <x v="6"/>
    <x v="144"/>
    <x v="144"/>
    <x v="6"/>
  </r>
  <r>
    <x v="4"/>
    <x v="6"/>
    <x v="3"/>
    <x v="180"/>
    <x v="6"/>
    <x v="180"/>
    <x v="180"/>
    <x v="6"/>
  </r>
  <r>
    <x v="4"/>
    <x v="7"/>
    <x v="0"/>
    <x v="181"/>
    <x v="7"/>
    <x v="181"/>
    <x v="181"/>
    <x v="7"/>
  </r>
  <r>
    <x v="4"/>
    <x v="7"/>
    <x v="1"/>
    <x v="182"/>
    <x v="7"/>
    <x v="182"/>
    <x v="182"/>
    <x v="7"/>
  </r>
  <r>
    <x v="4"/>
    <x v="7"/>
    <x v="2"/>
    <x v="148"/>
    <x v="7"/>
    <x v="148"/>
    <x v="148"/>
    <x v="7"/>
  </r>
  <r>
    <x v="4"/>
    <x v="7"/>
    <x v="3"/>
    <x v="183"/>
    <x v="7"/>
    <x v="183"/>
    <x v="183"/>
    <x v="7"/>
  </r>
  <r>
    <x v="4"/>
    <x v="8"/>
    <x v="0"/>
    <x v="184"/>
    <x v="8"/>
    <x v="184"/>
    <x v="184"/>
    <x v="8"/>
  </r>
  <r>
    <x v="4"/>
    <x v="8"/>
    <x v="1"/>
    <x v="185"/>
    <x v="8"/>
    <x v="185"/>
    <x v="185"/>
    <x v="8"/>
  </r>
  <r>
    <x v="4"/>
    <x v="8"/>
    <x v="2"/>
    <x v="152"/>
    <x v="8"/>
    <x v="152"/>
    <x v="152"/>
    <x v="8"/>
  </r>
  <r>
    <x v="4"/>
    <x v="8"/>
    <x v="3"/>
    <x v="186"/>
    <x v="8"/>
    <x v="186"/>
    <x v="186"/>
    <x v="8"/>
  </r>
  <r>
    <x v="4"/>
    <x v="9"/>
    <x v="0"/>
    <x v="187"/>
    <x v="9"/>
    <x v="187"/>
    <x v="187"/>
    <x v="9"/>
  </r>
  <r>
    <x v="4"/>
    <x v="9"/>
    <x v="1"/>
    <x v="188"/>
    <x v="9"/>
    <x v="188"/>
    <x v="188"/>
    <x v="9"/>
  </r>
  <r>
    <x v="4"/>
    <x v="9"/>
    <x v="2"/>
    <x v="156"/>
    <x v="9"/>
    <x v="156"/>
    <x v="156"/>
    <x v="9"/>
  </r>
  <r>
    <x v="4"/>
    <x v="9"/>
    <x v="3"/>
    <x v="189"/>
    <x v="9"/>
    <x v="189"/>
    <x v="189"/>
    <x v="9"/>
  </r>
  <r>
    <x v="5"/>
    <x v="0"/>
    <x v="0"/>
    <x v="190"/>
    <x v="0"/>
    <x v="190"/>
    <x v="190"/>
    <x v="0"/>
  </r>
  <r>
    <x v="5"/>
    <x v="0"/>
    <x v="1"/>
    <x v="191"/>
    <x v="0"/>
    <x v="191"/>
    <x v="191"/>
    <x v="0"/>
  </r>
  <r>
    <x v="5"/>
    <x v="0"/>
    <x v="2"/>
    <x v="192"/>
    <x v="0"/>
    <x v="192"/>
    <x v="192"/>
    <x v="0"/>
  </r>
  <r>
    <x v="5"/>
    <x v="0"/>
    <x v="3"/>
    <x v="193"/>
    <x v="0"/>
    <x v="193"/>
    <x v="193"/>
    <x v="0"/>
  </r>
  <r>
    <x v="5"/>
    <x v="1"/>
    <x v="0"/>
    <x v="194"/>
    <x v="1"/>
    <x v="194"/>
    <x v="194"/>
    <x v="1"/>
  </r>
  <r>
    <x v="5"/>
    <x v="1"/>
    <x v="1"/>
    <x v="195"/>
    <x v="1"/>
    <x v="195"/>
    <x v="195"/>
    <x v="1"/>
  </r>
  <r>
    <x v="5"/>
    <x v="1"/>
    <x v="2"/>
    <x v="196"/>
    <x v="1"/>
    <x v="196"/>
    <x v="196"/>
    <x v="1"/>
  </r>
  <r>
    <x v="5"/>
    <x v="1"/>
    <x v="3"/>
    <x v="197"/>
    <x v="1"/>
    <x v="197"/>
    <x v="197"/>
    <x v="1"/>
  </r>
  <r>
    <x v="5"/>
    <x v="2"/>
    <x v="0"/>
    <x v="198"/>
    <x v="2"/>
    <x v="198"/>
    <x v="198"/>
    <x v="2"/>
  </r>
  <r>
    <x v="5"/>
    <x v="2"/>
    <x v="1"/>
    <x v="199"/>
    <x v="2"/>
    <x v="199"/>
    <x v="199"/>
    <x v="2"/>
  </r>
  <r>
    <x v="5"/>
    <x v="2"/>
    <x v="2"/>
    <x v="200"/>
    <x v="2"/>
    <x v="200"/>
    <x v="200"/>
    <x v="2"/>
  </r>
  <r>
    <x v="5"/>
    <x v="2"/>
    <x v="3"/>
    <x v="201"/>
    <x v="2"/>
    <x v="201"/>
    <x v="201"/>
    <x v="2"/>
  </r>
  <r>
    <x v="5"/>
    <x v="3"/>
    <x v="0"/>
    <x v="202"/>
    <x v="3"/>
    <x v="202"/>
    <x v="202"/>
    <x v="3"/>
  </r>
  <r>
    <x v="5"/>
    <x v="3"/>
    <x v="1"/>
    <x v="203"/>
    <x v="3"/>
    <x v="203"/>
    <x v="203"/>
    <x v="3"/>
  </r>
  <r>
    <x v="5"/>
    <x v="3"/>
    <x v="2"/>
    <x v="204"/>
    <x v="3"/>
    <x v="204"/>
    <x v="204"/>
    <x v="3"/>
  </r>
  <r>
    <x v="5"/>
    <x v="3"/>
    <x v="3"/>
    <x v="205"/>
    <x v="3"/>
    <x v="205"/>
    <x v="205"/>
    <x v="3"/>
  </r>
  <r>
    <x v="5"/>
    <x v="4"/>
    <x v="0"/>
    <x v="206"/>
    <x v="4"/>
    <x v="206"/>
    <x v="206"/>
    <x v="4"/>
  </r>
  <r>
    <x v="5"/>
    <x v="4"/>
    <x v="1"/>
    <x v="207"/>
    <x v="4"/>
    <x v="207"/>
    <x v="207"/>
    <x v="4"/>
  </r>
  <r>
    <x v="5"/>
    <x v="4"/>
    <x v="2"/>
    <x v="208"/>
    <x v="4"/>
    <x v="208"/>
    <x v="208"/>
    <x v="4"/>
  </r>
  <r>
    <x v="5"/>
    <x v="4"/>
    <x v="3"/>
    <x v="209"/>
    <x v="4"/>
    <x v="209"/>
    <x v="209"/>
    <x v="4"/>
  </r>
  <r>
    <x v="5"/>
    <x v="5"/>
    <x v="0"/>
    <x v="73"/>
    <x v="5"/>
    <x v="210"/>
    <x v="210"/>
    <x v="5"/>
  </r>
  <r>
    <x v="5"/>
    <x v="5"/>
    <x v="1"/>
    <x v="210"/>
    <x v="5"/>
    <x v="211"/>
    <x v="211"/>
    <x v="5"/>
  </r>
  <r>
    <x v="5"/>
    <x v="5"/>
    <x v="2"/>
    <x v="211"/>
    <x v="5"/>
    <x v="212"/>
    <x v="212"/>
    <x v="5"/>
  </r>
  <r>
    <x v="5"/>
    <x v="5"/>
    <x v="3"/>
    <x v="212"/>
    <x v="5"/>
    <x v="213"/>
    <x v="213"/>
    <x v="5"/>
  </r>
  <r>
    <x v="5"/>
    <x v="6"/>
    <x v="0"/>
    <x v="213"/>
    <x v="6"/>
    <x v="113"/>
    <x v="214"/>
    <x v="6"/>
  </r>
  <r>
    <x v="5"/>
    <x v="6"/>
    <x v="1"/>
    <x v="214"/>
    <x v="6"/>
    <x v="214"/>
    <x v="215"/>
    <x v="6"/>
  </r>
  <r>
    <x v="5"/>
    <x v="6"/>
    <x v="2"/>
    <x v="215"/>
    <x v="6"/>
    <x v="215"/>
    <x v="216"/>
    <x v="6"/>
  </r>
  <r>
    <x v="5"/>
    <x v="6"/>
    <x v="3"/>
    <x v="216"/>
    <x v="6"/>
    <x v="216"/>
    <x v="217"/>
    <x v="6"/>
  </r>
  <r>
    <x v="5"/>
    <x v="7"/>
    <x v="0"/>
    <x v="217"/>
    <x v="7"/>
    <x v="217"/>
    <x v="218"/>
    <x v="7"/>
  </r>
  <r>
    <x v="5"/>
    <x v="7"/>
    <x v="1"/>
    <x v="218"/>
    <x v="7"/>
    <x v="218"/>
    <x v="219"/>
    <x v="7"/>
  </r>
  <r>
    <x v="5"/>
    <x v="7"/>
    <x v="2"/>
    <x v="219"/>
    <x v="7"/>
    <x v="219"/>
    <x v="220"/>
    <x v="7"/>
  </r>
  <r>
    <x v="5"/>
    <x v="7"/>
    <x v="3"/>
    <x v="220"/>
    <x v="7"/>
    <x v="220"/>
    <x v="221"/>
    <x v="7"/>
  </r>
  <r>
    <x v="5"/>
    <x v="8"/>
    <x v="0"/>
    <x v="221"/>
    <x v="8"/>
    <x v="182"/>
    <x v="222"/>
    <x v="8"/>
  </r>
  <r>
    <x v="5"/>
    <x v="8"/>
    <x v="1"/>
    <x v="222"/>
    <x v="8"/>
    <x v="221"/>
    <x v="223"/>
    <x v="8"/>
  </r>
  <r>
    <x v="5"/>
    <x v="8"/>
    <x v="2"/>
    <x v="223"/>
    <x v="8"/>
    <x v="149"/>
    <x v="224"/>
    <x v="8"/>
  </r>
  <r>
    <x v="5"/>
    <x v="8"/>
    <x v="3"/>
    <x v="224"/>
    <x v="8"/>
    <x v="222"/>
    <x v="225"/>
    <x v="8"/>
  </r>
  <r>
    <x v="5"/>
    <x v="9"/>
    <x v="0"/>
    <x v="69"/>
    <x v="9"/>
    <x v="65"/>
    <x v="226"/>
    <x v="9"/>
  </r>
  <r>
    <x v="5"/>
    <x v="9"/>
    <x v="1"/>
    <x v="225"/>
    <x v="9"/>
    <x v="223"/>
    <x v="227"/>
    <x v="9"/>
  </r>
  <r>
    <x v="5"/>
    <x v="9"/>
    <x v="2"/>
    <x v="226"/>
    <x v="9"/>
    <x v="224"/>
    <x v="228"/>
    <x v="9"/>
  </r>
  <r>
    <x v="5"/>
    <x v="9"/>
    <x v="3"/>
    <x v="227"/>
    <x v="9"/>
    <x v="225"/>
    <x v="229"/>
    <x v="9"/>
  </r>
  <r>
    <x v="6"/>
    <x v="0"/>
    <x v="0"/>
    <x v="228"/>
    <x v="0"/>
    <x v="226"/>
    <x v="230"/>
    <x v="0"/>
  </r>
  <r>
    <x v="6"/>
    <x v="0"/>
    <x v="1"/>
    <x v="229"/>
    <x v="0"/>
    <x v="227"/>
    <x v="231"/>
    <x v="0"/>
  </r>
  <r>
    <x v="6"/>
    <x v="0"/>
    <x v="2"/>
    <x v="230"/>
    <x v="0"/>
    <x v="228"/>
    <x v="232"/>
    <x v="0"/>
  </r>
  <r>
    <x v="6"/>
    <x v="0"/>
    <x v="3"/>
    <x v="231"/>
    <x v="0"/>
    <x v="229"/>
    <x v="233"/>
    <x v="0"/>
  </r>
  <r>
    <x v="6"/>
    <x v="1"/>
    <x v="0"/>
    <x v="232"/>
    <x v="1"/>
    <x v="230"/>
    <x v="234"/>
    <x v="1"/>
  </r>
  <r>
    <x v="6"/>
    <x v="1"/>
    <x v="1"/>
    <x v="233"/>
    <x v="1"/>
    <x v="231"/>
    <x v="235"/>
    <x v="10"/>
  </r>
  <r>
    <x v="6"/>
    <x v="1"/>
    <x v="2"/>
    <x v="234"/>
    <x v="1"/>
    <x v="232"/>
    <x v="236"/>
    <x v="10"/>
  </r>
  <r>
    <x v="6"/>
    <x v="1"/>
    <x v="3"/>
    <x v="235"/>
    <x v="1"/>
    <x v="233"/>
    <x v="237"/>
    <x v="10"/>
  </r>
  <r>
    <x v="6"/>
    <x v="2"/>
    <x v="0"/>
    <x v="236"/>
    <x v="2"/>
    <x v="234"/>
    <x v="238"/>
    <x v="2"/>
  </r>
  <r>
    <x v="6"/>
    <x v="2"/>
    <x v="1"/>
    <x v="237"/>
    <x v="2"/>
    <x v="235"/>
    <x v="239"/>
    <x v="2"/>
  </r>
  <r>
    <x v="6"/>
    <x v="2"/>
    <x v="2"/>
    <x v="238"/>
    <x v="2"/>
    <x v="236"/>
    <x v="240"/>
    <x v="2"/>
  </r>
  <r>
    <x v="6"/>
    <x v="2"/>
    <x v="3"/>
    <x v="239"/>
    <x v="2"/>
    <x v="237"/>
    <x v="241"/>
    <x v="2"/>
  </r>
  <r>
    <x v="6"/>
    <x v="3"/>
    <x v="0"/>
    <x v="240"/>
    <x v="3"/>
    <x v="238"/>
    <x v="242"/>
    <x v="3"/>
  </r>
  <r>
    <x v="6"/>
    <x v="3"/>
    <x v="1"/>
    <x v="241"/>
    <x v="3"/>
    <x v="239"/>
    <x v="243"/>
    <x v="3"/>
  </r>
  <r>
    <x v="6"/>
    <x v="3"/>
    <x v="2"/>
    <x v="242"/>
    <x v="3"/>
    <x v="240"/>
    <x v="244"/>
    <x v="3"/>
  </r>
  <r>
    <x v="6"/>
    <x v="3"/>
    <x v="3"/>
    <x v="243"/>
    <x v="3"/>
    <x v="241"/>
    <x v="245"/>
    <x v="3"/>
  </r>
  <r>
    <x v="6"/>
    <x v="4"/>
    <x v="0"/>
    <x v="244"/>
    <x v="4"/>
    <x v="242"/>
    <x v="246"/>
    <x v="4"/>
  </r>
  <r>
    <x v="6"/>
    <x v="4"/>
    <x v="1"/>
    <x v="245"/>
    <x v="4"/>
    <x v="243"/>
    <x v="247"/>
    <x v="4"/>
  </r>
  <r>
    <x v="6"/>
    <x v="4"/>
    <x v="2"/>
    <x v="246"/>
    <x v="4"/>
    <x v="244"/>
    <x v="248"/>
    <x v="4"/>
  </r>
  <r>
    <x v="6"/>
    <x v="4"/>
    <x v="3"/>
    <x v="247"/>
    <x v="4"/>
    <x v="245"/>
    <x v="249"/>
    <x v="4"/>
  </r>
  <r>
    <x v="6"/>
    <x v="5"/>
    <x v="0"/>
    <x v="248"/>
    <x v="5"/>
    <x v="246"/>
    <x v="250"/>
    <x v="5"/>
  </r>
  <r>
    <x v="6"/>
    <x v="5"/>
    <x v="1"/>
    <x v="249"/>
    <x v="5"/>
    <x v="247"/>
    <x v="251"/>
    <x v="5"/>
  </r>
  <r>
    <x v="6"/>
    <x v="5"/>
    <x v="2"/>
    <x v="250"/>
    <x v="5"/>
    <x v="248"/>
    <x v="252"/>
    <x v="5"/>
  </r>
  <r>
    <x v="6"/>
    <x v="5"/>
    <x v="3"/>
    <x v="251"/>
    <x v="5"/>
    <x v="249"/>
    <x v="253"/>
    <x v="5"/>
  </r>
  <r>
    <x v="6"/>
    <x v="6"/>
    <x v="0"/>
    <x v="252"/>
    <x v="6"/>
    <x v="250"/>
    <x v="254"/>
    <x v="6"/>
  </r>
  <r>
    <x v="6"/>
    <x v="6"/>
    <x v="1"/>
    <x v="253"/>
    <x v="6"/>
    <x v="251"/>
    <x v="255"/>
    <x v="6"/>
  </r>
  <r>
    <x v="6"/>
    <x v="6"/>
    <x v="2"/>
    <x v="254"/>
    <x v="6"/>
    <x v="252"/>
    <x v="256"/>
    <x v="6"/>
  </r>
  <r>
    <x v="6"/>
    <x v="6"/>
    <x v="3"/>
    <x v="255"/>
    <x v="6"/>
    <x v="253"/>
    <x v="257"/>
    <x v="6"/>
  </r>
  <r>
    <x v="6"/>
    <x v="7"/>
    <x v="0"/>
    <x v="256"/>
    <x v="7"/>
    <x v="254"/>
    <x v="258"/>
    <x v="7"/>
  </r>
  <r>
    <x v="6"/>
    <x v="7"/>
    <x v="1"/>
    <x v="257"/>
    <x v="7"/>
    <x v="255"/>
    <x v="259"/>
    <x v="7"/>
  </r>
  <r>
    <x v="6"/>
    <x v="7"/>
    <x v="2"/>
    <x v="258"/>
    <x v="7"/>
    <x v="256"/>
    <x v="260"/>
    <x v="7"/>
  </r>
  <r>
    <x v="6"/>
    <x v="7"/>
    <x v="3"/>
    <x v="259"/>
    <x v="7"/>
    <x v="257"/>
    <x v="261"/>
    <x v="7"/>
  </r>
  <r>
    <x v="6"/>
    <x v="8"/>
    <x v="0"/>
    <x v="260"/>
    <x v="8"/>
    <x v="258"/>
    <x v="262"/>
    <x v="8"/>
  </r>
  <r>
    <x v="6"/>
    <x v="8"/>
    <x v="1"/>
    <x v="261"/>
    <x v="8"/>
    <x v="259"/>
    <x v="263"/>
    <x v="8"/>
  </r>
  <r>
    <x v="6"/>
    <x v="8"/>
    <x v="2"/>
    <x v="262"/>
    <x v="8"/>
    <x v="260"/>
    <x v="264"/>
    <x v="8"/>
  </r>
  <r>
    <x v="6"/>
    <x v="8"/>
    <x v="3"/>
    <x v="263"/>
    <x v="8"/>
    <x v="261"/>
    <x v="265"/>
    <x v="8"/>
  </r>
  <r>
    <x v="6"/>
    <x v="9"/>
    <x v="0"/>
    <x v="264"/>
    <x v="9"/>
    <x v="262"/>
    <x v="266"/>
    <x v="9"/>
  </r>
  <r>
    <x v="6"/>
    <x v="9"/>
    <x v="1"/>
    <x v="265"/>
    <x v="9"/>
    <x v="263"/>
    <x v="267"/>
    <x v="9"/>
  </r>
  <r>
    <x v="6"/>
    <x v="9"/>
    <x v="2"/>
    <x v="266"/>
    <x v="9"/>
    <x v="264"/>
    <x v="268"/>
    <x v="9"/>
  </r>
  <r>
    <x v="6"/>
    <x v="9"/>
    <x v="3"/>
    <x v="267"/>
    <x v="9"/>
    <x v="265"/>
    <x v="269"/>
    <x v="9"/>
  </r>
  <r>
    <x v="7"/>
    <x v="0"/>
    <x v="0"/>
    <x v="190"/>
    <x v="0"/>
    <x v="190"/>
    <x v="190"/>
    <x v="0"/>
  </r>
  <r>
    <x v="7"/>
    <x v="0"/>
    <x v="1"/>
    <x v="191"/>
    <x v="0"/>
    <x v="191"/>
    <x v="191"/>
    <x v="0"/>
  </r>
  <r>
    <x v="7"/>
    <x v="0"/>
    <x v="2"/>
    <x v="192"/>
    <x v="0"/>
    <x v="192"/>
    <x v="192"/>
    <x v="0"/>
  </r>
  <r>
    <x v="7"/>
    <x v="0"/>
    <x v="3"/>
    <x v="193"/>
    <x v="0"/>
    <x v="193"/>
    <x v="193"/>
    <x v="0"/>
  </r>
  <r>
    <x v="7"/>
    <x v="1"/>
    <x v="0"/>
    <x v="194"/>
    <x v="1"/>
    <x v="194"/>
    <x v="194"/>
    <x v="1"/>
  </r>
  <r>
    <x v="7"/>
    <x v="1"/>
    <x v="1"/>
    <x v="195"/>
    <x v="1"/>
    <x v="195"/>
    <x v="195"/>
    <x v="1"/>
  </r>
  <r>
    <x v="7"/>
    <x v="1"/>
    <x v="2"/>
    <x v="196"/>
    <x v="1"/>
    <x v="196"/>
    <x v="196"/>
    <x v="1"/>
  </r>
  <r>
    <x v="7"/>
    <x v="1"/>
    <x v="3"/>
    <x v="197"/>
    <x v="1"/>
    <x v="197"/>
    <x v="197"/>
    <x v="1"/>
  </r>
  <r>
    <x v="7"/>
    <x v="2"/>
    <x v="0"/>
    <x v="198"/>
    <x v="2"/>
    <x v="198"/>
    <x v="198"/>
    <x v="2"/>
  </r>
  <r>
    <x v="7"/>
    <x v="2"/>
    <x v="1"/>
    <x v="199"/>
    <x v="2"/>
    <x v="199"/>
    <x v="199"/>
    <x v="2"/>
  </r>
  <r>
    <x v="7"/>
    <x v="2"/>
    <x v="2"/>
    <x v="200"/>
    <x v="2"/>
    <x v="200"/>
    <x v="200"/>
    <x v="2"/>
  </r>
  <r>
    <x v="7"/>
    <x v="2"/>
    <x v="3"/>
    <x v="201"/>
    <x v="2"/>
    <x v="201"/>
    <x v="201"/>
    <x v="2"/>
  </r>
  <r>
    <x v="7"/>
    <x v="3"/>
    <x v="0"/>
    <x v="202"/>
    <x v="3"/>
    <x v="202"/>
    <x v="202"/>
    <x v="3"/>
  </r>
  <r>
    <x v="7"/>
    <x v="3"/>
    <x v="1"/>
    <x v="203"/>
    <x v="3"/>
    <x v="203"/>
    <x v="203"/>
    <x v="3"/>
  </r>
  <r>
    <x v="7"/>
    <x v="3"/>
    <x v="2"/>
    <x v="204"/>
    <x v="3"/>
    <x v="204"/>
    <x v="204"/>
    <x v="3"/>
  </r>
  <r>
    <x v="7"/>
    <x v="3"/>
    <x v="3"/>
    <x v="205"/>
    <x v="3"/>
    <x v="205"/>
    <x v="205"/>
    <x v="3"/>
  </r>
  <r>
    <x v="7"/>
    <x v="4"/>
    <x v="0"/>
    <x v="206"/>
    <x v="4"/>
    <x v="206"/>
    <x v="206"/>
    <x v="4"/>
  </r>
  <r>
    <x v="7"/>
    <x v="4"/>
    <x v="1"/>
    <x v="207"/>
    <x v="4"/>
    <x v="207"/>
    <x v="207"/>
    <x v="4"/>
  </r>
  <r>
    <x v="7"/>
    <x v="4"/>
    <x v="2"/>
    <x v="208"/>
    <x v="4"/>
    <x v="208"/>
    <x v="208"/>
    <x v="4"/>
  </r>
  <r>
    <x v="7"/>
    <x v="4"/>
    <x v="3"/>
    <x v="209"/>
    <x v="4"/>
    <x v="209"/>
    <x v="209"/>
    <x v="4"/>
  </r>
  <r>
    <x v="7"/>
    <x v="5"/>
    <x v="0"/>
    <x v="73"/>
    <x v="5"/>
    <x v="210"/>
    <x v="210"/>
    <x v="5"/>
  </r>
  <r>
    <x v="7"/>
    <x v="5"/>
    <x v="1"/>
    <x v="210"/>
    <x v="5"/>
    <x v="211"/>
    <x v="211"/>
    <x v="5"/>
  </r>
  <r>
    <x v="7"/>
    <x v="5"/>
    <x v="2"/>
    <x v="211"/>
    <x v="5"/>
    <x v="212"/>
    <x v="212"/>
    <x v="5"/>
  </r>
  <r>
    <x v="7"/>
    <x v="5"/>
    <x v="3"/>
    <x v="212"/>
    <x v="5"/>
    <x v="213"/>
    <x v="213"/>
    <x v="5"/>
  </r>
  <r>
    <x v="7"/>
    <x v="6"/>
    <x v="0"/>
    <x v="213"/>
    <x v="6"/>
    <x v="113"/>
    <x v="214"/>
    <x v="6"/>
  </r>
  <r>
    <x v="7"/>
    <x v="6"/>
    <x v="1"/>
    <x v="214"/>
    <x v="6"/>
    <x v="214"/>
    <x v="215"/>
    <x v="6"/>
  </r>
  <r>
    <x v="7"/>
    <x v="6"/>
    <x v="2"/>
    <x v="215"/>
    <x v="6"/>
    <x v="215"/>
    <x v="216"/>
    <x v="6"/>
  </r>
  <r>
    <x v="7"/>
    <x v="6"/>
    <x v="3"/>
    <x v="216"/>
    <x v="6"/>
    <x v="216"/>
    <x v="217"/>
    <x v="6"/>
  </r>
  <r>
    <x v="7"/>
    <x v="7"/>
    <x v="0"/>
    <x v="217"/>
    <x v="7"/>
    <x v="217"/>
    <x v="218"/>
    <x v="7"/>
  </r>
  <r>
    <x v="7"/>
    <x v="7"/>
    <x v="1"/>
    <x v="218"/>
    <x v="7"/>
    <x v="218"/>
    <x v="219"/>
    <x v="7"/>
  </r>
  <r>
    <x v="7"/>
    <x v="7"/>
    <x v="2"/>
    <x v="219"/>
    <x v="7"/>
    <x v="219"/>
    <x v="220"/>
    <x v="7"/>
  </r>
  <r>
    <x v="7"/>
    <x v="7"/>
    <x v="3"/>
    <x v="220"/>
    <x v="7"/>
    <x v="220"/>
    <x v="221"/>
    <x v="7"/>
  </r>
  <r>
    <x v="7"/>
    <x v="8"/>
    <x v="0"/>
    <x v="221"/>
    <x v="8"/>
    <x v="182"/>
    <x v="222"/>
    <x v="8"/>
  </r>
  <r>
    <x v="7"/>
    <x v="8"/>
    <x v="1"/>
    <x v="222"/>
    <x v="8"/>
    <x v="221"/>
    <x v="223"/>
    <x v="8"/>
  </r>
  <r>
    <x v="7"/>
    <x v="8"/>
    <x v="2"/>
    <x v="223"/>
    <x v="8"/>
    <x v="149"/>
    <x v="224"/>
    <x v="8"/>
  </r>
  <r>
    <x v="7"/>
    <x v="8"/>
    <x v="3"/>
    <x v="224"/>
    <x v="8"/>
    <x v="222"/>
    <x v="225"/>
    <x v="8"/>
  </r>
  <r>
    <x v="7"/>
    <x v="9"/>
    <x v="0"/>
    <x v="69"/>
    <x v="9"/>
    <x v="65"/>
    <x v="226"/>
    <x v="9"/>
  </r>
  <r>
    <x v="7"/>
    <x v="9"/>
    <x v="1"/>
    <x v="225"/>
    <x v="9"/>
    <x v="223"/>
    <x v="227"/>
    <x v="9"/>
  </r>
  <r>
    <x v="7"/>
    <x v="9"/>
    <x v="2"/>
    <x v="226"/>
    <x v="9"/>
    <x v="224"/>
    <x v="228"/>
    <x v="9"/>
  </r>
  <r>
    <x v="7"/>
    <x v="9"/>
    <x v="3"/>
    <x v="227"/>
    <x v="9"/>
    <x v="225"/>
    <x v="229"/>
    <x v="9"/>
  </r>
  <r>
    <x v="8"/>
    <x v="0"/>
    <x v="0"/>
    <x v="160"/>
    <x v="0"/>
    <x v="160"/>
    <x v="160"/>
    <x v="0"/>
  </r>
  <r>
    <x v="8"/>
    <x v="0"/>
    <x v="1"/>
    <x v="161"/>
    <x v="0"/>
    <x v="161"/>
    <x v="161"/>
    <x v="0"/>
  </r>
  <r>
    <x v="8"/>
    <x v="0"/>
    <x v="2"/>
    <x v="120"/>
    <x v="0"/>
    <x v="120"/>
    <x v="120"/>
    <x v="0"/>
  </r>
  <r>
    <x v="8"/>
    <x v="0"/>
    <x v="3"/>
    <x v="162"/>
    <x v="0"/>
    <x v="162"/>
    <x v="162"/>
    <x v="0"/>
  </r>
  <r>
    <x v="8"/>
    <x v="1"/>
    <x v="0"/>
    <x v="163"/>
    <x v="1"/>
    <x v="163"/>
    <x v="163"/>
    <x v="1"/>
  </r>
  <r>
    <x v="8"/>
    <x v="1"/>
    <x v="1"/>
    <x v="164"/>
    <x v="1"/>
    <x v="164"/>
    <x v="164"/>
    <x v="1"/>
  </r>
  <r>
    <x v="8"/>
    <x v="1"/>
    <x v="2"/>
    <x v="124"/>
    <x v="1"/>
    <x v="124"/>
    <x v="124"/>
    <x v="1"/>
  </r>
  <r>
    <x v="8"/>
    <x v="1"/>
    <x v="3"/>
    <x v="165"/>
    <x v="1"/>
    <x v="165"/>
    <x v="165"/>
    <x v="1"/>
  </r>
  <r>
    <x v="8"/>
    <x v="2"/>
    <x v="0"/>
    <x v="166"/>
    <x v="2"/>
    <x v="166"/>
    <x v="166"/>
    <x v="2"/>
  </r>
  <r>
    <x v="8"/>
    <x v="2"/>
    <x v="1"/>
    <x v="167"/>
    <x v="2"/>
    <x v="167"/>
    <x v="167"/>
    <x v="2"/>
  </r>
  <r>
    <x v="8"/>
    <x v="2"/>
    <x v="2"/>
    <x v="128"/>
    <x v="2"/>
    <x v="128"/>
    <x v="128"/>
    <x v="2"/>
  </r>
  <r>
    <x v="8"/>
    <x v="2"/>
    <x v="3"/>
    <x v="168"/>
    <x v="2"/>
    <x v="168"/>
    <x v="168"/>
    <x v="2"/>
  </r>
  <r>
    <x v="8"/>
    <x v="3"/>
    <x v="0"/>
    <x v="169"/>
    <x v="3"/>
    <x v="169"/>
    <x v="169"/>
    <x v="3"/>
  </r>
  <r>
    <x v="8"/>
    <x v="3"/>
    <x v="1"/>
    <x v="170"/>
    <x v="3"/>
    <x v="170"/>
    <x v="170"/>
    <x v="3"/>
  </r>
  <r>
    <x v="8"/>
    <x v="3"/>
    <x v="2"/>
    <x v="132"/>
    <x v="3"/>
    <x v="132"/>
    <x v="132"/>
    <x v="3"/>
  </r>
  <r>
    <x v="8"/>
    <x v="3"/>
    <x v="3"/>
    <x v="171"/>
    <x v="3"/>
    <x v="171"/>
    <x v="171"/>
    <x v="3"/>
  </r>
  <r>
    <x v="8"/>
    <x v="4"/>
    <x v="0"/>
    <x v="172"/>
    <x v="4"/>
    <x v="172"/>
    <x v="172"/>
    <x v="4"/>
  </r>
  <r>
    <x v="8"/>
    <x v="4"/>
    <x v="1"/>
    <x v="173"/>
    <x v="4"/>
    <x v="173"/>
    <x v="173"/>
    <x v="4"/>
  </r>
  <r>
    <x v="8"/>
    <x v="4"/>
    <x v="2"/>
    <x v="136"/>
    <x v="4"/>
    <x v="136"/>
    <x v="136"/>
    <x v="4"/>
  </r>
  <r>
    <x v="8"/>
    <x v="4"/>
    <x v="3"/>
    <x v="174"/>
    <x v="4"/>
    <x v="174"/>
    <x v="174"/>
    <x v="4"/>
  </r>
  <r>
    <x v="8"/>
    <x v="5"/>
    <x v="0"/>
    <x v="175"/>
    <x v="5"/>
    <x v="175"/>
    <x v="175"/>
    <x v="5"/>
  </r>
  <r>
    <x v="8"/>
    <x v="5"/>
    <x v="1"/>
    <x v="176"/>
    <x v="5"/>
    <x v="176"/>
    <x v="176"/>
    <x v="5"/>
  </r>
  <r>
    <x v="8"/>
    <x v="5"/>
    <x v="2"/>
    <x v="140"/>
    <x v="5"/>
    <x v="140"/>
    <x v="140"/>
    <x v="5"/>
  </r>
  <r>
    <x v="8"/>
    <x v="5"/>
    <x v="3"/>
    <x v="177"/>
    <x v="5"/>
    <x v="177"/>
    <x v="177"/>
    <x v="5"/>
  </r>
  <r>
    <x v="8"/>
    <x v="6"/>
    <x v="0"/>
    <x v="178"/>
    <x v="6"/>
    <x v="178"/>
    <x v="178"/>
    <x v="6"/>
  </r>
  <r>
    <x v="8"/>
    <x v="6"/>
    <x v="1"/>
    <x v="179"/>
    <x v="6"/>
    <x v="179"/>
    <x v="179"/>
    <x v="6"/>
  </r>
  <r>
    <x v="8"/>
    <x v="6"/>
    <x v="2"/>
    <x v="144"/>
    <x v="6"/>
    <x v="144"/>
    <x v="144"/>
    <x v="6"/>
  </r>
  <r>
    <x v="8"/>
    <x v="6"/>
    <x v="3"/>
    <x v="180"/>
    <x v="6"/>
    <x v="180"/>
    <x v="180"/>
    <x v="6"/>
  </r>
  <r>
    <x v="8"/>
    <x v="7"/>
    <x v="0"/>
    <x v="181"/>
    <x v="7"/>
    <x v="181"/>
    <x v="181"/>
    <x v="7"/>
  </r>
  <r>
    <x v="8"/>
    <x v="7"/>
    <x v="1"/>
    <x v="182"/>
    <x v="7"/>
    <x v="182"/>
    <x v="182"/>
    <x v="7"/>
  </r>
  <r>
    <x v="8"/>
    <x v="7"/>
    <x v="2"/>
    <x v="148"/>
    <x v="7"/>
    <x v="148"/>
    <x v="148"/>
    <x v="7"/>
  </r>
  <r>
    <x v="8"/>
    <x v="7"/>
    <x v="3"/>
    <x v="183"/>
    <x v="7"/>
    <x v="183"/>
    <x v="183"/>
    <x v="7"/>
  </r>
  <r>
    <x v="8"/>
    <x v="8"/>
    <x v="0"/>
    <x v="184"/>
    <x v="8"/>
    <x v="184"/>
    <x v="184"/>
    <x v="8"/>
  </r>
  <r>
    <x v="8"/>
    <x v="8"/>
    <x v="1"/>
    <x v="185"/>
    <x v="8"/>
    <x v="185"/>
    <x v="185"/>
    <x v="8"/>
  </r>
  <r>
    <x v="8"/>
    <x v="8"/>
    <x v="2"/>
    <x v="152"/>
    <x v="8"/>
    <x v="152"/>
    <x v="152"/>
    <x v="8"/>
  </r>
  <r>
    <x v="8"/>
    <x v="8"/>
    <x v="3"/>
    <x v="186"/>
    <x v="8"/>
    <x v="186"/>
    <x v="186"/>
    <x v="8"/>
  </r>
  <r>
    <x v="8"/>
    <x v="9"/>
    <x v="0"/>
    <x v="187"/>
    <x v="9"/>
    <x v="187"/>
    <x v="187"/>
    <x v="9"/>
  </r>
  <r>
    <x v="8"/>
    <x v="9"/>
    <x v="1"/>
    <x v="188"/>
    <x v="9"/>
    <x v="188"/>
    <x v="188"/>
    <x v="9"/>
  </r>
  <r>
    <x v="8"/>
    <x v="9"/>
    <x v="2"/>
    <x v="156"/>
    <x v="9"/>
    <x v="156"/>
    <x v="156"/>
    <x v="9"/>
  </r>
  <r>
    <x v="8"/>
    <x v="9"/>
    <x v="3"/>
    <x v="189"/>
    <x v="9"/>
    <x v="189"/>
    <x v="189"/>
    <x v="9"/>
  </r>
  <r>
    <x v="9"/>
    <x v="0"/>
    <x v="0"/>
    <x v="268"/>
    <x v="0"/>
    <x v="266"/>
    <x v="270"/>
    <x v="0"/>
  </r>
  <r>
    <x v="9"/>
    <x v="0"/>
    <x v="1"/>
    <x v="269"/>
    <x v="0"/>
    <x v="267"/>
    <x v="271"/>
    <x v="0"/>
  </r>
  <r>
    <x v="9"/>
    <x v="0"/>
    <x v="2"/>
    <x v="270"/>
    <x v="0"/>
    <x v="268"/>
    <x v="272"/>
    <x v="0"/>
  </r>
  <r>
    <x v="9"/>
    <x v="0"/>
    <x v="3"/>
    <x v="271"/>
    <x v="0"/>
    <x v="269"/>
    <x v="273"/>
    <x v="0"/>
  </r>
  <r>
    <x v="9"/>
    <x v="1"/>
    <x v="0"/>
    <x v="48"/>
    <x v="1"/>
    <x v="270"/>
    <x v="274"/>
    <x v="1"/>
  </r>
  <r>
    <x v="9"/>
    <x v="1"/>
    <x v="1"/>
    <x v="49"/>
    <x v="1"/>
    <x v="271"/>
    <x v="275"/>
    <x v="1"/>
  </r>
  <r>
    <x v="9"/>
    <x v="1"/>
    <x v="2"/>
    <x v="50"/>
    <x v="1"/>
    <x v="272"/>
    <x v="276"/>
    <x v="1"/>
  </r>
  <r>
    <x v="9"/>
    <x v="1"/>
    <x v="3"/>
    <x v="51"/>
    <x v="1"/>
    <x v="273"/>
    <x v="277"/>
    <x v="1"/>
  </r>
  <r>
    <x v="9"/>
    <x v="2"/>
    <x v="0"/>
    <x v="272"/>
    <x v="2"/>
    <x v="274"/>
    <x v="278"/>
    <x v="2"/>
  </r>
  <r>
    <x v="9"/>
    <x v="2"/>
    <x v="1"/>
    <x v="273"/>
    <x v="2"/>
    <x v="275"/>
    <x v="279"/>
    <x v="2"/>
  </r>
  <r>
    <x v="9"/>
    <x v="2"/>
    <x v="2"/>
    <x v="274"/>
    <x v="2"/>
    <x v="276"/>
    <x v="280"/>
    <x v="2"/>
  </r>
  <r>
    <x v="9"/>
    <x v="2"/>
    <x v="3"/>
    <x v="275"/>
    <x v="2"/>
    <x v="277"/>
    <x v="281"/>
    <x v="2"/>
  </r>
  <r>
    <x v="9"/>
    <x v="3"/>
    <x v="0"/>
    <x v="276"/>
    <x v="3"/>
    <x v="278"/>
    <x v="282"/>
    <x v="3"/>
  </r>
  <r>
    <x v="9"/>
    <x v="3"/>
    <x v="1"/>
    <x v="277"/>
    <x v="3"/>
    <x v="279"/>
    <x v="283"/>
    <x v="3"/>
  </r>
  <r>
    <x v="9"/>
    <x v="3"/>
    <x v="2"/>
    <x v="278"/>
    <x v="3"/>
    <x v="280"/>
    <x v="284"/>
    <x v="3"/>
  </r>
  <r>
    <x v="9"/>
    <x v="3"/>
    <x v="3"/>
    <x v="279"/>
    <x v="3"/>
    <x v="281"/>
    <x v="285"/>
    <x v="3"/>
  </r>
  <r>
    <x v="9"/>
    <x v="4"/>
    <x v="0"/>
    <x v="280"/>
    <x v="4"/>
    <x v="282"/>
    <x v="286"/>
    <x v="4"/>
  </r>
  <r>
    <x v="9"/>
    <x v="4"/>
    <x v="1"/>
    <x v="281"/>
    <x v="4"/>
    <x v="283"/>
    <x v="287"/>
    <x v="4"/>
  </r>
  <r>
    <x v="9"/>
    <x v="4"/>
    <x v="2"/>
    <x v="282"/>
    <x v="4"/>
    <x v="284"/>
    <x v="288"/>
    <x v="4"/>
  </r>
  <r>
    <x v="9"/>
    <x v="4"/>
    <x v="3"/>
    <x v="283"/>
    <x v="4"/>
    <x v="285"/>
    <x v="289"/>
    <x v="4"/>
  </r>
  <r>
    <x v="9"/>
    <x v="5"/>
    <x v="0"/>
    <x v="284"/>
    <x v="5"/>
    <x v="286"/>
    <x v="290"/>
    <x v="5"/>
  </r>
  <r>
    <x v="9"/>
    <x v="5"/>
    <x v="1"/>
    <x v="285"/>
    <x v="5"/>
    <x v="287"/>
    <x v="291"/>
    <x v="5"/>
  </r>
  <r>
    <x v="9"/>
    <x v="5"/>
    <x v="2"/>
    <x v="286"/>
    <x v="5"/>
    <x v="288"/>
    <x v="292"/>
    <x v="5"/>
  </r>
  <r>
    <x v="9"/>
    <x v="5"/>
    <x v="3"/>
    <x v="287"/>
    <x v="5"/>
    <x v="289"/>
    <x v="293"/>
    <x v="5"/>
  </r>
  <r>
    <x v="9"/>
    <x v="6"/>
    <x v="0"/>
    <x v="288"/>
    <x v="6"/>
    <x v="290"/>
    <x v="294"/>
    <x v="6"/>
  </r>
  <r>
    <x v="9"/>
    <x v="6"/>
    <x v="1"/>
    <x v="289"/>
    <x v="6"/>
    <x v="291"/>
    <x v="295"/>
    <x v="6"/>
  </r>
  <r>
    <x v="9"/>
    <x v="6"/>
    <x v="2"/>
    <x v="290"/>
    <x v="6"/>
    <x v="292"/>
    <x v="296"/>
    <x v="6"/>
  </r>
  <r>
    <x v="9"/>
    <x v="6"/>
    <x v="3"/>
    <x v="291"/>
    <x v="6"/>
    <x v="293"/>
    <x v="297"/>
    <x v="6"/>
  </r>
  <r>
    <x v="9"/>
    <x v="7"/>
    <x v="0"/>
    <x v="292"/>
    <x v="7"/>
    <x v="294"/>
    <x v="298"/>
    <x v="7"/>
  </r>
  <r>
    <x v="9"/>
    <x v="7"/>
    <x v="1"/>
    <x v="293"/>
    <x v="7"/>
    <x v="295"/>
    <x v="299"/>
    <x v="7"/>
  </r>
  <r>
    <x v="9"/>
    <x v="7"/>
    <x v="2"/>
    <x v="294"/>
    <x v="7"/>
    <x v="296"/>
    <x v="300"/>
    <x v="7"/>
  </r>
  <r>
    <x v="9"/>
    <x v="7"/>
    <x v="3"/>
    <x v="295"/>
    <x v="7"/>
    <x v="297"/>
    <x v="301"/>
    <x v="7"/>
  </r>
  <r>
    <x v="9"/>
    <x v="8"/>
    <x v="0"/>
    <x v="296"/>
    <x v="8"/>
    <x v="298"/>
    <x v="302"/>
    <x v="8"/>
  </r>
  <r>
    <x v="9"/>
    <x v="8"/>
    <x v="1"/>
    <x v="297"/>
    <x v="8"/>
    <x v="299"/>
    <x v="303"/>
    <x v="8"/>
  </r>
  <r>
    <x v="9"/>
    <x v="8"/>
    <x v="2"/>
    <x v="298"/>
    <x v="8"/>
    <x v="300"/>
    <x v="304"/>
    <x v="8"/>
  </r>
  <r>
    <x v="9"/>
    <x v="8"/>
    <x v="3"/>
    <x v="299"/>
    <x v="8"/>
    <x v="301"/>
    <x v="305"/>
    <x v="8"/>
  </r>
  <r>
    <x v="9"/>
    <x v="9"/>
    <x v="0"/>
    <x v="300"/>
    <x v="9"/>
    <x v="302"/>
    <x v="306"/>
    <x v="9"/>
  </r>
  <r>
    <x v="9"/>
    <x v="9"/>
    <x v="1"/>
    <x v="301"/>
    <x v="9"/>
    <x v="303"/>
    <x v="307"/>
    <x v="9"/>
  </r>
  <r>
    <x v="9"/>
    <x v="9"/>
    <x v="2"/>
    <x v="302"/>
    <x v="9"/>
    <x v="304"/>
    <x v="308"/>
    <x v="9"/>
  </r>
  <r>
    <x v="9"/>
    <x v="9"/>
    <x v="3"/>
    <x v="303"/>
    <x v="9"/>
    <x v="305"/>
    <x v="309"/>
    <x v="9"/>
  </r>
  <r>
    <x v="10"/>
    <x v="0"/>
    <x v="0"/>
    <x v="304"/>
    <x v="0"/>
    <x v="306"/>
    <x v="310"/>
    <x v="0"/>
  </r>
  <r>
    <x v="10"/>
    <x v="0"/>
    <x v="1"/>
    <x v="305"/>
    <x v="0"/>
    <x v="307"/>
    <x v="311"/>
    <x v="0"/>
  </r>
  <r>
    <x v="10"/>
    <x v="0"/>
    <x v="2"/>
    <x v="306"/>
    <x v="0"/>
    <x v="308"/>
    <x v="312"/>
    <x v="0"/>
  </r>
  <r>
    <x v="10"/>
    <x v="0"/>
    <x v="3"/>
    <x v="307"/>
    <x v="0"/>
    <x v="309"/>
    <x v="313"/>
    <x v="0"/>
  </r>
  <r>
    <x v="10"/>
    <x v="1"/>
    <x v="0"/>
    <x v="88"/>
    <x v="1"/>
    <x v="310"/>
    <x v="314"/>
    <x v="1"/>
  </r>
  <r>
    <x v="10"/>
    <x v="1"/>
    <x v="1"/>
    <x v="89"/>
    <x v="1"/>
    <x v="311"/>
    <x v="315"/>
    <x v="1"/>
  </r>
  <r>
    <x v="10"/>
    <x v="1"/>
    <x v="2"/>
    <x v="90"/>
    <x v="1"/>
    <x v="312"/>
    <x v="316"/>
    <x v="1"/>
  </r>
  <r>
    <x v="10"/>
    <x v="1"/>
    <x v="3"/>
    <x v="91"/>
    <x v="1"/>
    <x v="313"/>
    <x v="317"/>
    <x v="1"/>
  </r>
  <r>
    <x v="10"/>
    <x v="2"/>
    <x v="0"/>
    <x v="308"/>
    <x v="2"/>
    <x v="314"/>
    <x v="318"/>
    <x v="2"/>
  </r>
  <r>
    <x v="10"/>
    <x v="2"/>
    <x v="1"/>
    <x v="309"/>
    <x v="2"/>
    <x v="315"/>
    <x v="319"/>
    <x v="2"/>
  </r>
  <r>
    <x v="10"/>
    <x v="2"/>
    <x v="2"/>
    <x v="310"/>
    <x v="2"/>
    <x v="316"/>
    <x v="320"/>
    <x v="2"/>
  </r>
  <r>
    <x v="10"/>
    <x v="2"/>
    <x v="3"/>
    <x v="311"/>
    <x v="2"/>
    <x v="317"/>
    <x v="321"/>
    <x v="2"/>
  </r>
  <r>
    <x v="10"/>
    <x v="3"/>
    <x v="0"/>
    <x v="312"/>
    <x v="3"/>
    <x v="318"/>
    <x v="322"/>
    <x v="3"/>
  </r>
  <r>
    <x v="10"/>
    <x v="3"/>
    <x v="1"/>
    <x v="313"/>
    <x v="3"/>
    <x v="319"/>
    <x v="323"/>
    <x v="3"/>
  </r>
  <r>
    <x v="10"/>
    <x v="3"/>
    <x v="2"/>
    <x v="314"/>
    <x v="3"/>
    <x v="320"/>
    <x v="324"/>
    <x v="3"/>
  </r>
  <r>
    <x v="10"/>
    <x v="3"/>
    <x v="3"/>
    <x v="315"/>
    <x v="3"/>
    <x v="321"/>
    <x v="325"/>
    <x v="3"/>
  </r>
  <r>
    <x v="10"/>
    <x v="4"/>
    <x v="0"/>
    <x v="316"/>
    <x v="4"/>
    <x v="322"/>
    <x v="326"/>
    <x v="4"/>
  </r>
  <r>
    <x v="10"/>
    <x v="4"/>
    <x v="1"/>
    <x v="317"/>
    <x v="4"/>
    <x v="323"/>
    <x v="327"/>
    <x v="4"/>
  </r>
  <r>
    <x v="10"/>
    <x v="4"/>
    <x v="2"/>
    <x v="318"/>
    <x v="4"/>
    <x v="324"/>
    <x v="328"/>
    <x v="4"/>
  </r>
  <r>
    <x v="10"/>
    <x v="4"/>
    <x v="3"/>
    <x v="319"/>
    <x v="4"/>
    <x v="325"/>
    <x v="329"/>
    <x v="4"/>
  </r>
  <r>
    <x v="10"/>
    <x v="5"/>
    <x v="0"/>
    <x v="320"/>
    <x v="5"/>
    <x v="326"/>
    <x v="330"/>
    <x v="5"/>
  </r>
  <r>
    <x v="10"/>
    <x v="5"/>
    <x v="1"/>
    <x v="321"/>
    <x v="5"/>
    <x v="327"/>
    <x v="331"/>
    <x v="5"/>
  </r>
  <r>
    <x v="10"/>
    <x v="5"/>
    <x v="2"/>
    <x v="322"/>
    <x v="5"/>
    <x v="328"/>
    <x v="332"/>
    <x v="5"/>
  </r>
  <r>
    <x v="10"/>
    <x v="5"/>
    <x v="3"/>
    <x v="323"/>
    <x v="5"/>
    <x v="329"/>
    <x v="333"/>
    <x v="5"/>
  </r>
  <r>
    <x v="10"/>
    <x v="6"/>
    <x v="0"/>
    <x v="324"/>
    <x v="6"/>
    <x v="330"/>
    <x v="334"/>
    <x v="6"/>
  </r>
  <r>
    <x v="10"/>
    <x v="6"/>
    <x v="1"/>
    <x v="325"/>
    <x v="6"/>
    <x v="331"/>
    <x v="335"/>
    <x v="6"/>
  </r>
  <r>
    <x v="10"/>
    <x v="6"/>
    <x v="2"/>
    <x v="326"/>
    <x v="6"/>
    <x v="332"/>
    <x v="336"/>
    <x v="6"/>
  </r>
  <r>
    <x v="10"/>
    <x v="6"/>
    <x v="3"/>
    <x v="327"/>
    <x v="6"/>
    <x v="333"/>
    <x v="337"/>
    <x v="6"/>
  </r>
  <r>
    <x v="10"/>
    <x v="7"/>
    <x v="0"/>
    <x v="328"/>
    <x v="7"/>
    <x v="334"/>
    <x v="338"/>
    <x v="7"/>
  </r>
  <r>
    <x v="10"/>
    <x v="7"/>
    <x v="1"/>
    <x v="329"/>
    <x v="7"/>
    <x v="335"/>
    <x v="339"/>
    <x v="7"/>
  </r>
  <r>
    <x v="10"/>
    <x v="7"/>
    <x v="2"/>
    <x v="330"/>
    <x v="7"/>
    <x v="336"/>
    <x v="340"/>
    <x v="7"/>
  </r>
  <r>
    <x v="10"/>
    <x v="7"/>
    <x v="3"/>
    <x v="331"/>
    <x v="7"/>
    <x v="337"/>
    <x v="341"/>
    <x v="7"/>
  </r>
  <r>
    <x v="10"/>
    <x v="8"/>
    <x v="0"/>
    <x v="332"/>
    <x v="8"/>
    <x v="338"/>
    <x v="342"/>
    <x v="8"/>
  </r>
  <r>
    <x v="10"/>
    <x v="8"/>
    <x v="1"/>
    <x v="333"/>
    <x v="8"/>
    <x v="339"/>
    <x v="343"/>
    <x v="8"/>
  </r>
  <r>
    <x v="10"/>
    <x v="8"/>
    <x v="2"/>
    <x v="334"/>
    <x v="8"/>
    <x v="340"/>
    <x v="344"/>
    <x v="8"/>
  </r>
  <r>
    <x v="10"/>
    <x v="8"/>
    <x v="3"/>
    <x v="335"/>
    <x v="8"/>
    <x v="341"/>
    <x v="345"/>
    <x v="8"/>
  </r>
  <r>
    <x v="10"/>
    <x v="9"/>
    <x v="0"/>
    <x v="336"/>
    <x v="9"/>
    <x v="342"/>
    <x v="346"/>
    <x v="9"/>
  </r>
  <r>
    <x v="10"/>
    <x v="9"/>
    <x v="1"/>
    <x v="337"/>
    <x v="9"/>
    <x v="343"/>
    <x v="347"/>
    <x v="9"/>
  </r>
  <r>
    <x v="10"/>
    <x v="9"/>
    <x v="2"/>
    <x v="338"/>
    <x v="9"/>
    <x v="344"/>
    <x v="348"/>
    <x v="9"/>
  </r>
  <r>
    <x v="10"/>
    <x v="9"/>
    <x v="3"/>
    <x v="339"/>
    <x v="9"/>
    <x v="345"/>
    <x v="349"/>
    <x v="9"/>
  </r>
  <r>
    <x v="11"/>
    <x v="0"/>
    <x v="0"/>
    <x v="340"/>
    <x v="0"/>
    <x v="346"/>
    <x v="350"/>
    <x v="0"/>
  </r>
  <r>
    <x v="11"/>
    <x v="0"/>
    <x v="1"/>
    <x v="341"/>
    <x v="0"/>
    <x v="347"/>
    <x v="351"/>
    <x v="0"/>
  </r>
  <r>
    <x v="11"/>
    <x v="0"/>
    <x v="2"/>
    <x v="342"/>
    <x v="0"/>
    <x v="348"/>
    <x v="352"/>
    <x v="0"/>
  </r>
  <r>
    <x v="11"/>
    <x v="0"/>
    <x v="3"/>
    <x v="343"/>
    <x v="0"/>
    <x v="349"/>
    <x v="353"/>
    <x v="0"/>
  </r>
  <r>
    <x v="11"/>
    <x v="1"/>
    <x v="0"/>
    <x v="344"/>
    <x v="1"/>
    <x v="350"/>
    <x v="354"/>
    <x v="1"/>
  </r>
  <r>
    <x v="11"/>
    <x v="1"/>
    <x v="1"/>
    <x v="345"/>
    <x v="1"/>
    <x v="351"/>
    <x v="355"/>
    <x v="10"/>
  </r>
  <r>
    <x v="11"/>
    <x v="1"/>
    <x v="2"/>
    <x v="346"/>
    <x v="1"/>
    <x v="352"/>
    <x v="356"/>
    <x v="10"/>
  </r>
  <r>
    <x v="11"/>
    <x v="1"/>
    <x v="3"/>
    <x v="347"/>
    <x v="1"/>
    <x v="353"/>
    <x v="357"/>
    <x v="10"/>
  </r>
  <r>
    <x v="11"/>
    <x v="2"/>
    <x v="0"/>
    <x v="348"/>
    <x v="2"/>
    <x v="354"/>
    <x v="358"/>
    <x v="2"/>
  </r>
  <r>
    <x v="11"/>
    <x v="2"/>
    <x v="1"/>
    <x v="349"/>
    <x v="2"/>
    <x v="355"/>
    <x v="359"/>
    <x v="2"/>
  </r>
  <r>
    <x v="11"/>
    <x v="2"/>
    <x v="2"/>
    <x v="350"/>
    <x v="2"/>
    <x v="356"/>
    <x v="360"/>
    <x v="2"/>
  </r>
  <r>
    <x v="11"/>
    <x v="2"/>
    <x v="3"/>
    <x v="351"/>
    <x v="2"/>
    <x v="357"/>
    <x v="361"/>
    <x v="2"/>
  </r>
  <r>
    <x v="11"/>
    <x v="3"/>
    <x v="0"/>
    <x v="352"/>
    <x v="3"/>
    <x v="358"/>
    <x v="362"/>
    <x v="3"/>
  </r>
  <r>
    <x v="11"/>
    <x v="3"/>
    <x v="1"/>
    <x v="353"/>
    <x v="3"/>
    <x v="359"/>
    <x v="363"/>
    <x v="3"/>
  </r>
  <r>
    <x v="11"/>
    <x v="3"/>
    <x v="2"/>
    <x v="354"/>
    <x v="3"/>
    <x v="360"/>
    <x v="364"/>
    <x v="3"/>
  </r>
  <r>
    <x v="11"/>
    <x v="3"/>
    <x v="3"/>
    <x v="355"/>
    <x v="3"/>
    <x v="361"/>
    <x v="365"/>
    <x v="3"/>
  </r>
  <r>
    <x v="11"/>
    <x v="4"/>
    <x v="0"/>
    <x v="356"/>
    <x v="4"/>
    <x v="362"/>
    <x v="366"/>
    <x v="4"/>
  </r>
  <r>
    <x v="11"/>
    <x v="4"/>
    <x v="1"/>
    <x v="357"/>
    <x v="4"/>
    <x v="363"/>
    <x v="367"/>
    <x v="4"/>
  </r>
  <r>
    <x v="11"/>
    <x v="4"/>
    <x v="2"/>
    <x v="358"/>
    <x v="4"/>
    <x v="364"/>
    <x v="368"/>
    <x v="4"/>
  </r>
  <r>
    <x v="11"/>
    <x v="4"/>
    <x v="3"/>
    <x v="359"/>
    <x v="4"/>
    <x v="365"/>
    <x v="369"/>
    <x v="4"/>
  </r>
  <r>
    <x v="11"/>
    <x v="5"/>
    <x v="0"/>
    <x v="360"/>
    <x v="5"/>
    <x v="366"/>
    <x v="370"/>
    <x v="5"/>
  </r>
  <r>
    <x v="11"/>
    <x v="5"/>
    <x v="1"/>
    <x v="361"/>
    <x v="5"/>
    <x v="367"/>
    <x v="371"/>
    <x v="5"/>
  </r>
  <r>
    <x v="11"/>
    <x v="5"/>
    <x v="2"/>
    <x v="362"/>
    <x v="5"/>
    <x v="368"/>
    <x v="372"/>
    <x v="5"/>
  </r>
  <r>
    <x v="11"/>
    <x v="5"/>
    <x v="3"/>
    <x v="363"/>
    <x v="5"/>
    <x v="369"/>
    <x v="373"/>
    <x v="5"/>
  </r>
  <r>
    <x v="11"/>
    <x v="6"/>
    <x v="0"/>
    <x v="364"/>
    <x v="6"/>
    <x v="370"/>
    <x v="374"/>
    <x v="6"/>
  </r>
  <r>
    <x v="11"/>
    <x v="6"/>
    <x v="1"/>
    <x v="365"/>
    <x v="6"/>
    <x v="371"/>
    <x v="375"/>
    <x v="6"/>
  </r>
  <r>
    <x v="11"/>
    <x v="6"/>
    <x v="2"/>
    <x v="366"/>
    <x v="6"/>
    <x v="372"/>
    <x v="376"/>
    <x v="6"/>
  </r>
  <r>
    <x v="11"/>
    <x v="6"/>
    <x v="3"/>
    <x v="367"/>
    <x v="6"/>
    <x v="373"/>
    <x v="377"/>
    <x v="6"/>
  </r>
  <r>
    <x v="11"/>
    <x v="7"/>
    <x v="0"/>
    <x v="368"/>
    <x v="7"/>
    <x v="374"/>
    <x v="378"/>
    <x v="7"/>
  </r>
  <r>
    <x v="11"/>
    <x v="7"/>
    <x v="1"/>
    <x v="369"/>
    <x v="7"/>
    <x v="375"/>
    <x v="379"/>
    <x v="7"/>
  </r>
  <r>
    <x v="11"/>
    <x v="7"/>
    <x v="2"/>
    <x v="370"/>
    <x v="7"/>
    <x v="376"/>
    <x v="380"/>
    <x v="7"/>
  </r>
  <r>
    <x v="11"/>
    <x v="7"/>
    <x v="3"/>
    <x v="371"/>
    <x v="7"/>
    <x v="377"/>
    <x v="381"/>
    <x v="7"/>
  </r>
  <r>
    <x v="11"/>
    <x v="8"/>
    <x v="0"/>
    <x v="372"/>
    <x v="8"/>
    <x v="378"/>
    <x v="382"/>
    <x v="8"/>
  </r>
  <r>
    <x v="11"/>
    <x v="8"/>
    <x v="1"/>
    <x v="373"/>
    <x v="8"/>
    <x v="379"/>
    <x v="383"/>
    <x v="8"/>
  </r>
  <r>
    <x v="11"/>
    <x v="8"/>
    <x v="2"/>
    <x v="374"/>
    <x v="8"/>
    <x v="380"/>
    <x v="384"/>
    <x v="8"/>
  </r>
  <r>
    <x v="11"/>
    <x v="8"/>
    <x v="3"/>
    <x v="375"/>
    <x v="8"/>
    <x v="381"/>
    <x v="385"/>
    <x v="8"/>
  </r>
  <r>
    <x v="11"/>
    <x v="9"/>
    <x v="0"/>
    <x v="376"/>
    <x v="9"/>
    <x v="382"/>
    <x v="386"/>
    <x v="9"/>
  </r>
  <r>
    <x v="11"/>
    <x v="9"/>
    <x v="1"/>
    <x v="377"/>
    <x v="9"/>
    <x v="383"/>
    <x v="387"/>
    <x v="9"/>
  </r>
  <r>
    <x v="11"/>
    <x v="9"/>
    <x v="2"/>
    <x v="378"/>
    <x v="9"/>
    <x v="384"/>
    <x v="388"/>
    <x v="9"/>
  </r>
  <r>
    <x v="11"/>
    <x v="9"/>
    <x v="3"/>
    <x v="379"/>
    <x v="9"/>
    <x v="385"/>
    <x v="389"/>
    <x v="9"/>
  </r>
  <r>
    <x v="12"/>
    <x v="0"/>
    <x v="0"/>
    <x v="0"/>
    <x v="0"/>
    <x v="0"/>
    <x v="0"/>
    <x v="0"/>
  </r>
  <r>
    <x v="12"/>
    <x v="0"/>
    <x v="1"/>
    <x v="1"/>
    <x v="0"/>
    <x v="1"/>
    <x v="1"/>
    <x v="0"/>
  </r>
  <r>
    <x v="12"/>
    <x v="0"/>
    <x v="2"/>
    <x v="2"/>
    <x v="0"/>
    <x v="2"/>
    <x v="2"/>
    <x v="0"/>
  </r>
  <r>
    <x v="12"/>
    <x v="0"/>
    <x v="3"/>
    <x v="3"/>
    <x v="0"/>
    <x v="3"/>
    <x v="3"/>
    <x v="0"/>
  </r>
  <r>
    <x v="12"/>
    <x v="1"/>
    <x v="0"/>
    <x v="4"/>
    <x v="1"/>
    <x v="4"/>
    <x v="4"/>
    <x v="1"/>
  </r>
  <r>
    <x v="12"/>
    <x v="1"/>
    <x v="1"/>
    <x v="5"/>
    <x v="1"/>
    <x v="5"/>
    <x v="5"/>
    <x v="1"/>
  </r>
  <r>
    <x v="12"/>
    <x v="1"/>
    <x v="2"/>
    <x v="6"/>
    <x v="1"/>
    <x v="6"/>
    <x v="6"/>
    <x v="1"/>
  </r>
  <r>
    <x v="12"/>
    <x v="1"/>
    <x v="3"/>
    <x v="7"/>
    <x v="1"/>
    <x v="7"/>
    <x v="7"/>
    <x v="1"/>
  </r>
  <r>
    <x v="12"/>
    <x v="2"/>
    <x v="0"/>
    <x v="8"/>
    <x v="2"/>
    <x v="8"/>
    <x v="8"/>
    <x v="2"/>
  </r>
  <r>
    <x v="12"/>
    <x v="2"/>
    <x v="1"/>
    <x v="9"/>
    <x v="2"/>
    <x v="9"/>
    <x v="9"/>
    <x v="2"/>
  </r>
  <r>
    <x v="12"/>
    <x v="2"/>
    <x v="2"/>
    <x v="10"/>
    <x v="2"/>
    <x v="10"/>
    <x v="10"/>
    <x v="2"/>
  </r>
  <r>
    <x v="12"/>
    <x v="2"/>
    <x v="3"/>
    <x v="11"/>
    <x v="2"/>
    <x v="11"/>
    <x v="11"/>
    <x v="2"/>
  </r>
  <r>
    <x v="12"/>
    <x v="3"/>
    <x v="0"/>
    <x v="12"/>
    <x v="3"/>
    <x v="12"/>
    <x v="12"/>
    <x v="3"/>
  </r>
  <r>
    <x v="12"/>
    <x v="3"/>
    <x v="1"/>
    <x v="13"/>
    <x v="3"/>
    <x v="13"/>
    <x v="13"/>
    <x v="3"/>
  </r>
  <r>
    <x v="12"/>
    <x v="3"/>
    <x v="2"/>
    <x v="14"/>
    <x v="3"/>
    <x v="14"/>
    <x v="14"/>
    <x v="3"/>
  </r>
  <r>
    <x v="12"/>
    <x v="3"/>
    <x v="3"/>
    <x v="15"/>
    <x v="3"/>
    <x v="15"/>
    <x v="15"/>
    <x v="3"/>
  </r>
  <r>
    <x v="12"/>
    <x v="4"/>
    <x v="0"/>
    <x v="16"/>
    <x v="4"/>
    <x v="16"/>
    <x v="16"/>
    <x v="4"/>
  </r>
  <r>
    <x v="12"/>
    <x v="4"/>
    <x v="1"/>
    <x v="17"/>
    <x v="4"/>
    <x v="17"/>
    <x v="17"/>
    <x v="4"/>
  </r>
  <r>
    <x v="12"/>
    <x v="4"/>
    <x v="2"/>
    <x v="18"/>
    <x v="4"/>
    <x v="18"/>
    <x v="18"/>
    <x v="4"/>
  </r>
  <r>
    <x v="12"/>
    <x v="4"/>
    <x v="3"/>
    <x v="19"/>
    <x v="4"/>
    <x v="19"/>
    <x v="19"/>
    <x v="4"/>
  </r>
  <r>
    <x v="12"/>
    <x v="5"/>
    <x v="0"/>
    <x v="20"/>
    <x v="5"/>
    <x v="20"/>
    <x v="20"/>
    <x v="5"/>
  </r>
  <r>
    <x v="12"/>
    <x v="5"/>
    <x v="1"/>
    <x v="21"/>
    <x v="5"/>
    <x v="21"/>
    <x v="21"/>
    <x v="5"/>
  </r>
  <r>
    <x v="12"/>
    <x v="5"/>
    <x v="2"/>
    <x v="22"/>
    <x v="5"/>
    <x v="22"/>
    <x v="22"/>
    <x v="5"/>
  </r>
  <r>
    <x v="12"/>
    <x v="5"/>
    <x v="3"/>
    <x v="23"/>
    <x v="5"/>
    <x v="23"/>
    <x v="23"/>
    <x v="5"/>
  </r>
  <r>
    <x v="12"/>
    <x v="6"/>
    <x v="0"/>
    <x v="24"/>
    <x v="6"/>
    <x v="24"/>
    <x v="24"/>
    <x v="6"/>
  </r>
  <r>
    <x v="12"/>
    <x v="6"/>
    <x v="1"/>
    <x v="25"/>
    <x v="6"/>
    <x v="25"/>
    <x v="25"/>
    <x v="6"/>
  </r>
  <r>
    <x v="12"/>
    <x v="6"/>
    <x v="2"/>
    <x v="26"/>
    <x v="6"/>
    <x v="26"/>
    <x v="26"/>
    <x v="6"/>
  </r>
  <r>
    <x v="12"/>
    <x v="6"/>
    <x v="3"/>
    <x v="27"/>
    <x v="6"/>
    <x v="27"/>
    <x v="27"/>
    <x v="6"/>
  </r>
  <r>
    <x v="12"/>
    <x v="7"/>
    <x v="0"/>
    <x v="28"/>
    <x v="7"/>
    <x v="28"/>
    <x v="28"/>
    <x v="7"/>
  </r>
  <r>
    <x v="12"/>
    <x v="7"/>
    <x v="1"/>
    <x v="29"/>
    <x v="7"/>
    <x v="29"/>
    <x v="29"/>
    <x v="7"/>
  </r>
  <r>
    <x v="12"/>
    <x v="7"/>
    <x v="2"/>
    <x v="30"/>
    <x v="7"/>
    <x v="30"/>
    <x v="30"/>
    <x v="7"/>
  </r>
  <r>
    <x v="12"/>
    <x v="7"/>
    <x v="3"/>
    <x v="31"/>
    <x v="7"/>
    <x v="31"/>
    <x v="31"/>
    <x v="7"/>
  </r>
  <r>
    <x v="12"/>
    <x v="8"/>
    <x v="0"/>
    <x v="32"/>
    <x v="8"/>
    <x v="32"/>
    <x v="32"/>
    <x v="8"/>
  </r>
  <r>
    <x v="12"/>
    <x v="8"/>
    <x v="1"/>
    <x v="33"/>
    <x v="8"/>
    <x v="33"/>
    <x v="33"/>
    <x v="8"/>
  </r>
  <r>
    <x v="12"/>
    <x v="8"/>
    <x v="2"/>
    <x v="34"/>
    <x v="8"/>
    <x v="34"/>
    <x v="34"/>
    <x v="8"/>
  </r>
  <r>
    <x v="12"/>
    <x v="8"/>
    <x v="3"/>
    <x v="35"/>
    <x v="8"/>
    <x v="35"/>
    <x v="35"/>
    <x v="8"/>
  </r>
  <r>
    <x v="12"/>
    <x v="9"/>
    <x v="0"/>
    <x v="36"/>
    <x v="9"/>
    <x v="36"/>
    <x v="36"/>
    <x v="9"/>
  </r>
  <r>
    <x v="12"/>
    <x v="9"/>
    <x v="1"/>
    <x v="37"/>
    <x v="9"/>
    <x v="37"/>
    <x v="37"/>
    <x v="9"/>
  </r>
  <r>
    <x v="12"/>
    <x v="9"/>
    <x v="2"/>
    <x v="38"/>
    <x v="9"/>
    <x v="38"/>
    <x v="38"/>
    <x v="9"/>
  </r>
  <r>
    <x v="12"/>
    <x v="9"/>
    <x v="3"/>
    <x v="39"/>
    <x v="9"/>
    <x v="39"/>
    <x v="39"/>
    <x v="9"/>
  </r>
  <r>
    <x v="13"/>
    <x v="0"/>
    <x v="0"/>
    <x v="40"/>
    <x v="0"/>
    <x v="40"/>
    <x v="40"/>
    <x v="0"/>
  </r>
  <r>
    <x v="13"/>
    <x v="0"/>
    <x v="1"/>
    <x v="41"/>
    <x v="0"/>
    <x v="41"/>
    <x v="41"/>
    <x v="0"/>
  </r>
  <r>
    <x v="13"/>
    <x v="0"/>
    <x v="2"/>
    <x v="42"/>
    <x v="0"/>
    <x v="42"/>
    <x v="42"/>
    <x v="0"/>
  </r>
  <r>
    <x v="13"/>
    <x v="0"/>
    <x v="3"/>
    <x v="43"/>
    <x v="0"/>
    <x v="43"/>
    <x v="43"/>
    <x v="0"/>
  </r>
  <r>
    <x v="13"/>
    <x v="1"/>
    <x v="0"/>
    <x v="44"/>
    <x v="1"/>
    <x v="44"/>
    <x v="44"/>
    <x v="1"/>
  </r>
  <r>
    <x v="13"/>
    <x v="1"/>
    <x v="1"/>
    <x v="45"/>
    <x v="1"/>
    <x v="45"/>
    <x v="45"/>
    <x v="1"/>
  </r>
  <r>
    <x v="13"/>
    <x v="1"/>
    <x v="2"/>
    <x v="46"/>
    <x v="1"/>
    <x v="46"/>
    <x v="46"/>
    <x v="1"/>
  </r>
  <r>
    <x v="13"/>
    <x v="1"/>
    <x v="3"/>
    <x v="47"/>
    <x v="1"/>
    <x v="47"/>
    <x v="47"/>
    <x v="1"/>
  </r>
  <r>
    <x v="13"/>
    <x v="2"/>
    <x v="0"/>
    <x v="48"/>
    <x v="2"/>
    <x v="48"/>
    <x v="48"/>
    <x v="2"/>
  </r>
  <r>
    <x v="13"/>
    <x v="2"/>
    <x v="1"/>
    <x v="49"/>
    <x v="2"/>
    <x v="49"/>
    <x v="49"/>
    <x v="2"/>
  </r>
  <r>
    <x v="13"/>
    <x v="2"/>
    <x v="2"/>
    <x v="50"/>
    <x v="2"/>
    <x v="50"/>
    <x v="50"/>
    <x v="2"/>
  </r>
  <r>
    <x v="13"/>
    <x v="2"/>
    <x v="3"/>
    <x v="51"/>
    <x v="2"/>
    <x v="51"/>
    <x v="51"/>
    <x v="2"/>
  </r>
  <r>
    <x v="13"/>
    <x v="3"/>
    <x v="0"/>
    <x v="52"/>
    <x v="3"/>
    <x v="52"/>
    <x v="52"/>
    <x v="3"/>
  </r>
  <r>
    <x v="13"/>
    <x v="3"/>
    <x v="1"/>
    <x v="53"/>
    <x v="3"/>
    <x v="53"/>
    <x v="53"/>
    <x v="3"/>
  </r>
  <r>
    <x v="13"/>
    <x v="3"/>
    <x v="2"/>
    <x v="54"/>
    <x v="3"/>
    <x v="54"/>
    <x v="54"/>
    <x v="3"/>
  </r>
  <r>
    <x v="13"/>
    <x v="3"/>
    <x v="3"/>
    <x v="55"/>
    <x v="3"/>
    <x v="55"/>
    <x v="55"/>
    <x v="3"/>
  </r>
  <r>
    <x v="13"/>
    <x v="4"/>
    <x v="0"/>
    <x v="56"/>
    <x v="4"/>
    <x v="56"/>
    <x v="56"/>
    <x v="4"/>
  </r>
  <r>
    <x v="13"/>
    <x v="4"/>
    <x v="1"/>
    <x v="57"/>
    <x v="4"/>
    <x v="57"/>
    <x v="57"/>
    <x v="4"/>
  </r>
  <r>
    <x v="13"/>
    <x v="4"/>
    <x v="2"/>
    <x v="58"/>
    <x v="4"/>
    <x v="58"/>
    <x v="58"/>
    <x v="4"/>
  </r>
  <r>
    <x v="13"/>
    <x v="4"/>
    <x v="3"/>
    <x v="59"/>
    <x v="4"/>
    <x v="59"/>
    <x v="59"/>
    <x v="4"/>
  </r>
  <r>
    <x v="13"/>
    <x v="5"/>
    <x v="0"/>
    <x v="60"/>
    <x v="5"/>
    <x v="60"/>
    <x v="60"/>
    <x v="5"/>
  </r>
  <r>
    <x v="13"/>
    <x v="5"/>
    <x v="1"/>
    <x v="61"/>
    <x v="5"/>
    <x v="61"/>
    <x v="61"/>
    <x v="5"/>
  </r>
  <r>
    <x v="13"/>
    <x v="5"/>
    <x v="2"/>
    <x v="62"/>
    <x v="5"/>
    <x v="62"/>
    <x v="62"/>
    <x v="5"/>
  </r>
  <r>
    <x v="13"/>
    <x v="5"/>
    <x v="3"/>
    <x v="63"/>
    <x v="5"/>
    <x v="63"/>
    <x v="63"/>
    <x v="5"/>
  </r>
  <r>
    <x v="13"/>
    <x v="6"/>
    <x v="0"/>
    <x v="64"/>
    <x v="6"/>
    <x v="64"/>
    <x v="64"/>
    <x v="6"/>
  </r>
  <r>
    <x v="13"/>
    <x v="6"/>
    <x v="1"/>
    <x v="65"/>
    <x v="6"/>
    <x v="65"/>
    <x v="65"/>
    <x v="6"/>
  </r>
  <r>
    <x v="13"/>
    <x v="6"/>
    <x v="2"/>
    <x v="66"/>
    <x v="6"/>
    <x v="66"/>
    <x v="66"/>
    <x v="6"/>
  </r>
  <r>
    <x v="13"/>
    <x v="6"/>
    <x v="3"/>
    <x v="67"/>
    <x v="6"/>
    <x v="67"/>
    <x v="67"/>
    <x v="6"/>
  </r>
  <r>
    <x v="13"/>
    <x v="7"/>
    <x v="0"/>
    <x v="68"/>
    <x v="7"/>
    <x v="68"/>
    <x v="68"/>
    <x v="7"/>
  </r>
  <r>
    <x v="13"/>
    <x v="7"/>
    <x v="1"/>
    <x v="69"/>
    <x v="7"/>
    <x v="69"/>
    <x v="69"/>
    <x v="7"/>
  </r>
  <r>
    <x v="13"/>
    <x v="7"/>
    <x v="2"/>
    <x v="70"/>
    <x v="7"/>
    <x v="70"/>
    <x v="70"/>
    <x v="7"/>
  </r>
  <r>
    <x v="13"/>
    <x v="7"/>
    <x v="3"/>
    <x v="71"/>
    <x v="7"/>
    <x v="71"/>
    <x v="71"/>
    <x v="7"/>
  </r>
  <r>
    <x v="13"/>
    <x v="8"/>
    <x v="0"/>
    <x v="72"/>
    <x v="8"/>
    <x v="72"/>
    <x v="72"/>
    <x v="8"/>
  </r>
  <r>
    <x v="13"/>
    <x v="8"/>
    <x v="1"/>
    <x v="73"/>
    <x v="8"/>
    <x v="73"/>
    <x v="73"/>
    <x v="8"/>
  </r>
  <r>
    <x v="13"/>
    <x v="8"/>
    <x v="2"/>
    <x v="74"/>
    <x v="8"/>
    <x v="74"/>
    <x v="74"/>
    <x v="8"/>
  </r>
  <r>
    <x v="13"/>
    <x v="8"/>
    <x v="3"/>
    <x v="75"/>
    <x v="8"/>
    <x v="75"/>
    <x v="75"/>
    <x v="8"/>
  </r>
  <r>
    <x v="13"/>
    <x v="9"/>
    <x v="0"/>
    <x v="76"/>
    <x v="9"/>
    <x v="76"/>
    <x v="76"/>
    <x v="9"/>
  </r>
  <r>
    <x v="13"/>
    <x v="9"/>
    <x v="1"/>
    <x v="77"/>
    <x v="9"/>
    <x v="77"/>
    <x v="77"/>
    <x v="9"/>
  </r>
  <r>
    <x v="13"/>
    <x v="9"/>
    <x v="2"/>
    <x v="78"/>
    <x v="9"/>
    <x v="78"/>
    <x v="78"/>
    <x v="9"/>
  </r>
  <r>
    <x v="13"/>
    <x v="9"/>
    <x v="3"/>
    <x v="79"/>
    <x v="9"/>
    <x v="79"/>
    <x v="79"/>
    <x v="9"/>
  </r>
  <r>
    <x v="14"/>
    <x v="0"/>
    <x v="0"/>
    <x v="80"/>
    <x v="0"/>
    <x v="80"/>
    <x v="80"/>
    <x v="0"/>
  </r>
  <r>
    <x v="14"/>
    <x v="0"/>
    <x v="1"/>
    <x v="81"/>
    <x v="0"/>
    <x v="81"/>
    <x v="81"/>
    <x v="0"/>
  </r>
  <r>
    <x v="14"/>
    <x v="0"/>
    <x v="2"/>
    <x v="82"/>
    <x v="0"/>
    <x v="82"/>
    <x v="82"/>
    <x v="0"/>
  </r>
  <r>
    <x v="14"/>
    <x v="0"/>
    <x v="3"/>
    <x v="83"/>
    <x v="0"/>
    <x v="83"/>
    <x v="83"/>
    <x v="0"/>
  </r>
  <r>
    <x v="14"/>
    <x v="1"/>
    <x v="0"/>
    <x v="84"/>
    <x v="1"/>
    <x v="84"/>
    <x v="84"/>
    <x v="1"/>
  </r>
  <r>
    <x v="14"/>
    <x v="1"/>
    <x v="1"/>
    <x v="85"/>
    <x v="1"/>
    <x v="85"/>
    <x v="85"/>
    <x v="1"/>
  </r>
  <r>
    <x v="14"/>
    <x v="1"/>
    <x v="2"/>
    <x v="86"/>
    <x v="1"/>
    <x v="86"/>
    <x v="86"/>
    <x v="1"/>
  </r>
  <r>
    <x v="14"/>
    <x v="1"/>
    <x v="3"/>
    <x v="87"/>
    <x v="1"/>
    <x v="87"/>
    <x v="87"/>
    <x v="10"/>
  </r>
  <r>
    <x v="14"/>
    <x v="2"/>
    <x v="0"/>
    <x v="88"/>
    <x v="2"/>
    <x v="88"/>
    <x v="88"/>
    <x v="2"/>
  </r>
  <r>
    <x v="14"/>
    <x v="2"/>
    <x v="1"/>
    <x v="89"/>
    <x v="2"/>
    <x v="89"/>
    <x v="89"/>
    <x v="2"/>
  </r>
  <r>
    <x v="14"/>
    <x v="2"/>
    <x v="2"/>
    <x v="90"/>
    <x v="2"/>
    <x v="90"/>
    <x v="90"/>
    <x v="2"/>
  </r>
  <r>
    <x v="14"/>
    <x v="2"/>
    <x v="3"/>
    <x v="91"/>
    <x v="2"/>
    <x v="91"/>
    <x v="91"/>
    <x v="2"/>
  </r>
  <r>
    <x v="14"/>
    <x v="3"/>
    <x v="0"/>
    <x v="92"/>
    <x v="3"/>
    <x v="92"/>
    <x v="92"/>
    <x v="3"/>
  </r>
  <r>
    <x v="14"/>
    <x v="3"/>
    <x v="1"/>
    <x v="93"/>
    <x v="3"/>
    <x v="93"/>
    <x v="93"/>
    <x v="3"/>
  </r>
  <r>
    <x v="14"/>
    <x v="3"/>
    <x v="2"/>
    <x v="94"/>
    <x v="3"/>
    <x v="94"/>
    <x v="94"/>
    <x v="3"/>
  </r>
  <r>
    <x v="14"/>
    <x v="3"/>
    <x v="3"/>
    <x v="95"/>
    <x v="3"/>
    <x v="95"/>
    <x v="95"/>
    <x v="3"/>
  </r>
  <r>
    <x v="14"/>
    <x v="4"/>
    <x v="0"/>
    <x v="96"/>
    <x v="4"/>
    <x v="96"/>
    <x v="96"/>
    <x v="4"/>
  </r>
  <r>
    <x v="14"/>
    <x v="4"/>
    <x v="1"/>
    <x v="97"/>
    <x v="4"/>
    <x v="97"/>
    <x v="97"/>
    <x v="4"/>
  </r>
  <r>
    <x v="14"/>
    <x v="4"/>
    <x v="2"/>
    <x v="98"/>
    <x v="4"/>
    <x v="98"/>
    <x v="98"/>
    <x v="4"/>
  </r>
  <r>
    <x v="14"/>
    <x v="4"/>
    <x v="3"/>
    <x v="99"/>
    <x v="4"/>
    <x v="99"/>
    <x v="99"/>
    <x v="4"/>
  </r>
  <r>
    <x v="14"/>
    <x v="5"/>
    <x v="0"/>
    <x v="100"/>
    <x v="5"/>
    <x v="100"/>
    <x v="100"/>
    <x v="5"/>
  </r>
  <r>
    <x v="14"/>
    <x v="5"/>
    <x v="1"/>
    <x v="101"/>
    <x v="5"/>
    <x v="101"/>
    <x v="101"/>
    <x v="5"/>
  </r>
  <r>
    <x v="14"/>
    <x v="5"/>
    <x v="2"/>
    <x v="102"/>
    <x v="5"/>
    <x v="102"/>
    <x v="102"/>
    <x v="5"/>
  </r>
  <r>
    <x v="14"/>
    <x v="5"/>
    <x v="3"/>
    <x v="103"/>
    <x v="5"/>
    <x v="103"/>
    <x v="103"/>
    <x v="5"/>
  </r>
  <r>
    <x v="14"/>
    <x v="6"/>
    <x v="0"/>
    <x v="104"/>
    <x v="6"/>
    <x v="104"/>
    <x v="104"/>
    <x v="6"/>
  </r>
  <r>
    <x v="14"/>
    <x v="6"/>
    <x v="1"/>
    <x v="105"/>
    <x v="6"/>
    <x v="105"/>
    <x v="105"/>
    <x v="6"/>
  </r>
  <r>
    <x v="14"/>
    <x v="6"/>
    <x v="2"/>
    <x v="106"/>
    <x v="6"/>
    <x v="106"/>
    <x v="106"/>
    <x v="6"/>
  </r>
  <r>
    <x v="14"/>
    <x v="6"/>
    <x v="3"/>
    <x v="107"/>
    <x v="6"/>
    <x v="107"/>
    <x v="107"/>
    <x v="6"/>
  </r>
  <r>
    <x v="14"/>
    <x v="7"/>
    <x v="0"/>
    <x v="108"/>
    <x v="7"/>
    <x v="108"/>
    <x v="108"/>
    <x v="7"/>
  </r>
  <r>
    <x v="14"/>
    <x v="7"/>
    <x v="1"/>
    <x v="109"/>
    <x v="7"/>
    <x v="109"/>
    <x v="109"/>
    <x v="7"/>
  </r>
  <r>
    <x v="14"/>
    <x v="7"/>
    <x v="2"/>
    <x v="110"/>
    <x v="7"/>
    <x v="110"/>
    <x v="110"/>
    <x v="7"/>
  </r>
  <r>
    <x v="14"/>
    <x v="7"/>
    <x v="3"/>
    <x v="111"/>
    <x v="7"/>
    <x v="111"/>
    <x v="111"/>
    <x v="7"/>
  </r>
  <r>
    <x v="14"/>
    <x v="8"/>
    <x v="0"/>
    <x v="112"/>
    <x v="8"/>
    <x v="112"/>
    <x v="112"/>
    <x v="8"/>
  </r>
  <r>
    <x v="14"/>
    <x v="8"/>
    <x v="1"/>
    <x v="113"/>
    <x v="8"/>
    <x v="113"/>
    <x v="113"/>
    <x v="8"/>
  </r>
  <r>
    <x v="14"/>
    <x v="8"/>
    <x v="2"/>
    <x v="114"/>
    <x v="8"/>
    <x v="114"/>
    <x v="114"/>
    <x v="8"/>
  </r>
  <r>
    <x v="14"/>
    <x v="8"/>
    <x v="3"/>
    <x v="115"/>
    <x v="8"/>
    <x v="115"/>
    <x v="115"/>
    <x v="8"/>
  </r>
  <r>
    <x v="14"/>
    <x v="9"/>
    <x v="0"/>
    <x v="116"/>
    <x v="9"/>
    <x v="116"/>
    <x v="116"/>
    <x v="9"/>
  </r>
  <r>
    <x v="14"/>
    <x v="9"/>
    <x v="1"/>
    <x v="117"/>
    <x v="9"/>
    <x v="117"/>
    <x v="117"/>
    <x v="9"/>
  </r>
  <r>
    <x v="14"/>
    <x v="9"/>
    <x v="2"/>
    <x v="118"/>
    <x v="9"/>
    <x v="118"/>
    <x v="118"/>
    <x v="9"/>
  </r>
  <r>
    <x v="14"/>
    <x v="9"/>
    <x v="3"/>
    <x v="119"/>
    <x v="9"/>
    <x v="119"/>
    <x v="119"/>
    <x v="9"/>
  </r>
  <r>
    <x v="15"/>
    <x v="0"/>
    <x v="0"/>
    <x v="120"/>
    <x v="0"/>
    <x v="120"/>
    <x v="120"/>
    <x v="0"/>
  </r>
  <r>
    <x v="15"/>
    <x v="0"/>
    <x v="1"/>
    <x v="121"/>
    <x v="0"/>
    <x v="121"/>
    <x v="121"/>
    <x v="0"/>
  </r>
  <r>
    <x v="15"/>
    <x v="0"/>
    <x v="2"/>
    <x v="122"/>
    <x v="0"/>
    <x v="122"/>
    <x v="122"/>
    <x v="0"/>
  </r>
  <r>
    <x v="15"/>
    <x v="0"/>
    <x v="3"/>
    <x v="123"/>
    <x v="0"/>
    <x v="123"/>
    <x v="123"/>
    <x v="0"/>
  </r>
  <r>
    <x v="15"/>
    <x v="1"/>
    <x v="0"/>
    <x v="124"/>
    <x v="1"/>
    <x v="124"/>
    <x v="124"/>
    <x v="1"/>
  </r>
  <r>
    <x v="15"/>
    <x v="1"/>
    <x v="1"/>
    <x v="125"/>
    <x v="1"/>
    <x v="125"/>
    <x v="125"/>
    <x v="1"/>
  </r>
  <r>
    <x v="15"/>
    <x v="1"/>
    <x v="2"/>
    <x v="126"/>
    <x v="1"/>
    <x v="126"/>
    <x v="126"/>
    <x v="1"/>
  </r>
  <r>
    <x v="15"/>
    <x v="1"/>
    <x v="3"/>
    <x v="127"/>
    <x v="1"/>
    <x v="127"/>
    <x v="127"/>
    <x v="1"/>
  </r>
  <r>
    <x v="15"/>
    <x v="2"/>
    <x v="0"/>
    <x v="128"/>
    <x v="2"/>
    <x v="128"/>
    <x v="128"/>
    <x v="2"/>
  </r>
  <r>
    <x v="15"/>
    <x v="2"/>
    <x v="1"/>
    <x v="129"/>
    <x v="2"/>
    <x v="129"/>
    <x v="129"/>
    <x v="2"/>
  </r>
  <r>
    <x v="15"/>
    <x v="2"/>
    <x v="2"/>
    <x v="130"/>
    <x v="2"/>
    <x v="130"/>
    <x v="130"/>
    <x v="2"/>
  </r>
  <r>
    <x v="15"/>
    <x v="2"/>
    <x v="3"/>
    <x v="131"/>
    <x v="2"/>
    <x v="131"/>
    <x v="131"/>
    <x v="2"/>
  </r>
  <r>
    <x v="15"/>
    <x v="3"/>
    <x v="0"/>
    <x v="132"/>
    <x v="3"/>
    <x v="132"/>
    <x v="132"/>
    <x v="3"/>
  </r>
  <r>
    <x v="15"/>
    <x v="3"/>
    <x v="1"/>
    <x v="133"/>
    <x v="3"/>
    <x v="133"/>
    <x v="133"/>
    <x v="3"/>
  </r>
  <r>
    <x v="15"/>
    <x v="3"/>
    <x v="2"/>
    <x v="134"/>
    <x v="3"/>
    <x v="134"/>
    <x v="134"/>
    <x v="3"/>
  </r>
  <r>
    <x v="15"/>
    <x v="3"/>
    <x v="3"/>
    <x v="135"/>
    <x v="3"/>
    <x v="135"/>
    <x v="135"/>
    <x v="3"/>
  </r>
  <r>
    <x v="15"/>
    <x v="4"/>
    <x v="0"/>
    <x v="136"/>
    <x v="4"/>
    <x v="136"/>
    <x v="136"/>
    <x v="4"/>
  </r>
  <r>
    <x v="15"/>
    <x v="4"/>
    <x v="1"/>
    <x v="137"/>
    <x v="4"/>
    <x v="137"/>
    <x v="137"/>
    <x v="4"/>
  </r>
  <r>
    <x v="15"/>
    <x v="4"/>
    <x v="2"/>
    <x v="138"/>
    <x v="4"/>
    <x v="138"/>
    <x v="138"/>
    <x v="4"/>
  </r>
  <r>
    <x v="15"/>
    <x v="4"/>
    <x v="3"/>
    <x v="139"/>
    <x v="4"/>
    <x v="139"/>
    <x v="139"/>
    <x v="4"/>
  </r>
  <r>
    <x v="15"/>
    <x v="5"/>
    <x v="0"/>
    <x v="140"/>
    <x v="5"/>
    <x v="140"/>
    <x v="140"/>
    <x v="5"/>
  </r>
  <r>
    <x v="15"/>
    <x v="5"/>
    <x v="1"/>
    <x v="141"/>
    <x v="5"/>
    <x v="141"/>
    <x v="141"/>
    <x v="5"/>
  </r>
  <r>
    <x v="15"/>
    <x v="5"/>
    <x v="2"/>
    <x v="142"/>
    <x v="5"/>
    <x v="142"/>
    <x v="142"/>
    <x v="5"/>
  </r>
  <r>
    <x v="15"/>
    <x v="5"/>
    <x v="3"/>
    <x v="143"/>
    <x v="5"/>
    <x v="143"/>
    <x v="143"/>
    <x v="5"/>
  </r>
  <r>
    <x v="15"/>
    <x v="6"/>
    <x v="0"/>
    <x v="144"/>
    <x v="6"/>
    <x v="144"/>
    <x v="144"/>
    <x v="6"/>
  </r>
  <r>
    <x v="15"/>
    <x v="6"/>
    <x v="1"/>
    <x v="145"/>
    <x v="6"/>
    <x v="145"/>
    <x v="145"/>
    <x v="6"/>
  </r>
  <r>
    <x v="15"/>
    <x v="6"/>
    <x v="2"/>
    <x v="146"/>
    <x v="6"/>
    <x v="146"/>
    <x v="146"/>
    <x v="6"/>
  </r>
  <r>
    <x v="15"/>
    <x v="6"/>
    <x v="3"/>
    <x v="147"/>
    <x v="6"/>
    <x v="147"/>
    <x v="147"/>
    <x v="6"/>
  </r>
  <r>
    <x v="15"/>
    <x v="7"/>
    <x v="0"/>
    <x v="148"/>
    <x v="7"/>
    <x v="148"/>
    <x v="148"/>
    <x v="7"/>
  </r>
  <r>
    <x v="15"/>
    <x v="7"/>
    <x v="1"/>
    <x v="149"/>
    <x v="7"/>
    <x v="149"/>
    <x v="149"/>
    <x v="7"/>
  </r>
  <r>
    <x v="15"/>
    <x v="7"/>
    <x v="2"/>
    <x v="150"/>
    <x v="7"/>
    <x v="150"/>
    <x v="150"/>
    <x v="7"/>
  </r>
  <r>
    <x v="15"/>
    <x v="7"/>
    <x v="3"/>
    <x v="151"/>
    <x v="7"/>
    <x v="151"/>
    <x v="151"/>
    <x v="7"/>
  </r>
  <r>
    <x v="15"/>
    <x v="8"/>
    <x v="0"/>
    <x v="152"/>
    <x v="8"/>
    <x v="152"/>
    <x v="152"/>
    <x v="8"/>
  </r>
  <r>
    <x v="15"/>
    <x v="8"/>
    <x v="1"/>
    <x v="153"/>
    <x v="8"/>
    <x v="153"/>
    <x v="153"/>
    <x v="8"/>
  </r>
  <r>
    <x v="15"/>
    <x v="8"/>
    <x v="2"/>
    <x v="154"/>
    <x v="8"/>
    <x v="154"/>
    <x v="154"/>
    <x v="8"/>
  </r>
  <r>
    <x v="15"/>
    <x v="8"/>
    <x v="3"/>
    <x v="155"/>
    <x v="8"/>
    <x v="155"/>
    <x v="155"/>
    <x v="8"/>
  </r>
  <r>
    <x v="15"/>
    <x v="9"/>
    <x v="0"/>
    <x v="156"/>
    <x v="9"/>
    <x v="156"/>
    <x v="156"/>
    <x v="9"/>
  </r>
  <r>
    <x v="15"/>
    <x v="9"/>
    <x v="1"/>
    <x v="157"/>
    <x v="9"/>
    <x v="157"/>
    <x v="157"/>
    <x v="9"/>
  </r>
  <r>
    <x v="15"/>
    <x v="9"/>
    <x v="2"/>
    <x v="158"/>
    <x v="9"/>
    <x v="158"/>
    <x v="158"/>
    <x v="9"/>
  </r>
  <r>
    <x v="15"/>
    <x v="9"/>
    <x v="3"/>
    <x v="159"/>
    <x v="9"/>
    <x v="159"/>
    <x v="159"/>
    <x v="9"/>
  </r>
  <r>
    <x v="16"/>
    <x v="0"/>
    <x v="0"/>
    <x v="160"/>
    <x v="0"/>
    <x v="160"/>
    <x v="160"/>
    <x v="0"/>
  </r>
  <r>
    <x v="16"/>
    <x v="0"/>
    <x v="1"/>
    <x v="161"/>
    <x v="0"/>
    <x v="161"/>
    <x v="161"/>
    <x v="0"/>
  </r>
  <r>
    <x v="16"/>
    <x v="0"/>
    <x v="2"/>
    <x v="120"/>
    <x v="0"/>
    <x v="120"/>
    <x v="120"/>
    <x v="0"/>
  </r>
  <r>
    <x v="16"/>
    <x v="0"/>
    <x v="3"/>
    <x v="162"/>
    <x v="0"/>
    <x v="162"/>
    <x v="162"/>
    <x v="0"/>
  </r>
  <r>
    <x v="16"/>
    <x v="1"/>
    <x v="0"/>
    <x v="163"/>
    <x v="1"/>
    <x v="163"/>
    <x v="163"/>
    <x v="1"/>
  </r>
  <r>
    <x v="16"/>
    <x v="1"/>
    <x v="1"/>
    <x v="164"/>
    <x v="1"/>
    <x v="164"/>
    <x v="164"/>
    <x v="1"/>
  </r>
  <r>
    <x v="16"/>
    <x v="1"/>
    <x v="2"/>
    <x v="124"/>
    <x v="1"/>
    <x v="124"/>
    <x v="124"/>
    <x v="1"/>
  </r>
  <r>
    <x v="16"/>
    <x v="1"/>
    <x v="3"/>
    <x v="165"/>
    <x v="1"/>
    <x v="165"/>
    <x v="165"/>
    <x v="1"/>
  </r>
  <r>
    <x v="16"/>
    <x v="2"/>
    <x v="0"/>
    <x v="166"/>
    <x v="2"/>
    <x v="166"/>
    <x v="166"/>
    <x v="2"/>
  </r>
  <r>
    <x v="16"/>
    <x v="2"/>
    <x v="1"/>
    <x v="167"/>
    <x v="2"/>
    <x v="167"/>
    <x v="167"/>
    <x v="2"/>
  </r>
  <r>
    <x v="16"/>
    <x v="2"/>
    <x v="2"/>
    <x v="128"/>
    <x v="2"/>
    <x v="128"/>
    <x v="128"/>
    <x v="2"/>
  </r>
  <r>
    <x v="16"/>
    <x v="2"/>
    <x v="3"/>
    <x v="168"/>
    <x v="2"/>
    <x v="168"/>
    <x v="168"/>
    <x v="2"/>
  </r>
  <r>
    <x v="16"/>
    <x v="3"/>
    <x v="0"/>
    <x v="169"/>
    <x v="3"/>
    <x v="169"/>
    <x v="169"/>
    <x v="3"/>
  </r>
  <r>
    <x v="16"/>
    <x v="3"/>
    <x v="1"/>
    <x v="170"/>
    <x v="3"/>
    <x v="170"/>
    <x v="170"/>
    <x v="3"/>
  </r>
  <r>
    <x v="16"/>
    <x v="3"/>
    <x v="2"/>
    <x v="132"/>
    <x v="3"/>
    <x v="132"/>
    <x v="132"/>
    <x v="3"/>
  </r>
  <r>
    <x v="16"/>
    <x v="3"/>
    <x v="3"/>
    <x v="171"/>
    <x v="3"/>
    <x v="171"/>
    <x v="171"/>
    <x v="3"/>
  </r>
  <r>
    <x v="16"/>
    <x v="4"/>
    <x v="0"/>
    <x v="172"/>
    <x v="4"/>
    <x v="172"/>
    <x v="172"/>
    <x v="4"/>
  </r>
  <r>
    <x v="16"/>
    <x v="4"/>
    <x v="1"/>
    <x v="173"/>
    <x v="4"/>
    <x v="173"/>
    <x v="173"/>
    <x v="4"/>
  </r>
  <r>
    <x v="16"/>
    <x v="4"/>
    <x v="2"/>
    <x v="136"/>
    <x v="4"/>
    <x v="136"/>
    <x v="136"/>
    <x v="4"/>
  </r>
  <r>
    <x v="16"/>
    <x v="4"/>
    <x v="3"/>
    <x v="174"/>
    <x v="4"/>
    <x v="174"/>
    <x v="174"/>
    <x v="4"/>
  </r>
  <r>
    <x v="16"/>
    <x v="5"/>
    <x v="0"/>
    <x v="175"/>
    <x v="5"/>
    <x v="175"/>
    <x v="175"/>
    <x v="5"/>
  </r>
  <r>
    <x v="16"/>
    <x v="5"/>
    <x v="1"/>
    <x v="176"/>
    <x v="5"/>
    <x v="176"/>
    <x v="176"/>
    <x v="5"/>
  </r>
  <r>
    <x v="16"/>
    <x v="5"/>
    <x v="2"/>
    <x v="140"/>
    <x v="5"/>
    <x v="140"/>
    <x v="140"/>
    <x v="5"/>
  </r>
  <r>
    <x v="16"/>
    <x v="5"/>
    <x v="3"/>
    <x v="177"/>
    <x v="5"/>
    <x v="177"/>
    <x v="177"/>
    <x v="5"/>
  </r>
  <r>
    <x v="16"/>
    <x v="6"/>
    <x v="0"/>
    <x v="178"/>
    <x v="6"/>
    <x v="178"/>
    <x v="178"/>
    <x v="6"/>
  </r>
  <r>
    <x v="16"/>
    <x v="6"/>
    <x v="1"/>
    <x v="179"/>
    <x v="6"/>
    <x v="179"/>
    <x v="179"/>
    <x v="6"/>
  </r>
  <r>
    <x v="16"/>
    <x v="6"/>
    <x v="2"/>
    <x v="144"/>
    <x v="6"/>
    <x v="144"/>
    <x v="144"/>
    <x v="6"/>
  </r>
  <r>
    <x v="16"/>
    <x v="6"/>
    <x v="3"/>
    <x v="180"/>
    <x v="6"/>
    <x v="180"/>
    <x v="180"/>
    <x v="6"/>
  </r>
  <r>
    <x v="16"/>
    <x v="7"/>
    <x v="0"/>
    <x v="181"/>
    <x v="7"/>
    <x v="181"/>
    <x v="181"/>
    <x v="7"/>
  </r>
  <r>
    <x v="16"/>
    <x v="7"/>
    <x v="1"/>
    <x v="182"/>
    <x v="7"/>
    <x v="182"/>
    <x v="182"/>
    <x v="7"/>
  </r>
  <r>
    <x v="16"/>
    <x v="7"/>
    <x v="2"/>
    <x v="148"/>
    <x v="7"/>
    <x v="148"/>
    <x v="148"/>
    <x v="7"/>
  </r>
  <r>
    <x v="16"/>
    <x v="7"/>
    <x v="3"/>
    <x v="183"/>
    <x v="7"/>
    <x v="183"/>
    <x v="183"/>
    <x v="7"/>
  </r>
  <r>
    <x v="16"/>
    <x v="8"/>
    <x v="0"/>
    <x v="184"/>
    <x v="8"/>
    <x v="184"/>
    <x v="184"/>
    <x v="8"/>
  </r>
  <r>
    <x v="16"/>
    <x v="8"/>
    <x v="1"/>
    <x v="185"/>
    <x v="8"/>
    <x v="185"/>
    <x v="185"/>
    <x v="8"/>
  </r>
  <r>
    <x v="16"/>
    <x v="8"/>
    <x v="2"/>
    <x v="152"/>
    <x v="8"/>
    <x v="152"/>
    <x v="152"/>
    <x v="8"/>
  </r>
  <r>
    <x v="16"/>
    <x v="8"/>
    <x v="3"/>
    <x v="186"/>
    <x v="8"/>
    <x v="186"/>
    <x v="186"/>
    <x v="8"/>
  </r>
  <r>
    <x v="16"/>
    <x v="9"/>
    <x v="0"/>
    <x v="187"/>
    <x v="9"/>
    <x v="187"/>
    <x v="187"/>
    <x v="9"/>
  </r>
  <r>
    <x v="16"/>
    <x v="9"/>
    <x v="1"/>
    <x v="188"/>
    <x v="9"/>
    <x v="188"/>
    <x v="188"/>
    <x v="9"/>
  </r>
  <r>
    <x v="16"/>
    <x v="9"/>
    <x v="2"/>
    <x v="156"/>
    <x v="9"/>
    <x v="156"/>
    <x v="156"/>
    <x v="9"/>
  </r>
  <r>
    <x v="16"/>
    <x v="9"/>
    <x v="3"/>
    <x v="189"/>
    <x v="9"/>
    <x v="189"/>
    <x v="189"/>
    <x v="9"/>
  </r>
  <r>
    <x v="17"/>
    <x v="0"/>
    <x v="0"/>
    <x v="190"/>
    <x v="0"/>
    <x v="190"/>
    <x v="190"/>
    <x v="0"/>
  </r>
  <r>
    <x v="17"/>
    <x v="0"/>
    <x v="1"/>
    <x v="191"/>
    <x v="0"/>
    <x v="191"/>
    <x v="191"/>
    <x v="0"/>
  </r>
  <r>
    <x v="17"/>
    <x v="0"/>
    <x v="2"/>
    <x v="192"/>
    <x v="0"/>
    <x v="192"/>
    <x v="192"/>
    <x v="0"/>
  </r>
  <r>
    <x v="17"/>
    <x v="0"/>
    <x v="3"/>
    <x v="193"/>
    <x v="0"/>
    <x v="193"/>
    <x v="193"/>
    <x v="0"/>
  </r>
  <r>
    <x v="17"/>
    <x v="1"/>
    <x v="0"/>
    <x v="194"/>
    <x v="1"/>
    <x v="194"/>
    <x v="194"/>
    <x v="1"/>
  </r>
  <r>
    <x v="17"/>
    <x v="1"/>
    <x v="1"/>
    <x v="195"/>
    <x v="1"/>
    <x v="195"/>
    <x v="195"/>
    <x v="1"/>
  </r>
  <r>
    <x v="17"/>
    <x v="1"/>
    <x v="2"/>
    <x v="196"/>
    <x v="1"/>
    <x v="196"/>
    <x v="196"/>
    <x v="1"/>
  </r>
  <r>
    <x v="17"/>
    <x v="1"/>
    <x v="3"/>
    <x v="197"/>
    <x v="1"/>
    <x v="197"/>
    <x v="197"/>
    <x v="1"/>
  </r>
  <r>
    <x v="17"/>
    <x v="2"/>
    <x v="0"/>
    <x v="198"/>
    <x v="2"/>
    <x v="198"/>
    <x v="198"/>
    <x v="2"/>
  </r>
  <r>
    <x v="17"/>
    <x v="2"/>
    <x v="1"/>
    <x v="199"/>
    <x v="2"/>
    <x v="199"/>
    <x v="199"/>
    <x v="2"/>
  </r>
  <r>
    <x v="17"/>
    <x v="2"/>
    <x v="2"/>
    <x v="200"/>
    <x v="2"/>
    <x v="200"/>
    <x v="200"/>
    <x v="2"/>
  </r>
  <r>
    <x v="17"/>
    <x v="2"/>
    <x v="3"/>
    <x v="201"/>
    <x v="2"/>
    <x v="201"/>
    <x v="201"/>
    <x v="2"/>
  </r>
  <r>
    <x v="17"/>
    <x v="3"/>
    <x v="0"/>
    <x v="202"/>
    <x v="3"/>
    <x v="202"/>
    <x v="202"/>
    <x v="3"/>
  </r>
  <r>
    <x v="17"/>
    <x v="3"/>
    <x v="1"/>
    <x v="203"/>
    <x v="3"/>
    <x v="203"/>
    <x v="203"/>
    <x v="3"/>
  </r>
  <r>
    <x v="17"/>
    <x v="3"/>
    <x v="2"/>
    <x v="204"/>
    <x v="3"/>
    <x v="204"/>
    <x v="204"/>
    <x v="3"/>
  </r>
  <r>
    <x v="17"/>
    <x v="3"/>
    <x v="3"/>
    <x v="205"/>
    <x v="3"/>
    <x v="205"/>
    <x v="205"/>
    <x v="3"/>
  </r>
  <r>
    <x v="17"/>
    <x v="4"/>
    <x v="0"/>
    <x v="206"/>
    <x v="4"/>
    <x v="206"/>
    <x v="206"/>
    <x v="4"/>
  </r>
  <r>
    <x v="17"/>
    <x v="4"/>
    <x v="1"/>
    <x v="207"/>
    <x v="4"/>
    <x v="207"/>
    <x v="207"/>
    <x v="4"/>
  </r>
  <r>
    <x v="17"/>
    <x v="4"/>
    <x v="2"/>
    <x v="208"/>
    <x v="4"/>
    <x v="208"/>
    <x v="208"/>
    <x v="4"/>
  </r>
  <r>
    <x v="17"/>
    <x v="4"/>
    <x v="3"/>
    <x v="209"/>
    <x v="4"/>
    <x v="209"/>
    <x v="209"/>
    <x v="4"/>
  </r>
  <r>
    <x v="17"/>
    <x v="5"/>
    <x v="0"/>
    <x v="73"/>
    <x v="5"/>
    <x v="210"/>
    <x v="210"/>
    <x v="5"/>
  </r>
  <r>
    <x v="17"/>
    <x v="5"/>
    <x v="1"/>
    <x v="210"/>
    <x v="5"/>
    <x v="211"/>
    <x v="211"/>
    <x v="5"/>
  </r>
  <r>
    <x v="17"/>
    <x v="5"/>
    <x v="2"/>
    <x v="211"/>
    <x v="5"/>
    <x v="212"/>
    <x v="212"/>
    <x v="5"/>
  </r>
  <r>
    <x v="17"/>
    <x v="5"/>
    <x v="3"/>
    <x v="212"/>
    <x v="5"/>
    <x v="213"/>
    <x v="213"/>
    <x v="5"/>
  </r>
  <r>
    <x v="17"/>
    <x v="6"/>
    <x v="0"/>
    <x v="213"/>
    <x v="6"/>
    <x v="113"/>
    <x v="214"/>
    <x v="6"/>
  </r>
  <r>
    <x v="17"/>
    <x v="6"/>
    <x v="1"/>
    <x v="214"/>
    <x v="6"/>
    <x v="214"/>
    <x v="215"/>
    <x v="6"/>
  </r>
  <r>
    <x v="17"/>
    <x v="6"/>
    <x v="2"/>
    <x v="215"/>
    <x v="6"/>
    <x v="215"/>
    <x v="216"/>
    <x v="6"/>
  </r>
  <r>
    <x v="17"/>
    <x v="6"/>
    <x v="3"/>
    <x v="216"/>
    <x v="6"/>
    <x v="216"/>
    <x v="217"/>
    <x v="6"/>
  </r>
  <r>
    <x v="17"/>
    <x v="7"/>
    <x v="0"/>
    <x v="217"/>
    <x v="7"/>
    <x v="217"/>
    <x v="218"/>
    <x v="7"/>
  </r>
  <r>
    <x v="17"/>
    <x v="7"/>
    <x v="1"/>
    <x v="218"/>
    <x v="7"/>
    <x v="218"/>
    <x v="219"/>
    <x v="7"/>
  </r>
  <r>
    <x v="17"/>
    <x v="7"/>
    <x v="2"/>
    <x v="219"/>
    <x v="7"/>
    <x v="219"/>
    <x v="220"/>
    <x v="7"/>
  </r>
  <r>
    <x v="17"/>
    <x v="7"/>
    <x v="3"/>
    <x v="220"/>
    <x v="7"/>
    <x v="220"/>
    <x v="221"/>
    <x v="7"/>
  </r>
  <r>
    <x v="17"/>
    <x v="8"/>
    <x v="0"/>
    <x v="221"/>
    <x v="8"/>
    <x v="182"/>
    <x v="222"/>
    <x v="8"/>
  </r>
  <r>
    <x v="17"/>
    <x v="8"/>
    <x v="1"/>
    <x v="222"/>
    <x v="8"/>
    <x v="221"/>
    <x v="223"/>
    <x v="8"/>
  </r>
  <r>
    <x v="17"/>
    <x v="8"/>
    <x v="2"/>
    <x v="223"/>
    <x v="8"/>
    <x v="149"/>
    <x v="224"/>
    <x v="8"/>
  </r>
  <r>
    <x v="17"/>
    <x v="8"/>
    <x v="3"/>
    <x v="224"/>
    <x v="8"/>
    <x v="222"/>
    <x v="225"/>
    <x v="8"/>
  </r>
  <r>
    <x v="17"/>
    <x v="9"/>
    <x v="0"/>
    <x v="69"/>
    <x v="9"/>
    <x v="65"/>
    <x v="226"/>
    <x v="9"/>
  </r>
  <r>
    <x v="17"/>
    <x v="9"/>
    <x v="1"/>
    <x v="225"/>
    <x v="9"/>
    <x v="223"/>
    <x v="227"/>
    <x v="9"/>
  </r>
  <r>
    <x v="17"/>
    <x v="9"/>
    <x v="2"/>
    <x v="226"/>
    <x v="9"/>
    <x v="224"/>
    <x v="228"/>
    <x v="9"/>
  </r>
  <r>
    <x v="17"/>
    <x v="9"/>
    <x v="3"/>
    <x v="227"/>
    <x v="9"/>
    <x v="225"/>
    <x v="22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4:B385" firstHeaderRow="1" firstDataRow="1" firstDataCol="1"/>
  <pivotFields count="8">
    <pivotField compact="0" numFmtId="14" outline="0" showAll="0">
      <items count="1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h="1" x="17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axis="axisRow" compact="0" numFmtId="3" outline="0" showAll="0">
      <items count="381">
        <item x="55"/>
        <item x="15"/>
        <item x="135"/>
        <item x="95"/>
        <item x="171"/>
        <item x="205"/>
        <item x="243"/>
        <item x="279"/>
        <item x="315"/>
        <item x="355"/>
        <item x="53"/>
        <item x="13"/>
        <item x="133"/>
        <item x="93"/>
        <item x="47"/>
        <item x="170"/>
        <item x="54"/>
        <item x="203"/>
        <item x="7"/>
        <item x="14"/>
        <item x="241"/>
        <item x="277"/>
        <item x="127"/>
        <item x="52"/>
        <item x="134"/>
        <item x="87"/>
        <item x="94"/>
        <item x="12"/>
        <item x="165"/>
        <item x="132"/>
        <item x="313"/>
        <item x="92"/>
        <item x="197"/>
        <item x="204"/>
        <item x="235"/>
        <item x="242"/>
        <item x="51"/>
        <item x="278"/>
        <item x="169"/>
        <item x="353"/>
        <item x="11"/>
        <item x="202"/>
        <item x="240"/>
        <item x="131"/>
        <item x="276"/>
        <item x="91"/>
        <item x="314"/>
        <item x="168"/>
        <item x="347"/>
        <item x="312"/>
        <item x="354"/>
        <item x="201"/>
        <item x="239"/>
        <item x="275"/>
        <item x="352"/>
        <item x="311"/>
        <item x="59"/>
        <item x="351"/>
        <item x="19"/>
        <item x="45"/>
        <item x="5"/>
        <item x="139"/>
        <item x="99"/>
        <item x="125"/>
        <item x="85"/>
        <item x="174"/>
        <item x="209"/>
        <item x="247"/>
        <item x="164"/>
        <item x="46"/>
        <item x="283"/>
        <item x="195"/>
        <item x="6"/>
        <item x="233"/>
        <item x="49"/>
        <item x="44"/>
        <item x="126"/>
        <item x="86"/>
        <item x="9"/>
        <item x="4"/>
        <item x="319"/>
        <item x="129"/>
        <item x="124"/>
        <item x="89"/>
        <item x="84"/>
        <item x="196"/>
        <item x="359"/>
        <item x="234"/>
        <item x="167"/>
        <item x="50"/>
        <item x="163"/>
        <item x="345"/>
        <item x="199"/>
        <item x="10"/>
        <item x="194"/>
        <item x="237"/>
        <item x="232"/>
        <item x="43"/>
        <item x="273"/>
        <item x="48"/>
        <item x="130"/>
        <item x="3"/>
        <item x="90"/>
        <item x="8"/>
        <item x="123"/>
        <item x="83"/>
        <item x="128"/>
        <item x="309"/>
        <item x="88"/>
        <item x="346"/>
        <item x="200"/>
        <item x="238"/>
        <item x="162"/>
        <item x="57"/>
        <item x="274"/>
        <item x="166"/>
        <item x="193"/>
        <item x="349"/>
        <item x="17"/>
        <item x="344"/>
        <item x="231"/>
        <item x="198"/>
        <item x="236"/>
        <item x="271"/>
        <item x="137"/>
        <item x="97"/>
        <item x="272"/>
        <item x="310"/>
        <item x="173"/>
        <item x="58"/>
        <item x="307"/>
        <item x="207"/>
        <item x="308"/>
        <item x="350"/>
        <item x="18"/>
        <item x="245"/>
        <item x="281"/>
        <item x="56"/>
        <item x="343"/>
        <item x="138"/>
        <item x="98"/>
        <item x="348"/>
        <item x="16"/>
        <item x="136"/>
        <item x="317"/>
        <item x="96"/>
        <item x="208"/>
        <item x="246"/>
        <item x="282"/>
        <item x="172"/>
        <item x="357"/>
        <item x="206"/>
        <item x="244"/>
        <item x="280"/>
        <item x="41"/>
        <item x="318"/>
        <item x="1"/>
        <item x="67"/>
        <item x="316"/>
        <item x="358"/>
        <item x="121"/>
        <item x="27"/>
        <item x="81"/>
        <item x="147"/>
        <item x="107"/>
        <item x="356"/>
        <item x="161"/>
        <item x="42"/>
        <item x="191"/>
        <item x="2"/>
        <item x="229"/>
        <item x="180"/>
        <item x="269"/>
        <item x="216"/>
        <item x="40"/>
        <item x="122"/>
        <item x="255"/>
        <item x="82"/>
        <item x="0"/>
        <item x="291"/>
        <item x="120"/>
        <item x="305"/>
        <item x="80"/>
        <item x="192"/>
        <item x="230"/>
        <item x="327"/>
        <item x="270"/>
        <item x="160"/>
        <item x="341"/>
        <item x="190"/>
        <item x="228"/>
        <item x="367"/>
        <item x="268"/>
        <item x="306"/>
        <item x="304"/>
        <item x="342"/>
        <item x="340"/>
        <item x="63"/>
        <item x="23"/>
        <item x="65"/>
        <item x="25"/>
        <item x="143"/>
        <item x="103"/>
        <item x="145"/>
        <item x="105"/>
        <item x="177"/>
        <item x="212"/>
        <item x="251"/>
        <item x="179"/>
        <item x="66"/>
        <item x="287"/>
        <item x="214"/>
        <item x="26"/>
        <item x="253"/>
        <item x="289"/>
        <item x="64"/>
        <item x="146"/>
        <item x="106"/>
        <item x="24"/>
        <item x="323"/>
        <item x="144"/>
        <item x="325"/>
        <item x="104"/>
        <item x="215"/>
        <item x="363"/>
        <item x="254"/>
        <item x="75"/>
        <item x="290"/>
        <item x="178"/>
        <item x="365"/>
        <item x="35"/>
        <item x="213"/>
        <item x="252"/>
        <item x="155"/>
        <item x="288"/>
        <item x="115"/>
        <item x="326"/>
        <item x="186"/>
        <item x="79"/>
        <item x="324"/>
        <item x="366"/>
        <item x="224"/>
        <item x="263"/>
        <item x="39"/>
        <item x="61"/>
        <item x="299"/>
        <item x="21"/>
        <item x="159"/>
        <item x="364"/>
        <item x="119"/>
        <item x="141"/>
        <item x="101"/>
        <item x="335"/>
        <item x="189"/>
        <item x="227"/>
        <item x="267"/>
        <item x="176"/>
        <item x="62"/>
        <item x="375"/>
        <item x="303"/>
        <item x="210"/>
        <item x="22"/>
        <item x="249"/>
        <item x="285"/>
        <item x="60"/>
        <item x="142"/>
        <item x="102"/>
        <item x="20"/>
        <item x="339"/>
        <item x="140"/>
        <item x="321"/>
        <item x="100"/>
        <item x="211"/>
        <item x="379"/>
        <item x="250"/>
        <item x="71"/>
        <item x="286"/>
        <item x="175"/>
        <item x="361"/>
        <item x="31"/>
        <item x="73"/>
        <item x="248"/>
        <item x="33"/>
        <item x="151"/>
        <item x="284"/>
        <item x="111"/>
        <item x="322"/>
        <item x="153"/>
        <item x="113"/>
        <item x="183"/>
        <item x="320"/>
        <item x="362"/>
        <item x="220"/>
        <item x="259"/>
        <item x="185"/>
        <item x="74"/>
        <item x="77"/>
        <item x="295"/>
        <item x="222"/>
        <item x="34"/>
        <item x="261"/>
        <item x="37"/>
        <item x="360"/>
        <item x="297"/>
        <item x="72"/>
        <item x="154"/>
        <item x="157"/>
        <item x="114"/>
        <item x="117"/>
        <item x="32"/>
        <item x="331"/>
        <item x="152"/>
        <item x="333"/>
        <item x="188"/>
        <item x="112"/>
        <item x="78"/>
        <item x="223"/>
        <item x="371"/>
        <item x="225"/>
        <item x="262"/>
        <item x="38"/>
        <item x="265"/>
        <item x="298"/>
        <item x="184"/>
        <item x="373"/>
        <item x="301"/>
        <item x="76"/>
        <item x="158"/>
        <item x="221"/>
        <item x="118"/>
        <item x="260"/>
        <item x="36"/>
        <item x="296"/>
        <item x="334"/>
        <item x="156"/>
        <item x="337"/>
        <item x="116"/>
        <item x="226"/>
        <item x="266"/>
        <item x="332"/>
        <item x="374"/>
        <item x="302"/>
        <item x="187"/>
        <item x="377"/>
        <item x="69"/>
        <item x="264"/>
        <item x="29"/>
        <item x="372"/>
        <item x="300"/>
        <item x="338"/>
        <item x="149"/>
        <item x="109"/>
        <item x="336"/>
        <item x="378"/>
        <item x="182"/>
        <item x="70"/>
        <item x="218"/>
        <item x="30"/>
        <item x="257"/>
        <item x="376"/>
        <item x="293"/>
        <item x="68"/>
        <item x="150"/>
        <item x="110"/>
        <item x="28"/>
        <item x="148"/>
        <item x="329"/>
        <item x="108"/>
        <item x="219"/>
        <item x="258"/>
        <item x="294"/>
        <item x="181"/>
        <item x="369"/>
        <item x="217"/>
        <item x="256"/>
        <item x="292"/>
        <item x="330"/>
        <item x="328"/>
        <item x="370"/>
        <item x="368"/>
        <item t="default"/>
      </items>
    </pivotField>
    <pivotField compact="0" numFmtId="164" outline="0" showAll="0">
      <items count="11">
        <item x="9"/>
        <item x="7"/>
        <item x="8"/>
        <item x="6"/>
        <item x="5"/>
        <item x="4"/>
        <item x="2"/>
        <item x="0"/>
        <item x="1"/>
        <item x="3"/>
        <item t="default"/>
      </items>
    </pivotField>
    <pivotField dataField="1" compact="0" numFmtId="164" outline="0" showAll="0">
      <items count="387">
        <item x="79"/>
        <item x="39"/>
        <item x="159"/>
        <item x="119"/>
        <item x="189"/>
        <item x="225"/>
        <item x="265"/>
        <item x="305"/>
        <item x="345"/>
        <item x="385"/>
        <item x="67"/>
        <item x="27"/>
        <item x="147"/>
        <item x="107"/>
        <item x="180"/>
        <item x="216"/>
        <item x="253"/>
        <item x="77"/>
        <item x="293"/>
        <item x="37"/>
        <item x="157"/>
        <item x="117"/>
        <item x="333"/>
        <item x="75"/>
        <item x="35"/>
        <item x="188"/>
        <item x="78"/>
        <item x="373"/>
        <item x="223"/>
        <item x="155"/>
        <item x="38"/>
        <item x="263"/>
        <item x="115"/>
        <item x="303"/>
        <item x="76"/>
        <item x="158"/>
        <item x="118"/>
        <item x="186"/>
        <item x="36"/>
        <item x="222"/>
        <item x="261"/>
        <item x="156"/>
        <item x="343"/>
        <item x="116"/>
        <item x="301"/>
        <item x="224"/>
        <item x="264"/>
        <item x="71"/>
        <item x="304"/>
        <item x="187"/>
        <item x="383"/>
        <item x="31"/>
        <item x="65"/>
        <item x="341"/>
        <item x="262"/>
        <item x="25"/>
        <item x="151"/>
        <item x="302"/>
        <item x="111"/>
        <item x="344"/>
        <item x="145"/>
        <item x="381"/>
        <item x="105"/>
        <item x="183"/>
        <item x="342"/>
        <item x="384"/>
        <item x="220"/>
        <item x="257"/>
        <item x="179"/>
        <item x="66"/>
        <item x="297"/>
        <item x="214"/>
        <item x="26"/>
        <item x="251"/>
        <item x="382"/>
        <item x="291"/>
        <item x="64"/>
        <item x="146"/>
        <item x="106"/>
        <item x="24"/>
        <item x="337"/>
        <item x="144"/>
        <item x="331"/>
        <item x="73"/>
        <item x="104"/>
        <item x="215"/>
        <item x="377"/>
        <item x="33"/>
        <item x="252"/>
        <item x="292"/>
        <item x="178"/>
        <item x="371"/>
        <item x="153"/>
        <item x="113"/>
        <item x="250"/>
        <item x="290"/>
        <item x="185"/>
        <item x="332"/>
        <item x="74"/>
        <item x="221"/>
        <item x="34"/>
        <item x="259"/>
        <item x="299"/>
        <item x="330"/>
        <item x="372"/>
        <item x="72"/>
        <item x="154"/>
        <item x="114"/>
        <item x="69"/>
        <item x="32"/>
        <item x="29"/>
        <item x="370"/>
        <item x="152"/>
        <item x="339"/>
        <item x="112"/>
        <item x="63"/>
        <item x="149"/>
        <item x="260"/>
        <item x="109"/>
        <item x="23"/>
        <item x="300"/>
        <item x="184"/>
        <item x="379"/>
        <item x="143"/>
        <item x="182"/>
        <item x="70"/>
        <item x="103"/>
        <item x="258"/>
        <item x="218"/>
        <item x="30"/>
        <item x="298"/>
        <item x="255"/>
        <item x="340"/>
        <item x="295"/>
        <item x="177"/>
        <item x="68"/>
        <item x="150"/>
        <item x="213"/>
        <item x="110"/>
        <item x="28"/>
        <item x="249"/>
        <item x="338"/>
        <item x="380"/>
        <item x="289"/>
        <item x="148"/>
        <item x="335"/>
        <item x="108"/>
        <item x="219"/>
        <item x="256"/>
        <item x="378"/>
        <item x="296"/>
        <item x="181"/>
        <item x="329"/>
        <item x="375"/>
        <item x="217"/>
        <item x="254"/>
        <item x="294"/>
        <item x="369"/>
        <item x="336"/>
        <item x="334"/>
        <item x="376"/>
        <item x="374"/>
        <item x="61"/>
        <item x="21"/>
        <item x="141"/>
        <item x="101"/>
        <item x="176"/>
        <item x="62"/>
        <item x="211"/>
        <item x="22"/>
        <item x="247"/>
        <item x="287"/>
        <item x="60"/>
        <item x="142"/>
        <item x="102"/>
        <item x="20"/>
        <item x="140"/>
        <item x="327"/>
        <item x="100"/>
        <item x="212"/>
        <item x="248"/>
        <item x="288"/>
        <item x="175"/>
        <item x="367"/>
        <item x="210"/>
        <item x="246"/>
        <item x="286"/>
        <item x="328"/>
        <item x="326"/>
        <item x="368"/>
        <item x="59"/>
        <item x="19"/>
        <item x="366"/>
        <item x="139"/>
        <item x="99"/>
        <item x="174"/>
        <item x="209"/>
        <item x="245"/>
        <item x="285"/>
        <item x="325"/>
        <item x="365"/>
        <item x="51"/>
        <item x="11"/>
        <item x="131"/>
        <item x="91"/>
        <item x="57"/>
        <item x="55"/>
        <item x="17"/>
        <item x="168"/>
        <item x="15"/>
        <item x="201"/>
        <item x="137"/>
        <item x="237"/>
        <item x="135"/>
        <item x="97"/>
        <item x="95"/>
        <item x="277"/>
        <item x="173"/>
        <item x="58"/>
        <item x="171"/>
        <item x="207"/>
        <item x="18"/>
        <item x="205"/>
        <item x="243"/>
        <item x="317"/>
        <item x="241"/>
        <item x="283"/>
        <item x="56"/>
        <item x="281"/>
        <item x="138"/>
        <item x="98"/>
        <item x="16"/>
        <item x="357"/>
        <item x="136"/>
        <item x="323"/>
        <item x="96"/>
        <item x="321"/>
        <item x="208"/>
        <item x="244"/>
        <item x="284"/>
        <item x="172"/>
        <item x="363"/>
        <item x="361"/>
        <item x="206"/>
        <item x="242"/>
        <item x="282"/>
        <item x="324"/>
        <item x="49"/>
        <item x="47"/>
        <item x="9"/>
        <item x="322"/>
        <item x="364"/>
        <item x="7"/>
        <item x="129"/>
        <item x="127"/>
        <item x="89"/>
        <item x="87"/>
        <item x="362"/>
        <item x="53"/>
        <item x="167"/>
        <item x="13"/>
        <item x="50"/>
        <item x="165"/>
        <item x="199"/>
        <item x="10"/>
        <item x="197"/>
        <item x="235"/>
        <item x="133"/>
        <item x="233"/>
        <item x="93"/>
        <item x="275"/>
        <item x="48"/>
        <item x="273"/>
        <item x="130"/>
        <item x="90"/>
        <item x="8"/>
        <item x="170"/>
        <item x="54"/>
        <item x="203"/>
        <item x="128"/>
        <item x="315"/>
        <item x="14"/>
        <item x="239"/>
        <item x="88"/>
        <item x="313"/>
        <item x="200"/>
        <item x="279"/>
        <item x="236"/>
        <item x="52"/>
        <item x="134"/>
        <item x="94"/>
        <item x="276"/>
        <item x="166"/>
        <item x="355"/>
        <item x="12"/>
        <item x="353"/>
        <item x="198"/>
        <item x="234"/>
        <item x="132"/>
        <item x="319"/>
        <item x="92"/>
        <item x="274"/>
        <item x="204"/>
        <item x="316"/>
        <item x="240"/>
        <item x="280"/>
        <item x="169"/>
        <item x="359"/>
        <item x="202"/>
        <item x="314"/>
        <item x="356"/>
        <item x="238"/>
        <item x="43"/>
        <item x="278"/>
        <item x="3"/>
        <item x="320"/>
        <item x="354"/>
        <item x="123"/>
        <item x="45"/>
        <item x="83"/>
        <item x="5"/>
        <item x="318"/>
        <item x="360"/>
        <item x="162"/>
        <item x="125"/>
        <item x="85"/>
        <item x="193"/>
        <item x="229"/>
        <item x="358"/>
        <item x="269"/>
        <item x="164"/>
        <item x="46"/>
        <item x="195"/>
        <item x="6"/>
        <item x="231"/>
        <item x="271"/>
        <item x="309"/>
        <item x="44"/>
        <item x="126"/>
        <item x="86"/>
        <item x="4"/>
        <item x="349"/>
        <item x="124"/>
        <item x="311"/>
        <item x="84"/>
        <item x="196"/>
        <item x="232"/>
        <item x="272"/>
        <item x="163"/>
        <item x="351"/>
        <item x="194"/>
        <item x="230"/>
        <item x="270"/>
        <item x="312"/>
        <item x="41"/>
        <item x="310"/>
        <item x="352"/>
        <item x="1"/>
        <item x="121"/>
        <item x="350"/>
        <item x="81"/>
        <item x="161"/>
        <item x="42"/>
        <item x="191"/>
        <item x="2"/>
        <item x="227"/>
        <item x="267"/>
        <item x="40"/>
        <item x="122"/>
        <item x="82"/>
        <item x="0"/>
        <item x="120"/>
        <item x="307"/>
        <item x="80"/>
        <item x="192"/>
        <item x="228"/>
        <item x="268"/>
        <item x="160"/>
        <item x="347"/>
        <item x="190"/>
        <item x="226"/>
        <item x="266"/>
        <item x="308"/>
        <item x="306"/>
        <item x="348"/>
        <item x="346"/>
        <item t="default"/>
      </items>
    </pivotField>
    <pivotField compact="0" numFmtId="164" outline="0" showAll="0">
      <items count="391">
        <item x="79"/>
        <item x="39"/>
        <item x="159"/>
        <item x="119"/>
        <item x="189"/>
        <item x="229"/>
        <item x="269"/>
        <item x="309"/>
        <item x="349"/>
        <item x="389"/>
        <item x="77"/>
        <item x="37"/>
        <item x="157"/>
        <item x="117"/>
        <item x="188"/>
        <item x="78"/>
        <item x="227"/>
        <item x="38"/>
        <item x="267"/>
        <item x="67"/>
        <item x="307"/>
        <item x="27"/>
        <item x="76"/>
        <item x="158"/>
        <item x="118"/>
        <item x="36"/>
        <item x="147"/>
        <item x="107"/>
        <item x="156"/>
        <item x="347"/>
        <item x="116"/>
        <item x="228"/>
        <item x="180"/>
        <item x="268"/>
        <item x="217"/>
        <item x="308"/>
        <item x="187"/>
        <item x="387"/>
        <item x="257"/>
        <item x="226"/>
        <item x="297"/>
        <item x="266"/>
        <item x="306"/>
        <item x="348"/>
        <item x="337"/>
        <item x="346"/>
        <item x="388"/>
        <item x="377"/>
        <item x="386"/>
        <item x="65"/>
        <item x="25"/>
        <item x="145"/>
        <item x="105"/>
        <item x="179"/>
        <item x="66"/>
        <item x="215"/>
        <item x="26"/>
        <item x="255"/>
        <item x="295"/>
        <item x="64"/>
        <item x="146"/>
        <item x="106"/>
        <item x="24"/>
        <item x="144"/>
        <item x="335"/>
        <item x="104"/>
        <item x="216"/>
        <item x="256"/>
        <item x="296"/>
        <item x="178"/>
        <item x="375"/>
        <item x="214"/>
        <item x="254"/>
        <item x="294"/>
        <item x="336"/>
        <item x="75"/>
        <item x="35"/>
        <item x="71"/>
        <item x="334"/>
        <item x="376"/>
        <item x="31"/>
        <item x="155"/>
        <item x="115"/>
        <item x="151"/>
        <item x="374"/>
        <item x="111"/>
        <item x="186"/>
        <item x="225"/>
        <item x="183"/>
        <item x="265"/>
        <item x="221"/>
        <item x="305"/>
        <item x="261"/>
        <item x="301"/>
        <item x="345"/>
        <item x="341"/>
        <item x="385"/>
        <item x="381"/>
        <item x="63"/>
        <item x="23"/>
        <item x="143"/>
        <item x="103"/>
        <item x="73"/>
        <item x="177"/>
        <item x="213"/>
        <item x="33"/>
        <item x="69"/>
        <item x="253"/>
        <item x="29"/>
        <item x="293"/>
        <item x="153"/>
        <item x="113"/>
        <item x="149"/>
        <item x="109"/>
        <item x="185"/>
        <item x="74"/>
        <item x="333"/>
        <item x="223"/>
        <item x="34"/>
        <item x="182"/>
        <item x="263"/>
        <item x="70"/>
        <item x="219"/>
        <item x="303"/>
        <item x="30"/>
        <item x="72"/>
        <item x="259"/>
        <item x="154"/>
        <item x="373"/>
        <item x="114"/>
        <item x="299"/>
        <item x="32"/>
        <item x="68"/>
        <item x="150"/>
        <item x="110"/>
        <item x="28"/>
        <item x="152"/>
        <item x="343"/>
        <item x="112"/>
        <item x="224"/>
        <item x="148"/>
        <item x="264"/>
        <item x="339"/>
        <item x="108"/>
        <item x="220"/>
        <item x="304"/>
        <item x="184"/>
        <item x="383"/>
        <item x="260"/>
        <item x="222"/>
        <item x="300"/>
        <item x="181"/>
        <item x="262"/>
        <item x="379"/>
        <item x="218"/>
        <item x="302"/>
        <item x="258"/>
        <item x="344"/>
        <item x="61"/>
        <item x="298"/>
        <item x="21"/>
        <item x="340"/>
        <item x="342"/>
        <item x="384"/>
        <item x="141"/>
        <item x="101"/>
        <item x="338"/>
        <item x="380"/>
        <item x="382"/>
        <item x="176"/>
        <item x="62"/>
        <item x="211"/>
        <item x="378"/>
        <item x="22"/>
        <item x="251"/>
        <item x="291"/>
        <item x="60"/>
        <item x="142"/>
        <item x="102"/>
        <item x="20"/>
        <item x="140"/>
        <item x="331"/>
        <item x="100"/>
        <item x="212"/>
        <item x="252"/>
        <item x="292"/>
        <item x="175"/>
        <item x="371"/>
        <item x="210"/>
        <item x="250"/>
        <item x="290"/>
        <item x="332"/>
        <item x="330"/>
        <item x="372"/>
        <item x="370"/>
        <item x="59"/>
        <item x="19"/>
        <item x="139"/>
        <item x="99"/>
        <item x="174"/>
        <item x="209"/>
        <item x="249"/>
        <item x="289"/>
        <item x="329"/>
        <item x="369"/>
        <item x="57"/>
        <item x="17"/>
        <item x="137"/>
        <item x="97"/>
        <item x="51"/>
        <item x="55"/>
        <item x="173"/>
        <item x="58"/>
        <item x="207"/>
        <item x="11"/>
        <item x="15"/>
        <item x="18"/>
        <item x="247"/>
        <item x="287"/>
        <item x="131"/>
        <item x="135"/>
        <item x="56"/>
        <item x="138"/>
        <item x="91"/>
        <item x="95"/>
        <item x="98"/>
        <item x="16"/>
        <item x="168"/>
        <item x="171"/>
        <item x="136"/>
        <item x="327"/>
        <item x="96"/>
        <item x="201"/>
        <item x="205"/>
        <item x="208"/>
        <item x="241"/>
        <item x="245"/>
        <item x="248"/>
        <item x="281"/>
        <item x="285"/>
        <item x="288"/>
        <item x="172"/>
        <item x="367"/>
        <item x="206"/>
        <item x="246"/>
        <item x="286"/>
        <item x="321"/>
        <item x="325"/>
        <item x="328"/>
        <item x="361"/>
        <item x="365"/>
        <item x="326"/>
        <item x="368"/>
        <item x="366"/>
        <item x="47"/>
        <item x="7"/>
        <item x="49"/>
        <item x="53"/>
        <item x="9"/>
        <item x="13"/>
        <item x="127"/>
        <item x="87"/>
        <item x="129"/>
        <item x="133"/>
        <item x="89"/>
        <item x="93"/>
        <item x="165"/>
        <item x="197"/>
        <item x="167"/>
        <item x="170"/>
        <item x="237"/>
        <item x="50"/>
        <item x="54"/>
        <item x="199"/>
        <item x="203"/>
        <item x="277"/>
        <item x="10"/>
        <item x="14"/>
        <item x="239"/>
        <item x="243"/>
        <item x="279"/>
        <item x="283"/>
        <item x="48"/>
        <item x="52"/>
        <item x="130"/>
        <item x="134"/>
        <item x="90"/>
        <item x="94"/>
        <item x="8"/>
        <item x="12"/>
        <item x="317"/>
        <item x="128"/>
        <item x="132"/>
        <item x="319"/>
        <item x="323"/>
        <item x="88"/>
        <item x="92"/>
        <item x="200"/>
        <item x="204"/>
        <item x="240"/>
        <item x="357"/>
        <item x="244"/>
        <item x="280"/>
        <item x="284"/>
        <item x="166"/>
        <item x="169"/>
        <item x="359"/>
        <item x="363"/>
        <item x="198"/>
        <item x="202"/>
        <item x="238"/>
        <item x="242"/>
        <item x="278"/>
        <item x="282"/>
        <item x="320"/>
        <item x="324"/>
        <item x="318"/>
        <item x="360"/>
        <item x="322"/>
        <item x="364"/>
        <item x="45"/>
        <item x="43"/>
        <item x="5"/>
        <item x="358"/>
        <item x="362"/>
        <item x="3"/>
        <item x="125"/>
        <item x="123"/>
        <item x="85"/>
        <item x="83"/>
        <item x="164"/>
        <item x="46"/>
        <item x="162"/>
        <item x="195"/>
        <item x="6"/>
        <item x="193"/>
        <item x="235"/>
        <item x="233"/>
        <item x="275"/>
        <item x="273"/>
        <item x="44"/>
        <item x="126"/>
        <item x="86"/>
        <item x="4"/>
        <item x="124"/>
        <item x="315"/>
        <item x="313"/>
        <item x="84"/>
        <item x="196"/>
        <item x="236"/>
        <item x="276"/>
        <item x="163"/>
        <item x="355"/>
        <item x="353"/>
        <item x="194"/>
        <item x="234"/>
        <item x="274"/>
        <item x="316"/>
        <item x="314"/>
        <item x="356"/>
        <item x="354"/>
        <item x="41"/>
        <item x="1"/>
        <item x="121"/>
        <item x="81"/>
        <item x="161"/>
        <item x="42"/>
        <item x="191"/>
        <item x="2"/>
        <item x="231"/>
        <item x="271"/>
        <item x="40"/>
        <item x="122"/>
        <item x="82"/>
        <item x="0"/>
        <item x="120"/>
        <item x="311"/>
        <item x="80"/>
        <item x="192"/>
        <item x="232"/>
        <item x="272"/>
        <item x="160"/>
        <item x="351"/>
        <item x="190"/>
        <item x="230"/>
        <item x="270"/>
        <item x="312"/>
        <item x="310"/>
        <item x="352"/>
        <item x="350"/>
        <item t="default"/>
      </items>
    </pivotField>
    <pivotField compact="0" numFmtId="10" outline="0" showAll="0">
      <items count="12">
        <item x="9"/>
        <item x="6"/>
        <item x="5"/>
        <item x="7"/>
        <item x="8"/>
        <item x="4"/>
        <item x="3"/>
        <item x="1"/>
        <item x="10"/>
        <item x="2"/>
        <item x="0"/>
        <item t="default"/>
      </items>
    </pivotField>
  </pivotFields>
  <rowFields count="1">
    <field x="3"/>
  </rowFields>
  <rowItems count="3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 t="grand">
      <x/>
    </i>
  </rowItems>
  <colItems count="1">
    <i/>
  </colItems>
  <dataFields count="1">
    <dataField name="Sum of Revenue" fld="5" baseField="0" baseItem="0" numFmtId="164"/>
  </dataFields>
  <formats count="13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" type="button" dataOnly="0" labelOnly="1" outline="0" axis="axisRow" fieldPosition="0"/>
    </format>
    <format dxfId="18">
      <pivotArea dataOnly="0" labelOnly="1" outline="0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">
      <pivotArea dataOnly="0" labelOnly="1" outline="0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">
      <pivotArea dataOnly="0" labelOnly="1" outline="0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">
      <pivotArea dataOnly="0" labelOnly="1" outline="0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">
      <pivotArea dataOnly="0" labelOnly="1" outline="0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3">
      <pivotArea dataOnly="0" labelOnly="1" outline="0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2">
      <pivotArea dataOnly="0" labelOnly="1" outline="0" fieldPosition="0">
        <references count="1">
          <reference field="3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1">
      <pivotArea dataOnly="0" labelOnly="1" outline="0" fieldPosition="0">
        <references count="1">
          <reference field="3" count="3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D12:F23" firstHeaderRow="0" firstDataRow="1" firstDataCol="1"/>
  <pivotFields count="8">
    <pivotField compact="0" numFmtId="14" outline="0" showAll="0"/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dataField="1" compact="0" numFmtId="3" outline="0" showAll="0">
      <items count="381">
        <item x="55"/>
        <item x="15"/>
        <item x="135"/>
        <item x="95"/>
        <item x="171"/>
        <item x="205"/>
        <item x="243"/>
        <item x="279"/>
        <item x="315"/>
        <item x="355"/>
        <item x="53"/>
        <item x="13"/>
        <item x="133"/>
        <item x="93"/>
        <item x="47"/>
        <item x="170"/>
        <item x="54"/>
        <item x="203"/>
        <item x="7"/>
        <item x="14"/>
        <item x="241"/>
        <item x="277"/>
        <item x="127"/>
        <item x="52"/>
        <item x="134"/>
        <item x="87"/>
        <item x="94"/>
        <item x="12"/>
        <item x="165"/>
        <item x="132"/>
        <item x="313"/>
        <item x="92"/>
        <item x="197"/>
        <item x="204"/>
        <item x="235"/>
        <item x="242"/>
        <item x="51"/>
        <item x="278"/>
        <item x="169"/>
        <item x="353"/>
        <item x="11"/>
        <item x="202"/>
        <item x="240"/>
        <item x="131"/>
        <item x="276"/>
        <item x="91"/>
        <item x="314"/>
        <item x="168"/>
        <item x="347"/>
        <item x="312"/>
        <item x="354"/>
        <item x="201"/>
        <item x="239"/>
        <item x="275"/>
        <item x="352"/>
        <item x="311"/>
        <item x="59"/>
        <item x="351"/>
        <item x="19"/>
        <item x="45"/>
        <item x="5"/>
        <item x="139"/>
        <item x="99"/>
        <item x="125"/>
        <item x="85"/>
        <item x="174"/>
        <item x="209"/>
        <item x="247"/>
        <item x="164"/>
        <item x="46"/>
        <item x="283"/>
        <item x="195"/>
        <item x="6"/>
        <item x="233"/>
        <item x="49"/>
        <item x="44"/>
        <item x="126"/>
        <item x="86"/>
        <item x="9"/>
        <item x="4"/>
        <item x="319"/>
        <item x="129"/>
        <item x="124"/>
        <item x="89"/>
        <item x="84"/>
        <item x="196"/>
        <item x="359"/>
        <item x="234"/>
        <item x="167"/>
        <item x="50"/>
        <item x="163"/>
        <item x="345"/>
        <item x="199"/>
        <item x="10"/>
        <item x="194"/>
        <item x="237"/>
        <item x="232"/>
        <item x="43"/>
        <item x="273"/>
        <item x="48"/>
        <item x="130"/>
        <item x="3"/>
        <item x="90"/>
        <item x="8"/>
        <item x="123"/>
        <item x="83"/>
        <item x="128"/>
        <item x="309"/>
        <item x="88"/>
        <item x="346"/>
        <item x="200"/>
        <item x="238"/>
        <item x="162"/>
        <item x="57"/>
        <item x="274"/>
        <item x="166"/>
        <item x="193"/>
        <item x="349"/>
        <item x="17"/>
        <item x="344"/>
        <item x="231"/>
        <item x="198"/>
        <item x="236"/>
        <item x="271"/>
        <item x="137"/>
        <item x="97"/>
        <item x="272"/>
        <item x="310"/>
        <item x="173"/>
        <item x="58"/>
        <item x="307"/>
        <item x="207"/>
        <item x="308"/>
        <item x="350"/>
        <item x="18"/>
        <item x="245"/>
        <item x="281"/>
        <item x="56"/>
        <item x="343"/>
        <item x="138"/>
        <item x="98"/>
        <item x="348"/>
        <item x="16"/>
        <item x="136"/>
        <item x="317"/>
        <item x="96"/>
        <item x="208"/>
        <item x="246"/>
        <item x="282"/>
        <item x="172"/>
        <item x="357"/>
        <item x="206"/>
        <item x="244"/>
        <item x="280"/>
        <item x="41"/>
        <item x="318"/>
        <item x="1"/>
        <item x="67"/>
        <item x="316"/>
        <item x="358"/>
        <item x="121"/>
        <item x="27"/>
        <item x="81"/>
        <item x="147"/>
        <item x="107"/>
        <item x="356"/>
        <item x="161"/>
        <item x="42"/>
        <item x="191"/>
        <item x="2"/>
        <item x="229"/>
        <item x="180"/>
        <item x="269"/>
        <item x="216"/>
        <item x="40"/>
        <item x="122"/>
        <item x="255"/>
        <item x="82"/>
        <item x="0"/>
        <item x="291"/>
        <item x="120"/>
        <item x="305"/>
        <item x="80"/>
        <item x="192"/>
        <item x="230"/>
        <item x="327"/>
        <item x="270"/>
        <item x="160"/>
        <item x="341"/>
        <item x="190"/>
        <item x="228"/>
        <item x="367"/>
        <item x="268"/>
        <item x="306"/>
        <item x="304"/>
        <item x="342"/>
        <item x="340"/>
        <item x="63"/>
        <item x="23"/>
        <item x="65"/>
        <item x="25"/>
        <item x="143"/>
        <item x="103"/>
        <item x="145"/>
        <item x="105"/>
        <item x="177"/>
        <item x="212"/>
        <item x="251"/>
        <item x="179"/>
        <item x="66"/>
        <item x="287"/>
        <item x="214"/>
        <item x="26"/>
        <item x="253"/>
        <item x="289"/>
        <item x="64"/>
        <item x="146"/>
        <item x="106"/>
        <item x="24"/>
        <item x="323"/>
        <item x="144"/>
        <item x="325"/>
        <item x="104"/>
        <item x="215"/>
        <item x="363"/>
        <item x="254"/>
        <item x="75"/>
        <item x="290"/>
        <item x="178"/>
        <item x="365"/>
        <item x="35"/>
        <item x="213"/>
        <item x="252"/>
        <item x="155"/>
        <item x="288"/>
        <item x="115"/>
        <item x="326"/>
        <item x="186"/>
        <item x="79"/>
        <item x="324"/>
        <item x="366"/>
        <item x="224"/>
        <item x="263"/>
        <item x="39"/>
        <item x="61"/>
        <item x="299"/>
        <item x="21"/>
        <item x="159"/>
        <item x="364"/>
        <item x="119"/>
        <item x="141"/>
        <item x="101"/>
        <item x="335"/>
        <item x="189"/>
        <item x="227"/>
        <item x="267"/>
        <item x="176"/>
        <item x="62"/>
        <item x="375"/>
        <item x="303"/>
        <item x="210"/>
        <item x="22"/>
        <item x="249"/>
        <item x="285"/>
        <item x="60"/>
        <item x="142"/>
        <item x="102"/>
        <item x="20"/>
        <item x="339"/>
        <item x="140"/>
        <item x="321"/>
        <item x="100"/>
        <item x="211"/>
        <item x="379"/>
        <item x="250"/>
        <item x="71"/>
        <item x="286"/>
        <item x="175"/>
        <item x="361"/>
        <item x="31"/>
        <item x="73"/>
        <item x="248"/>
        <item x="33"/>
        <item x="151"/>
        <item x="284"/>
        <item x="111"/>
        <item x="322"/>
        <item x="153"/>
        <item x="113"/>
        <item x="183"/>
        <item x="320"/>
        <item x="362"/>
        <item x="220"/>
        <item x="259"/>
        <item x="185"/>
        <item x="74"/>
        <item x="77"/>
        <item x="295"/>
        <item x="222"/>
        <item x="34"/>
        <item x="261"/>
        <item x="37"/>
        <item x="360"/>
        <item x="297"/>
        <item x="72"/>
        <item x="154"/>
        <item x="157"/>
        <item x="114"/>
        <item x="117"/>
        <item x="32"/>
        <item x="331"/>
        <item x="152"/>
        <item x="333"/>
        <item x="188"/>
        <item x="112"/>
        <item x="78"/>
        <item x="223"/>
        <item x="371"/>
        <item x="225"/>
        <item x="262"/>
        <item x="38"/>
        <item x="265"/>
        <item x="298"/>
        <item x="184"/>
        <item x="373"/>
        <item x="301"/>
        <item x="76"/>
        <item x="158"/>
        <item x="221"/>
        <item x="118"/>
        <item x="260"/>
        <item x="36"/>
        <item x="296"/>
        <item x="334"/>
        <item x="156"/>
        <item x="337"/>
        <item x="116"/>
        <item x="226"/>
        <item x="266"/>
        <item x="332"/>
        <item x="374"/>
        <item x="302"/>
        <item x="187"/>
        <item x="377"/>
        <item x="69"/>
        <item x="264"/>
        <item x="29"/>
        <item x="372"/>
        <item x="300"/>
        <item x="338"/>
        <item x="149"/>
        <item x="109"/>
        <item x="336"/>
        <item x="378"/>
        <item x="182"/>
        <item x="70"/>
        <item x="218"/>
        <item x="30"/>
        <item x="257"/>
        <item x="376"/>
        <item x="293"/>
        <item x="68"/>
        <item x="150"/>
        <item x="110"/>
        <item x="28"/>
        <item x="148"/>
        <item x="329"/>
        <item x="108"/>
        <item x="219"/>
        <item x="258"/>
        <item x="294"/>
        <item x="181"/>
        <item x="369"/>
        <item x="217"/>
        <item x="256"/>
        <item x="292"/>
        <item x="330"/>
        <item x="328"/>
        <item x="370"/>
        <item x="368"/>
        <item t="default"/>
      </items>
    </pivotField>
    <pivotField compact="0" numFmtId="164" outline="0" showAll="0"/>
    <pivotField dataField="1" compact="0" numFmtId="164" outline="0" showAll="0">
      <items count="387">
        <item x="79"/>
        <item x="39"/>
        <item x="159"/>
        <item x="119"/>
        <item x="189"/>
        <item x="225"/>
        <item x="265"/>
        <item x="305"/>
        <item x="345"/>
        <item x="385"/>
        <item x="67"/>
        <item x="27"/>
        <item x="147"/>
        <item x="107"/>
        <item x="180"/>
        <item x="216"/>
        <item x="253"/>
        <item x="77"/>
        <item x="293"/>
        <item x="37"/>
        <item x="157"/>
        <item x="117"/>
        <item x="333"/>
        <item x="75"/>
        <item x="35"/>
        <item x="188"/>
        <item x="78"/>
        <item x="373"/>
        <item x="223"/>
        <item x="155"/>
        <item x="38"/>
        <item x="263"/>
        <item x="115"/>
        <item x="303"/>
        <item x="76"/>
        <item x="158"/>
        <item x="118"/>
        <item x="186"/>
        <item x="36"/>
        <item x="222"/>
        <item x="261"/>
        <item x="156"/>
        <item x="343"/>
        <item x="116"/>
        <item x="301"/>
        <item x="224"/>
        <item x="264"/>
        <item x="71"/>
        <item x="304"/>
        <item x="187"/>
        <item x="383"/>
        <item x="31"/>
        <item x="65"/>
        <item x="341"/>
        <item x="262"/>
        <item x="25"/>
        <item x="151"/>
        <item x="302"/>
        <item x="111"/>
        <item x="344"/>
        <item x="145"/>
        <item x="381"/>
        <item x="105"/>
        <item x="183"/>
        <item x="342"/>
        <item x="384"/>
        <item x="220"/>
        <item x="257"/>
        <item x="179"/>
        <item x="66"/>
        <item x="297"/>
        <item x="214"/>
        <item x="26"/>
        <item x="251"/>
        <item x="382"/>
        <item x="291"/>
        <item x="64"/>
        <item x="146"/>
        <item x="106"/>
        <item x="24"/>
        <item x="337"/>
        <item x="144"/>
        <item x="331"/>
        <item x="73"/>
        <item x="104"/>
        <item x="215"/>
        <item x="377"/>
        <item x="33"/>
        <item x="252"/>
        <item x="292"/>
        <item x="178"/>
        <item x="371"/>
        <item x="153"/>
        <item x="113"/>
        <item x="250"/>
        <item x="290"/>
        <item x="185"/>
        <item x="332"/>
        <item x="74"/>
        <item x="221"/>
        <item x="34"/>
        <item x="259"/>
        <item x="299"/>
        <item x="330"/>
        <item x="372"/>
        <item x="72"/>
        <item x="154"/>
        <item x="114"/>
        <item x="69"/>
        <item x="32"/>
        <item x="29"/>
        <item x="370"/>
        <item x="152"/>
        <item x="339"/>
        <item x="112"/>
        <item x="63"/>
        <item x="149"/>
        <item x="260"/>
        <item x="109"/>
        <item x="23"/>
        <item x="300"/>
        <item x="184"/>
        <item x="379"/>
        <item x="143"/>
        <item x="182"/>
        <item x="70"/>
        <item x="103"/>
        <item x="258"/>
        <item x="218"/>
        <item x="30"/>
        <item x="298"/>
        <item x="255"/>
        <item x="340"/>
        <item x="295"/>
        <item x="177"/>
        <item x="68"/>
        <item x="150"/>
        <item x="213"/>
        <item x="110"/>
        <item x="28"/>
        <item x="249"/>
        <item x="338"/>
        <item x="380"/>
        <item x="289"/>
        <item x="148"/>
        <item x="335"/>
        <item x="108"/>
        <item x="219"/>
        <item x="256"/>
        <item x="378"/>
        <item x="296"/>
        <item x="181"/>
        <item x="329"/>
        <item x="375"/>
        <item x="217"/>
        <item x="254"/>
        <item x="294"/>
        <item x="369"/>
        <item x="336"/>
        <item x="334"/>
        <item x="376"/>
        <item x="374"/>
        <item x="61"/>
        <item x="21"/>
        <item x="141"/>
        <item x="101"/>
        <item x="176"/>
        <item x="62"/>
        <item x="211"/>
        <item x="22"/>
        <item x="247"/>
        <item x="287"/>
        <item x="60"/>
        <item x="142"/>
        <item x="102"/>
        <item x="20"/>
        <item x="140"/>
        <item x="327"/>
        <item x="100"/>
        <item x="212"/>
        <item x="248"/>
        <item x="288"/>
        <item x="175"/>
        <item x="367"/>
        <item x="210"/>
        <item x="246"/>
        <item x="286"/>
        <item x="328"/>
        <item x="326"/>
        <item x="368"/>
        <item x="59"/>
        <item x="19"/>
        <item x="366"/>
        <item x="139"/>
        <item x="99"/>
        <item x="174"/>
        <item x="209"/>
        <item x="245"/>
        <item x="285"/>
        <item x="325"/>
        <item x="365"/>
        <item x="51"/>
        <item x="11"/>
        <item x="131"/>
        <item x="91"/>
        <item x="57"/>
        <item x="55"/>
        <item x="17"/>
        <item x="168"/>
        <item x="15"/>
        <item x="201"/>
        <item x="137"/>
        <item x="237"/>
        <item x="135"/>
        <item x="97"/>
        <item x="95"/>
        <item x="277"/>
        <item x="173"/>
        <item x="58"/>
        <item x="171"/>
        <item x="207"/>
        <item x="18"/>
        <item x="205"/>
        <item x="243"/>
        <item x="317"/>
        <item x="241"/>
        <item x="283"/>
        <item x="56"/>
        <item x="281"/>
        <item x="138"/>
        <item x="98"/>
        <item x="16"/>
        <item x="357"/>
        <item x="136"/>
        <item x="323"/>
        <item x="96"/>
        <item x="321"/>
        <item x="208"/>
        <item x="244"/>
        <item x="284"/>
        <item x="172"/>
        <item x="363"/>
        <item x="361"/>
        <item x="206"/>
        <item x="242"/>
        <item x="282"/>
        <item x="324"/>
        <item x="49"/>
        <item x="47"/>
        <item x="9"/>
        <item x="322"/>
        <item x="364"/>
        <item x="7"/>
        <item x="129"/>
        <item x="127"/>
        <item x="89"/>
        <item x="87"/>
        <item x="362"/>
        <item x="53"/>
        <item x="167"/>
        <item x="13"/>
        <item x="50"/>
        <item x="165"/>
        <item x="199"/>
        <item x="10"/>
        <item x="197"/>
        <item x="235"/>
        <item x="133"/>
        <item x="233"/>
        <item x="93"/>
        <item x="275"/>
        <item x="48"/>
        <item x="273"/>
        <item x="130"/>
        <item x="90"/>
        <item x="8"/>
        <item x="170"/>
        <item x="54"/>
        <item x="203"/>
        <item x="128"/>
        <item x="315"/>
        <item x="14"/>
        <item x="239"/>
        <item x="88"/>
        <item x="313"/>
        <item x="200"/>
        <item x="279"/>
        <item x="236"/>
        <item x="52"/>
        <item x="134"/>
        <item x="94"/>
        <item x="276"/>
        <item x="166"/>
        <item x="355"/>
        <item x="12"/>
        <item x="353"/>
        <item x="198"/>
        <item x="234"/>
        <item x="132"/>
        <item x="319"/>
        <item x="92"/>
        <item x="274"/>
        <item x="204"/>
        <item x="316"/>
        <item x="240"/>
        <item x="280"/>
        <item x="169"/>
        <item x="359"/>
        <item x="202"/>
        <item x="314"/>
        <item x="356"/>
        <item x="238"/>
        <item x="43"/>
        <item x="278"/>
        <item x="3"/>
        <item x="320"/>
        <item x="354"/>
        <item x="123"/>
        <item x="45"/>
        <item x="83"/>
        <item x="5"/>
        <item x="318"/>
        <item x="360"/>
        <item x="162"/>
        <item x="125"/>
        <item x="85"/>
        <item x="193"/>
        <item x="229"/>
        <item x="358"/>
        <item x="269"/>
        <item x="164"/>
        <item x="46"/>
        <item x="195"/>
        <item x="6"/>
        <item x="231"/>
        <item x="271"/>
        <item x="309"/>
        <item x="44"/>
        <item x="126"/>
        <item x="86"/>
        <item x="4"/>
        <item x="349"/>
        <item x="124"/>
        <item x="311"/>
        <item x="84"/>
        <item x="196"/>
        <item x="232"/>
        <item x="272"/>
        <item x="163"/>
        <item x="351"/>
        <item x="194"/>
        <item x="230"/>
        <item x="270"/>
        <item x="312"/>
        <item x="41"/>
        <item x="310"/>
        <item x="352"/>
        <item x="1"/>
        <item x="121"/>
        <item x="350"/>
        <item x="81"/>
        <item x="161"/>
        <item x="42"/>
        <item x="191"/>
        <item x="2"/>
        <item x="227"/>
        <item x="267"/>
        <item x="40"/>
        <item x="122"/>
        <item x="82"/>
        <item x="0"/>
        <item x="120"/>
        <item x="307"/>
        <item x="80"/>
        <item x="192"/>
        <item x="228"/>
        <item x="268"/>
        <item x="160"/>
        <item x="347"/>
        <item x="190"/>
        <item x="226"/>
        <item x="266"/>
        <item x="308"/>
        <item x="306"/>
        <item x="348"/>
        <item x="346"/>
        <item t="default"/>
      </items>
    </pivotField>
    <pivotField compact="0" numFmtId="164" outline="0" showAll="0"/>
    <pivotField compact="0" numFmtId="1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 numFmtId="164"/>
    <dataField name="Sum of Units" fld="3" baseField="0" baseItem="0" numFmtId="3"/>
  </dataFields>
  <chartFormats count="46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2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5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" format="5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2" format="5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2" format="6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D4:E9" firstHeaderRow="1" firstDataRow="1" firstDataCol="1"/>
  <pivotFields count="8">
    <pivotField compact="0" numFmtId="14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numFmtId="3" outline="0" showAll="0">
      <items count="381">
        <item x="55"/>
        <item x="15"/>
        <item x="135"/>
        <item x="95"/>
        <item x="171"/>
        <item x="205"/>
        <item x="243"/>
        <item x="279"/>
        <item x="315"/>
        <item x="355"/>
        <item x="53"/>
        <item x="13"/>
        <item x="133"/>
        <item x="93"/>
        <item x="47"/>
        <item x="170"/>
        <item x="54"/>
        <item x="203"/>
        <item x="7"/>
        <item x="14"/>
        <item x="241"/>
        <item x="277"/>
        <item x="127"/>
        <item x="52"/>
        <item x="134"/>
        <item x="87"/>
        <item x="94"/>
        <item x="12"/>
        <item x="165"/>
        <item x="132"/>
        <item x="313"/>
        <item x="92"/>
        <item x="197"/>
        <item x="204"/>
        <item x="235"/>
        <item x="242"/>
        <item x="51"/>
        <item x="278"/>
        <item x="169"/>
        <item x="353"/>
        <item x="11"/>
        <item x="202"/>
        <item x="240"/>
        <item x="131"/>
        <item x="276"/>
        <item x="91"/>
        <item x="314"/>
        <item x="168"/>
        <item x="347"/>
        <item x="312"/>
        <item x="354"/>
        <item x="201"/>
        <item x="239"/>
        <item x="275"/>
        <item x="352"/>
        <item x="311"/>
        <item x="59"/>
        <item x="351"/>
        <item x="19"/>
        <item x="45"/>
        <item x="5"/>
        <item x="139"/>
        <item x="99"/>
        <item x="125"/>
        <item x="85"/>
        <item x="174"/>
        <item x="209"/>
        <item x="247"/>
        <item x="164"/>
        <item x="46"/>
        <item x="283"/>
        <item x="195"/>
        <item x="6"/>
        <item x="233"/>
        <item x="49"/>
        <item x="44"/>
        <item x="126"/>
        <item x="86"/>
        <item x="9"/>
        <item x="4"/>
        <item x="319"/>
        <item x="129"/>
        <item x="124"/>
        <item x="89"/>
        <item x="84"/>
        <item x="196"/>
        <item x="359"/>
        <item x="234"/>
        <item x="167"/>
        <item x="50"/>
        <item x="163"/>
        <item x="345"/>
        <item x="199"/>
        <item x="10"/>
        <item x="194"/>
        <item x="237"/>
        <item x="232"/>
        <item x="43"/>
        <item x="273"/>
        <item x="48"/>
        <item x="130"/>
        <item x="3"/>
        <item x="90"/>
        <item x="8"/>
        <item x="123"/>
        <item x="83"/>
        <item x="128"/>
        <item x="309"/>
        <item x="88"/>
        <item x="346"/>
        <item x="200"/>
        <item x="238"/>
        <item x="162"/>
        <item x="57"/>
        <item x="274"/>
        <item x="166"/>
        <item x="193"/>
        <item x="349"/>
        <item x="17"/>
        <item x="344"/>
        <item x="231"/>
        <item x="198"/>
        <item x="236"/>
        <item x="271"/>
        <item x="137"/>
        <item x="97"/>
        <item x="272"/>
        <item x="310"/>
        <item x="173"/>
        <item x="58"/>
        <item x="307"/>
        <item x="207"/>
        <item x="308"/>
        <item x="350"/>
        <item x="18"/>
        <item x="245"/>
        <item x="281"/>
        <item x="56"/>
        <item x="343"/>
        <item x="138"/>
        <item x="98"/>
        <item x="348"/>
        <item x="16"/>
        <item x="136"/>
        <item x="317"/>
        <item x="96"/>
        <item x="208"/>
        <item x="246"/>
        <item x="282"/>
        <item x="172"/>
        <item x="357"/>
        <item x="206"/>
        <item x="244"/>
        <item x="280"/>
        <item x="41"/>
        <item x="318"/>
        <item x="1"/>
        <item x="67"/>
        <item x="316"/>
        <item x="358"/>
        <item x="121"/>
        <item x="27"/>
        <item x="81"/>
        <item x="147"/>
        <item x="107"/>
        <item x="356"/>
        <item x="161"/>
        <item x="42"/>
        <item x="191"/>
        <item x="2"/>
        <item x="229"/>
        <item x="180"/>
        <item x="269"/>
        <item x="216"/>
        <item x="40"/>
        <item x="122"/>
        <item x="255"/>
        <item x="82"/>
        <item x="0"/>
        <item x="291"/>
        <item x="120"/>
        <item x="305"/>
        <item x="80"/>
        <item x="192"/>
        <item x="230"/>
        <item x="327"/>
        <item x="270"/>
        <item x="160"/>
        <item x="341"/>
        <item x="190"/>
        <item x="228"/>
        <item x="367"/>
        <item x="268"/>
        <item x="306"/>
        <item x="304"/>
        <item x="342"/>
        <item x="340"/>
        <item x="63"/>
        <item x="23"/>
        <item x="65"/>
        <item x="25"/>
        <item x="143"/>
        <item x="103"/>
        <item x="145"/>
        <item x="105"/>
        <item x="177"/>
        <item x="212"/>
        <item x="251"/>
        <item x="179"/>
        <item x="66"/>
        <item x="287"/>
        <item x="214"/>
        <item x="26"/>
        <item x="253"/>
        <item x="289"/>
        <item x="64"/>
        <item x="146"/>
        <item x="106"/>
        <item x="24"/>
        <item x="323"/>
        <item x="144"/>
        <item x="325"/>
        <item x="104"/>
        <item x="215"/>
        <item x="363"/>
        <item x="254"/>
        <item x="75"/>
        <item x="290"/>
        <item x="178"/>
        <item x="365"/>
        <item x="35"/>
        <item x="213"/>
        <item x="252"/>
        <item x="155"/>
        <item x="288"/>
        <item x="115"/>
        <item x="326"/>
        <item x="186"/>
        <item x="79"/>
        <item x="324"/>
        <item x="366"/>
        <item x="224"/>
        <item x="263"/>
        <item x="39"/>
        <item x="61"/>
        <item x="299"/>
        <item x="21"/>
        <item x="159"/>
        <item x="364"/>
        <item x="119"/>
        <item x="141"/>
        <item x="101"/>
        <item x="335"/>
        <item x="189"/>
        <item x="227"/>
        <item x="267"/>
        <item x="176"/>
        <item x="62"/>
        <item x="375"/>
        <item x="303"/>
        <item x="210"/>
        <item x="22"/>
        <item x="249"/>
        <item x="285"/>
        <item x="60"/>
        <item x="142"/>
        <item x="102"/>
        <item x="20"/>
        <item x="339"/>
        <item x="140"/>
        <item x="321"/>
        <item x="100"/>
        <item x="211"/>
        <item x="379"/>
        <item x="250"/>
        <item x="71"/>
        <item x="286"/>
        <item x="175"/>
        <item x="361"/>
        <item x="31"/>
        <item x="73"/>
        <item x="248"/>
        <item x="33"/>
        <item x="151"/>
        <item x="284"/>
        <item x="111"/>
        <item x="322"/>
        <item x="153"/>
        <item x="113"/>
        <item x="183"/>
        <item x="320"/>
        <item x="362"/>
        <item x="220"/>
        <item x="259"/>
        <item x="185"/>
        <item x="74"/>
        <item x="77"/>
        <item x="295"/>
        <item x="222"/>
        <item x="34"/>
        <item x="261"/>
        <item x="37"/>
        <item x="360"/>
        <item x="297"/>
        <item x="72"/>
        <item x="154"/>
        <item x="157"/>
        <item x="114"/>
        <item x="117"/>
        <item x="32"/>
        <item x="331"/>
        <item x="152"/>
        <item x="333"/>
        <item x="188"/>
        <item x="112"/>
        <item x="78"/>
        <item x="223"/>
        <item x="371"/>
        <item x="225"/>
        <item x="262"/>
        <item x="38"/>
        <item x="265"/>
        <item x="298"/>
        <item x="184"/>
        <item x="373"/>
        <item x="301"/>
        <item x="76"/>
        <item x="158"/>
        <item x="221"/>
        <item x="118"/>
        <item x="260"/>
        <item x="36"/>
        <item x="296"/>
        <item x="334"/>
        <item x="156"/>
        <item x="337"/>
        <item x="116"/>
        <item x="226"/>
        <item x="266"/>
        <item x="332"/>
        <item x="374"/>
        <item x="302"/>
        <item x="187"/>
        <item x="377"/>
        <item x="69"/>
        <item x="264"/>
        <item x="29"/>
        <item x="372"/>
        <item x="300"/>
        <item x="338"/>
        <item x="149"/>
        <item x="109"/>
        <item x="336"/>
        <item x="378"/>
        <item x="182"/>
        <item x="70"/>
        <item x="218"/>
        <item x="30"/>
        <item x="257"/>
        <item x="376"/>
        <item x="293"/>
        <item x="68"/>
        <item x="150"/>
        <item x="110"/>
        <item x="28"/>
        <item x="148"/>
        <item x="329"/>
        <item x="108"/>
        <item x="219"/>
        <item x="258"/>
        <item x="294"/>
        <item x="181"/>
        <item x="369"/>
        <item x="217"/>
        <item x="256"/>
        <item x="292"/>
        <item x="330"/>
        <item x="328"/>
        <item x="370"/>
        <item x="368"/>
        <item t="default"/>
      </items>
    </pivotField>
    <pivotField compact="0" numFmtId="164" outline="0" showAll="0"/>
    <pivotField dataField="1" compact="0" numFmtId="164" outline="0" showAll="0">
      <items count="387">
        <item x="79"/>
        <item x="39"/>
        <item x="159"/>
        <item x="119"/>
        <item x="189"/>
        <item x="225"/>
        <item x="265"/>
        <item x="305"/>
        <item x="345"/>
        <item x="385"/>
        <item x="67"/>
        <item x="27"/>
        <item x="147"/>
        <item x="107"/>
        <item x="180"/>
        <item x="216"/>
        <item x="253"/>
        <item x="77"/>
        <item x="293"/>
        <item x="37"/>
        <item x="157"/>
        <item x="117"/>
        <item x="333"/>
        <item x="75"/>
        <item x="35"/>
        <item x="188"/>
        <item x="78"/>
        <item x="373"/>
        <item x="223"/>
        <item x="155"/>
        <item x="38"/>
        <item x="263"/>
        <item x="115"/>
        <item x="303"/>
        <item x="76"/>
        <item x="158"/>
        <item x="118"/>
        <item x="186"/>
        <item x="36"/>
        <item x="222"/>
        <item x="261"/>
        <item x="156"/>
        <item x="343"/>
        <item x="116"/>
        <item x="301"/>
        <item x="224"/>
        <item x="264"/>
        <item x="71"/>
        <item x="304"/>
        <item x="187"/>
        <item x="383"/>
        <item x="31"/>
        <item x="65"/>
        <item x="341"/>
        <item x="262"/>
        <item x="25"/>
        <item x="151"/>
        <item x="302"/>
        <item x="111"/>
        <item x="344"/>
        <item x="145"/>
        <item x="381"/>
        <item x="105"/>
        <item x="183"/>
        <item x="342"/>
        <item x="384"/>
        <item x="220"/>
        <item x="257"/>
        <item x="179"/>
        <item x="66"/>
        <item x="297"/>
        <item x="214"/>
        <item x="26"/>
        <item x="251"/>
        <item x="382"/>
        <item x="291"/>
        <item x="64"/>
        <item x="146"/>
        <item x="106"/>
        <item x="24"/>
        <item x="337"/>
        <item x="144"/>
        <item x="331"/>
        <item x="73"/>
        <item x="104"/>
        <item x="215"/>
        <item x="377"/>
        <item x="33"/>
        <item x="252"/>
        <item x="292"/>
        <item x="178"/>
        <item x="371"/>
        <item x="153"/>
        <item x="113"/>
        <item x="250"/>
        <item x="290"/>
        <item x="185"/>
        <item x="332"/>
        <item x="74"/>
        <item x="221"/>
        <item x="34"/>
        <item x="259"/>
        <item x="299"/>
        <item x="330"/>
        <item x="372"/>
        <item x="72"/>
        <item x="154"/>
        <item x="114"/>
        <item x="69"/>
        <item x="32"/>
        <item x="29"/>
        <item x="370"/>
        <item x="152"/>
        <item x="339"/>
        <item x="112"/>
        <item x="63"/>
        <item x="149"/>
        <item x="260"/>
        <item x="109"/>
        <item x="23"/>
        <item x="300"/>
        <item x="184"/>
        <item x="379"/>
        <item x="143"/>
        <item x="182"/>
        <item x="70"/>
        <item x="103"/>
        <item x="258"/>
        <item x="218"/>
        <item x="30"/>
        <item x="298"/>
        <item x="255"/>
        <item x="340"/>
        <item x="295"/>
        <item x="177"/>
        <item x="68"/>
        <item x="150"/>
        <item x="213"/>
        <item x="110"/>
        <item x="28"/>
        <item x="249"/>
        <item x="338"/>
        <item x="380"/>
        <item x="289"/>
        <item x="148"/>
        <item x="335"/>
        <item x="108"/>
        <item x="219"/>
        <item x="256"/>
        <item x="378"/>
        <item x="296"/>
        <item x="181"/>
        <item x="329"/>
        <item x="375"/>
        <item x="217"/>
        <item x="254"/>
        <item x="294"/>
        <item x="369"/>
        <item x="336"/>
        <item x="334"/>
        <item x="376"/>
        <item x="374"/>
        <item x="61"/>
        <item x="21"/>
        <item x="141"/>
        <item x="101"/>
        <item x="176"/>
        <item x="62"/>
        <item x="211"/>
        <item x="22"/>
        <item x="247"/>
        <item x="287"/>
        <item x="60"/>
        <item x="142"/>
        <item x="102"/>
        <item x="20"/>
        <item x="140"/>
        <item x="327"/>
        <item x="100"/>
        <item x="212"/>
        <item x="248"/>
        <item x="288"/>
        <item x="175"/>
        <item x="367"/>
        <item x="210"/>
        <item x="246"/>
        <item x="286"/>
        <item x="328"/>
        <item x="326"/>
        <item x="368"/>
        <item x="59"/>
        <item x="19"/>
        <item x="366"/>
        <item x="139"/>
        <item x="99"/>
        <item x="174"/>
        <item x="209"/>
        <item x="245"/>
        <item x="285"/>
        <item x="325"/>
        <item x="365"/>
        <item x="51"/>
        <item x="11"/>
        <item x="131"/>
        <item x="91"/>
        <item x="57"/>
        <item x="55"/>
        <item x="17"/>
        <item x="168"/>
        <item x="15"/>
        <item x="201"/>
        <item x="137"/>
        <item x="237"/>
        <item x="135"/>
        <item x="97"/>
        <item x="95"/>
        <item x="277"/>
        <item x="173"/>
        <item x="58"/>
        <item x="171"/>
        <item x="207"/>
        <item x="18"/>
        <item x="205"/>
        <item x="243"/>
        <item x="317"/>
        <item x="241"/>
        <item x="283"/>
        <item x="56"/>
        <item x="281"/>
        <item x="138"/>
        <item x="98"/>
        <item x="16"/>
        <item x="357"/>
        <item x="136"/>
        <item x="323"/>
        <item x="96"/>
        <item x="321"/>
        <item x="208"/>
        <item x="244"/>
        <item x="284"/>
        <item x="172"/>
        <item x="363"/>
        <item x="361"/>
        <item x="206"/>
        <item x="242"/>
        <item x="282"/>
        <item x="324"/>
        <item x="49"/>
        <item x="47"/>
        <item x="9"/>
        <item x="322"/>
        <item x="364"/>
        <item x="7"/>
        <item x="129"/>
        <item x="127"/>
        <item x="89"/>
        <item x="87"/>
        <item x="362"/>
        <item x="53"/>
        <item x="167"/>
        <item x="13"/>
        <item x="50"/>
        <item x="165"/>
        <item x="199"/>
        <item x="10"/>
        <item x="197"/>
        <item x="235"/>
        <item x="133"/>
        <item x="233"/>
        <item x="93"/>
        <item x="275"/>
        <item x="48"/>
        <item x="273"/>
        <item x="130"/>
        <item x="90"/>
        <item x="8"/>
        <item x="170"/>
        <item x="54"/>
        <item x="203"/>
        <item x="128"/>
        <item x="315"/>
        <item x="14"/>
        <item x="239"/>
        <item x="88"/>
        <item x="313"/>
        <item x="200"/>
        <item x="279"/>
        <item x="236"/>
        <item x="52"/>
        <item x="134"/>
        <item x="94"/>
        <item x="276"/>
        <item x="166"/>
        <item x="355"/>
        <item x="12"/>
        <item x="353"/>
        <item x="198"/>
        <item x="234"/>
        <item x="132"/>
        <item x="319"/>
        <item x="92"/>
        <item x="274"/>
        <item x="204"/>
        <item x="316"/>
        <item x="240"/>
        <item x="280"/>
        <item x="169"/>
        <item x="359"/>
        <item x="202"/>
        <item x="314"/>
        <item x="356"/>
        <item x="238"/>
        <item x="43"/>
        <item x="278"/>
        <item x="3"/>
        <item x="320"/>
        <item x="354"/>
        <item x="123"/>
        <item x="45"/>
        <item x="83"/>
        <item x="5"/>
        <item x="318"/>
        <item x="360"/>
        <item x="162"/>
        <item x="125"/>
        <item x="85"/>
        <item x="193"/>
        <item x="229"/>
        <item x="358"/>
        <item x="269"/>
        <item x="164"/>
        <item x="46"/>
        <item x="195"/>
        <item x="6"/>
        <item x="231"/>
        <item x="271"/>
        <item x="309"/>
        <item x="44"/>
        <item x="126"/>
        <item x="86"/>
        <item x="4"/>
        <item x="349"/>
        <item x="124"/>
        <item x="311"/>
        <item x="84"/>
        <item x="196"/>
        <item x="232"/>
        <item x="272"/>
        <item x="163"/>
        <item x="351"/>
        <item x="194"/>
        <item x="230"/>
        <item x="270"/>
        <item x="312"/>
        <item x="41"/>
        <item x="310"/>
        <item x="352"/>
        <item x="1"/>
        <item x="121"/>
        <item x="350"/>
        <item x="81"/>
        <item x="161"/>
        <item x="42"/>
        <item x="191"/>
        <item x="2"/>
        <item x="227"/>
        <item x="267"/>
        <item x="40"/>
        <item x="122"/>
        <item x="82"/>
        <item x="0"/>
        <item x="120"/>
        <item x="307"/>
        <item x="80"/>
        <item x="192"/>
        <item x="228"/>
        <item x="268"/>
        <item x="160"/>
        <item x="347"/>
        <item x="190"/>
        <item x="226"/>
        <item x="266"/>
        <item x="308"/>
        <item x="306"/>
        <item x="348"/>
        <item x="346"/>
        <item t="default"/>
      </items>
    </pivotField>
    <pivotField compact="0" numFmtId="164" outline="0" showAll="0"/>
    <pivotField compact="0" numFmtId="1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 numFmtId="164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D26:E45" firstHeaderRow="1" firstDataRow="1" firstDataCol="1"/>
  <pivotFields count="8">
    <pivotField axis="axisRow" compact="0" numFmtId="14" outline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numFmtId="3" outline="0" showAll="0">
      <items count="381">
        <item x="55"/>
        <item x="15"/>
        <item x="135"/>
        <item x="95"/>
        <item x="171"/>
        <item x="205"/>
        <item x="243"/>
        <item x="279"/>
        <item x="315"/>
        <item x="355"/>
        <item x="53"/>
        <item x="13"/>
        <item x="133"/>
        <item x="93"/>
        <item x="47"/>
        <item x="170"/>
        <item x="54"/>
        <item x="203"/>
        <item x="7"/>
        <item x="14"/>
        <item x="241"/>
        <item x="277"/>
        <item x="127"/>
        <item x="52"/>
        <item x="134"/>
        <item x="87"/>
        <item x="94"/>
        <item x="12"/>
        <item x="165"/>
        <item x="132"/>
        <item x="313"/>
        <item x="92"/>
        <item x="197"/>
        <item x="204"/>
        <item x="235"/>
        <item x="242"/>
        <item x="51"/>
        <item x="278"/>
        <item x="169"/>
        <item x="353"/>
        <item x="11"/>
        <item x="202"/>
        <item x="240"/>
        <item x="131"/>
        <item x="276"/>
        <item x="91"/>
        <item x="314"/>
        <item x="168"/>
        <item x="347"/>
        <item x="312"/>
        <item x="354"/>
        <item x="201"/>
        <item x="239"/>
        <item x="275"/>
        <item x="352"/>
        <item x="311"/>
        <item x="59"/>
        <item x="351"/>
        <item x="19"/>
        <item x="45"/>
        <item x="5"/>
        <item x="139"/>
        <item x="99"/>
        <item x="125"/>
        <item x="85"/>
        <item x="174"/>
        <item x="209"/>
        <item x="247"/>
        <item x="164"/>
        <item x="46"/>
        <item x="283"/>
        <item x="195"/>
        <item x="6"/>
        <item x="233"/>
        <item x="49"/>
        <item x="44"/>
        <item x="126"/>
        <item x="86"/>
        <item x="9"/>
        <item x="4"/>
        <item x="319"/>
        <item x="129"/>
        <item x="124"/>
        <item x="89"/>
        <item x="84"/>
        <item x="196"/>
        <item x="359"/>
        <item x="234"/>
        <item x="167"/>
        <item x="50"/>
        <item x="163"/>
        <item x="345"/>
        <item x="199"/>
        <item x="10"/>
        <item x="194"/>
        <item x="237"/>
        <item x="232"/>
        <item x="43"/>
        <item x="273"/>
        <item x="48"/>
        <item x="130"/>
        <item x="3"/>
        <item x="90"/>
        <item x="8"/>
        <item x="123"/>
        <item x="83"/>
        <item x="128"/>
        <item x="309"/>
        <item x="88"/>
        <item x="346"/>
        <item x="200"/>
        <item x="238"/>
        <item x="162"/>
        <item x="57"/>
        <item x="274"/>
        <item x="166"/>
        <item x="193"/>
        <item x="349"/>
        <item x="17"/>
        <item x="344"/>
        <item x="231"/>
        <item x="198"/>
        <item x="236"/>
        <item x="271"/>
        <item x="137"/>
        <item x="97"/>
        <item x="272"/>
        <item x="310"/>
        <item x="173"/>
        <item x="58"/>
        <item x="307"/>
        <item x="207"/>
        <item x="308"/>
        <item x="350"/>
        <item x="18"/>
        <item x="245"/>
        <item x="281"/>
        <item x="56"/>
        <item x="343"/>
        <item x="138"/>
        <item x="98"/>
        <item x="348"/>
        <item x="16"/>
        <item x="136"/>
        <item x="317"/>
        <item x="96"/>
        <item x="208"/>
        <item x="246"/>
        <item x="282"/>
        <item x="172"/>
        <item x="357"/>
        <item x="206"/>
        <item x="244"/>
        <item x="280"/>
        <item x="41"/>
        <item x="318"/>
        <item x="1"/>
        <item x="67"/>
        <item x="316"/>
        <item x="358"/>
        <item x="121"/>
        <item x="27"/>
        <item x="81"/>
        <item x="147"/>
        <item x="107"/>
        <item x="356"/>
        <item x="161"/>
        <item x="42"/>
        <item x="191"/>
        <item x="2"/>
        <item x="229"/>
        <item x="180"/>
        <item x="269"/>
        <item x="216"/>
        <item x="40"/>
        <item x="122"/>
        <item x="255"/>
        <item x="82"/>
        <item x="0"/>
        <item x="291"/>
        <item x="120"/>
        <item x="305"/>
        <item x="80"/>
        <item x="192"/>
        <item x="230"/>
        <item x="327"/>
        <item x="270"/>
        <item x="160"/>
        <item x="341"/>
        <item x="190"/>
        <item x="228"/>
        <item x="367"/>
        <item x="268"/>
        <item x="306"/>
        <item x="304"/>
        <item x="342"/>
        <item x="340"/>
        <item x="63"/>
        <item x="23"/>
        <item x="65"/>
        <item x="25"/>
        <item x="143"/>
        <item x="103"/>
        <item x="145"/>
        <item x="105"/>
        <item x="177"/>
        <item x="212"/>
        <item x="251"/>
        <item x="179"/>
        <item x="66"/>
        <item x="287"/>
        <item x="214"/>
        <item x="26"/>
        <item x="253"/>
        <item x="289"/>
        <item x="64"/>
        <item x="146"/>
        <item x="106"/>
        <item x="24"/>
        <item x="323"/>
        <item x="144"/>
        <item x="325"/>
        <item x="104"/>
        <item x="215"/>
        <item x="363"/>
        <item x="254"/>
        <item x="75"/>
        <item x="290"/>
        <item x="178"/>
        <item x="365"/>
        <item x="35"/>
        <item x="213"/>
        <item x="252"/>
        <item x="155"/>
        <item x="288"/>
        <item x="115"/>
        <item x="326"/>
        <item x="186"/>
        <item x="79"/>
        <item x="324"/>
        <item x="366"/>
        <item x="224"/>
        <item x="263"/>
        <item x="39"/>
        <item x="61"/>
        <item x="299"/>
        <item x="21"/>
        <item x="159"/>
        <item x="364"/>
        <item x="119"/>
        <item x="141"/>
        <item x="101"/>
        <item x="335"/>
        <item x="189"/>
        <item x="227"/>
        <item x="267"/>
        <item x="176"/>
        <item x="62"/>
        <item x="375"/>
        <item x="303"/>
        <item x="210"/>
        <item x="22"/>
        <item x="249"/>
        <item x="285"/>
        <item x="60"/>
        <item x="142"/>
        <item x="102"/>
        <item x="20"/>
        <item x="339"/>
        <item x="140"/>
        <item x="321"/>
        <item x="100"/>
        <item x="211"/>
        <item x="379"/>
        <item x="250"/>
        <item x="71"/>
        <item x="286"/>
        <item x="175"/>
        <item x="361"/>
        <item x="31"/>
        <item x="73"/>
        <item x="248"/>
        <item x="33"/>
        <item x="151"/>
        <item x="284"/>
        <item x="111"/>
        <item x="322"/>
        <item x="153"/>
        <item x="113"/>
        <item x="183"/>
        <item x="320"/>
        <item x="362"/>
        <item x="220"/>
        <item x="259"/>
        <item x="185"/>
        <item x="74"/>
        <item x="77"/>
        <item x="295"/>
        <item x="222"/>
        <item x="34"/>
        <item x="261"/>
        <item x="37"/>
        <item x="360"/>
        <item x="297"/>
        <item x="72"/>
        <item x="154"/>
        <item x="157"/>
        <item x="114"/>
        <item x="117"/>
        <item x="32"/>
        <item x="331"/>
        <item x="152"/>
        <item x="333"/>
        <item x="188"/>
        <item x="112"/>
        <item x="78"/>
        <item x="223"/>
        <item x="371"/>
        <item x="225"/>
        <item x="262"/>
        <item x="38"/>
        <item x="265"/>
        <item x="298"/>
        <item x="184"/>
        <item x="373"/>
        <item x="301"/>
        <item x="76"/>
        <item x="158"/>
        <item x="221"/>
        <item x="118"/>
        <item x="260"/>
        <item x="36"/>
        <item x="296"/>
        <item x="334"/>
        <item x="156"/>
        <item x="337"/>
        <item x="116"/>
        <item x="226"/>
        <item x="266"/>
        <item x="332"/>
        <item x="374"/>
        <item x="302"/>
        <item x="187"/>
        <item x="377"/>
        <item x="69"/>
        <item x="264"/>
        <item x="29"/>
        <item x="372"/>
        <item x="300"/>
        <item x="338"/>
        <item x="149"/>
        <item x="109"/>
        <item x="336"/>
        <item x="378"/>
        <item x="182"/>
        <item x="70"/>
        <item x="218"/>
        <item x="30"/>
        <item x="257"/>
        <item x="376"/>
        <item x="293"/>
        <item x="68"/>
        <item x="150"/>
        <item x="110"/>
        <item x="28"/>
        <item x="148"/>
        <item x="329"/>
        <item x="108"/>
        <item x="219"/>
        <item x="258"/>
        <item x="294"/>
        <item x="181"/>
        <item x="369"/>
        <item x="217"/>
        <item x="256"/>
        <item x="292"/>
        <item x="330"/>
        <item x="328"/>
        <item x="370"/>
        <item x="368"/>
        <item t="default"/>
      </items>
    </pivotField>
    <pivotField compact="0" numFmtId="164" outline="0" showAll="0"/>
    <pivotField dataField="1" compact="0" numFmtId="164" outline="0" showAll="0">
      <items count="387">
        <item x="79"/>
        <item x="39"/>
        <item x="159"/>
        <item x="119"/>
        <item x="189"/>
        <item x="225"/>
        <item x="265"/>
        <item x="305"/>
        <item x="345"/>
        <item x="385"/>
        <item x="67"/>
        <item x="27"/>
        <item x="147"/>
        <item x="107"/>
        <item x="180"/>
        <item x="216"/>
        <item x="253"/>
        <item x="77"/>
        <item x="293"/>
        <item x="37"/>
        <item x="157"/>
        <item x="117"/>
        <item x="333"/>
        <item x="75"/>
        <item x="35"/>
        <item x="188"/>
        <item x="78"/>
        <item x="373"/>
        <item x="223"/>
        <item x="155"/>
        <item x="38"/>
        <item x="263"/>
        <item x="115"/>
        <item x="303"/>
        <item x="76"/>
        <item x="158"/>
        <item x="118"/>
        <item x="186"/>
        <item x="36"/>
        <item x="222"/>
        <item x="261"/>
        <item x="156"/>
        <item x="343"/>
        <item x="116"/>
        <item x="301"/>
        <item x="224"/>
        <item x="264"/>
        <item x="71"/>
        <item x="304"/>
        <item x="187"/>
        <item x="383"/>
        <item x="31"/>
        <item x="65"/>
        <item x="341"/>
        <item x="262"/>
        <item x="25"/>
        <item x="151"/>
        <item x="302"/>
        <item x="111"/>
        <item x="344"/>
        <item x="145"/>
        <item x="381"/>
        <item x="105"/>
        <item x="183"/>
        <item x="342"/>
        <item x="384"/>
        <item x="220"/>
        <item x="257"/>
        <item x="179"/>
        <item x="66"/>
        <item x="297"/>
        <item x="214"/>
        <item x="26"/>
        <item x="251"/>
        <item x="382"/>
        <item x="291"/>
        <item x="64"/>
        <item x="146"/>
        <item x="106"/>
        <item x="24"/>
        <item x="337"/>
        <item x="144"/>
        <item x="331"/>
        <item x="73"/>
        <item x="104"/>
        <item x="215"/>
        <item x="377"/>
        <item x="33"/>
        <item x="252"/>
        <item x="292"/>
        <item x="178"/>
        <item x="371"/>
        <item x="153"/>
        <item x="113"/>
        <item x="250"/>
        <item x="290"/>
        <item x="185"/>
        <item x="332"/>
        <item x="74"/>
        <item x="221"/>
        <item x="34"/>
        <item x="259"/>
        <item x="299"/>
        <item x="330"/>
        <item x="372"/>
        <item x="72"/>
        <item x="154"/>
        <item x="114"/>
        <item x="69"/>
        <item x="32"/>
        <item x="29"/>
        <item x="370"/>
        <item x="152"/>
        <item x="339"/>
        <item x="112"/>
        <item x="63"/>
        <item x="149"/>
        <item x="260"/>
        <item x="109"/>
        <item x="23"/>
        <item x="300"/>
        <item x="184"/>
        <item x="379"/>
        <item x="143"/>
        <item x="182"/>
        <item x="70"/>
        <item x="103"/>
        <item x="258"/>
        <item x="218"/>
        <item x="30"/>
        <item x="298"/>
        <item x="255"/>
        <item x="340"/>
        <item x="295"/>
        <item x="177"/>
        <item x="68"/>
        <item x="150"/>
        <item x="213"/>
        <item x="110"/>
        <item x="28"/>
        <item x="249"/>
        <item x="338"/>
        <item x="380"/>
        <item x="289"/>
        <item x="148"/>
        <item x="335"/>
        <item x="108"/>
        <item x="219"/>
        <item x="256"/>
        <item x="378"/>
        <item x="296"/>
        <item x="181"/>
        <item x="329"/>
        <item x="375"/>
        <item x="217"/>
        <item x="254"/>
        <item x="294"/>
        <item x="369"/>
        <item x="336"/>
        <item x="334"/>
        <item x="376"/>
        <item x="374"/>
        <item x="61"/>
        <item x="21"/>
        <item x="141"/>
        <item x="101"/>
        <item x="176"/>
        <item x="62"/>
        <item x="211"/>
        <item x="22"/>
        <item x="247"/>
        <item x="287"/>
        <item x="60"/>
        <item x="142"/>
        <item x="102"/>
        <item x="20"/>
        <item x="140"/>
        <item x="327"/>
        <item x="100"/>
        <item x="212"/>
        <item x="248"/>
        <item x="288"/>
        <item x="175"/>
        <item x="367"/>
        <item x="210"/>
        <item x="246"/>
        <item x="286"/>
        <item x="328"/>
        <item x="326"/>
        <item x="368"/>
        <item x="59"/>
        <item x="19"/>
        <item x="366"/>
        <item x="139"/>
        <item x="99"/>
        <item x="174"/>
        <item x="209"/>
        <item x="245"/>
        <item x="285"/>
        <item x="325"/>
        <item x="365"/>
        <item x="51"/>
        <item x="11"/>
        <item x="131"/>
        <item x="91"/>
        <item x="57"/>
        <item x="55"/>
        <item x="17"/>
        <item x="168"/>
        <item x="15"/>
        <item x="201"/>
        <item x="137"/>
        <item x="237"/>
        <item x="135"/>
        <item x="97"/>
        <item x="95"/>
        <item x="277"/>
        <item x="173"/>
        <item x="58"/>
        <item x="171"/>
        <item x="207"/>
        <item x="18"/>
        <item x="205"/>
        <item x="243"/>
        <item x="317"/>
        <item x="241"/>
        <item x="283"/>
        <item x="56"/>
        <item x="281"/>
        <item x="138"/>
        <item x="98"/>
        <item x="16"/>
        <item x="357"/>
        <item x="136"/>
        <item x="323"/>
        <item x="96"/>
        <item x="321"/>
        <item x="208"/>
        <item x="244"/>
        <item x="284"/>
        <item x="172"/>
        <item x="363"/>
        <item x="361"/>
        <item x="206"/>
        <item x="242"/>
        <item x="282"/>
        <item x="324"/>
        <item x="49"/>
        <item x="47"/>
        <item x="9"/>
        <item x="322"/>
        <item x="364"/>
        <item x="7"/>
        <item x="129"/>
        <item x="127"/>
        <item x="89"/>
        <item x="87"/>
        <item x="362"/>
        <item x="53"/>
        <item x="167"/>
        <item x="13"/>
        <item x="50"/>
        <item x="165"/>
        <item x="199"/>
        <item x="10"/>
        <item x="197"/>
        <item x="235"/>
        <item x="133"/>
        <item x="233"/>
        <item x="93"/>
        <item x="275"/>
        <item x="48"/>
        <item x="273"/>
        <item x="130"/>
        <item x="90"/>
        <item x="8"/>
        <item x="170"/>
        <item x="54"/>
        <item x="203"/>
        <item x="128"/>
        <item x="315"/>
        <item x="14"/>
        <item x="239"/>
        <item x="88"/>
        <item x="313"/>
        <item x="200"/>
        <item x="279"/>
        <item x="236"/>
        <item x="52"/>
        <item x="134"/>
        <item x="94"/>
        <item x="276"/>
        <item x="166"/>
        <item x="355"/>
        <item x="12"/>
        <item x="353"/>
        <item x="198"/>
        <item x="234"/>
        <item x="132"/>
        <item x="319"/>
        <item x="92"/>
        <item x="274"/>
        <item x="204"/>
        <item x="316"/>
        <item x="240"/>
        <item x="280"/>
        <item x="169"/>
        <item x="359"/>
        <item x="202"/>
        <item x="314"/>
        <item x="356"/>
        <item x="238"/>
        <item x="43"/>
        <item x="278"/>
        <item x="3"/>
        <item x="320"/>
        <item x="354"/>
        <item x="123"/>
        <item x="45"/>
        <item x="83"/>
        <item x="5"/>
        <item x="318"/>
        <item x="360"/>
        <item x="162"/>
        <item x="125"/>
        <item x="85"/>
        <item x="193"/>
        <item x="229"/>
        <item x="358"/>
        <item x="269"/>
        <item x="164"/>
        <item x="46"/>
        <item x="195"/>
        <item x="6"/>
        <item x="231"/>
        <item x="271"/>
        <item x="309"/>
        <item x="44"/>
        <item x="126"/>
        <item x="86"/>
        <item x="4"/>
        <item x="349"/>
        <item x="124"/>
        <item x="311"/>
        <item x="84"/>
        <item x="196"/>
        <item x="232"/>
        <item x="272"/>
        <item x="163"/>
        <item x="351"/>
        <item x="194"/>
        <item x="230"/>
        <item x="270"/>
        <item x="312"/>
        <item x="41"/>
        <item x="310"/>
        <item x="352"/>
        <item x="1"/>
        <item x="121"/>
        <item x="350"/>
        <item x="81"/>
        <item x="161"/>
        <item x="42"/>
        <item x="191"/>
        <item x="2"/>
        <item x="227"/>
        <item x="267"/>
        <item x="40"/>
        <item x="122"/>
        <item x="82"/>
        <item x="0"/>
        <item x="120"/>
        <item x="307"/>
        <item x="80"/>
        <item x="192"/>
        <item x="228"/>
        <item x="268"/>
        <item x="160"/>
        <item x="347"/>
        <item x="190"/>
        <item x="226"/>
        <item x="266"/>
        <item x="308"/>
        <item x="306"/>
        <item x="348"/>
        <item x="346"/>
        <item t="default"/>
      </items>
    </pivotField>
    <pivotField compact="0" numFmtId="164" outline="0" showAll="0"/>
    <pivotField compact="0" numFmtId="10" outline="0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Revenue" fld="5" baseField="0" baseItem="0" numFmtId="164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Units" xr10:uid="{E4C4F1DD-B162-40C9-AB19-3872AB2BBECA}" sourceName="Units">
  <pivotTables>
    <pivotTable tabId="15" name="PivotTable2"/>
    <pivotTable tabId="15" name="PivotTable3"/>
    <pivotTable tabId="15" name="PivotTable4"/>
    <pivotTable tabId="15" name="PivotTable5"/>
  </pivotTables>
  <data>
    <tabular pivotCacheId="1631607275">
      <items count="380">
        <i x="55" s="1"/>
        <i x="15" s="1"/>
        <i x="135" s="1"/>
        <i x="95" s="1"/>
        <i x="171" s="1"/>
        <i x="205" s="1"/>
        <i x="243" s="1"/>
        <i x="279" s="1"/>
        <i x="315" s="1"/>
        <i x="355" s="1"/>
        <i x="53" s="1"/>
        <i x="13" s="1"/>
        <i x="133" s="1"/>
        <i x="93" s="1"/>
        <i x="47" s="1"/>
        <i x="170" s="1"/>
        <i x="54" s="1"/>
        <i x="203" s="1"/>
        <i x="7" s="1"/>
        <i x="14" s="1"/>
        <i x="241" s="1"/>
        <i x="277" s="1"/>
        <i x="127" s="1"/>
        <i x="52" s="1"/>
        <i x="134" s="1"/>
        <i x="87" s="1"/>
        <i x="94" s="1"/>
        <i x="12" s="1"/>
        <i x="165" s="1"/>
        <i x="132" s="1"/>
        <i x="313" s="1"/>
        <i x="92" s="1"/>
        <i x="197" s="1"/>
        <i x="204" s="1"/>
        <i x="235" s="1"/>
        <i x="242" s="1"/>
        <i x="51" s="1"/>
        <i x="278" s="1"/>
        <i x="169" s="1"/>
        <i x="353" s="1"/>
        <i x="11" s="1"/>
        <i x="202" s="1"/>
        <i x="240" s="1"/>
        <i x="131" s="1"/>
        <i x="276" s="1"/>
        <i x="91" s="1"/>
        <i x="314" s="1"/>
        <i x="168" s="1"/>
        <i x="347" s="1"/>
        <i x="312" s="1"/>
        <i x="354" s="1"/>
        <i x="201" s="1"/>
        <i x="239" s="1"/>
        <i x="275" s="1"/>
        <i x="352" s="1"/>
        <i x="311" s="1"/>
        <i x="59" s="1"/>
        <i x="351" s="1"/>
        <i x="19" s="1"/>
        <i x="45" s="1"/>
        <i x="5" s="1"/>
        <i x="139" s="1"/>
        <i x="99" s="1"/>
        <i x="125" s="1"/>
        <i x="85" s="1"/>
        <i x="174" s="1"/>
        <i x="209" s="1"/>
        <i x="247" s="1"/>
        <i x="164" s="1"/>
        <i x="46" s="1"/>
        <i x="283" s="1"/>
        <i x="195" s="1"/>
        <i x="6" s="1"/>
        <i x="233" s="1"/>
        <i x="49" s="1"/>
        <i x="44" s="1"/>
        <i x="126" s="1"/>
        <i x="86" s="1"/>
        <i x="9" s="1"/>
        <i x="4" s="1"/>
        <i x="319" s="1"/>
        <i x="129" s="1"/>
        <i x="124" s="1"/>
        <i x="89" s="1"/>
        <i x="84" s="1"/>
        <i x="196" s="1"/>
        <i x="359" s="1"/>
        <i x="234" s="1"/>
        <i x="167" s="1"/>
        <i x="50" s="1"/>
        <i x="163" s="1"/>
        <i x="345" s="1"/>
        <i x="199" s="1"/>
        <i x="10" s="1"/>
        <i x="194" s="1"/>
        <i x="237" s="1"/>
        <i x="232" s="1"/>
        <i x="43" s="1"/>
        <i x="273" s="1"/>
        <i x="48" s="1"/>
        <i x="130" s="1"/>
        <i x="3" s="1"/>
        <i x="90" s="1"/>
        <i x="8" s="1"/>
        <i x="123" s="1"/>
        <i x="83" s="1"/>
        <i x="128" s="1"/>
        <i x="309" s="1"/>
        <i x="88" s="1"/>
        <i x="346" s="1"/>
        <i x="200" s="1"/>
        <i x="238" s="1"/>
        <i x="162" s="1"/>
        <i x="57" s="1"/>
        <i x="274" s="1"/>
        <i x="166" s="1"/>
        <i x="193" s="1"/>
        <i x="349" s="1"/>
        <i x="17" s="1"/>
        <i x="344" s="1"/>
        <i x="231" s="1"/>
        <i x="198" s="1"/>
        <i x="236" s="1"/>
        <i x="271" s="1"/>
        <i x="137" s="1"/>
        <i x="97" s="1"/>
        <i x="272" s="1"/>
        <i x="310" s="1"/>
        <i x="173" s="1"/>
        <i x="58" s="1"/>
        <i x="307" s="1"/>
        <i x="207" s="1"/>
        <i x="308" s="1"/>
        <i x="350" s="1"/>
        <i x="18" s="1"/>
        <i x="245" s="1"/>
        <i x="281" s="1"/>
        <i x="56" s="1"/>
        <i x="343" s="1"/>
        <i x="138" s="1"/>
        <i x="98" s="1"/>
        <i x="348" s="1"/>
        <i x="16" s="1"/>
        <i x="136" s="1"/>
        <i x="317" s="1"/>
        <i x="96" s="1"/>
        <i x="208" s="1"/>
        <i x="246" s="1"/>
        <i x="282" s="1"/>
        <i x="172" s="1"/>
        <i x="357" s="1"/>
        <i x="206" s="1"/>
        <i x="244" s="1"/>
        <i x="280" s="1"/>
        <i x="41" s="1"/>
        <i x="318" s="1"/>
        <i x="1" s="1"/>
        <i x="67" s="1"/>
        <i x="316" s="1"/>
        <i x="358" s="1"/>
        <i x="121" s="1"/>
        <i x="27" s="1"/>
        <i x="81" s="1"/>
        <i x="147" s="1"/>
        <i x="107" s="1"/>
        <i x="356" s="1"/>
        <i x="161" s="1"/>
        <i x="42" s="1"/>
        <i x="191" s="1"/>
        <i x="2" s="1"/>
        <i x="229" s="1"/>
        <i x="180" s="1"/>
        <i x="269" s="1"/>
        <i x="216" s="1"/>
        <i x="40" s="1"/>
        <i x="122" s="1"/>
        <i x="255" s="1"/>
        <i x="82" s="1"/>
        <i x="0" s="1"/>
        <i x="291" s="1"/>
        <i x="120" s="1"/>
        <i x="305" s="1"/>
        <i x="80" s="1"/>
        <i x="192" s="1"/>
        <i x="230" s="1"/>
        <i x="327" s="1"/>
        <i x="270" s="1"/>
        <i x="160" s="1"/>
        <i x="341" s="1"/>
        <i x="190" s="1"/>
        <i x="228" s="1"/>
        <i x="367" s="1"/>
        <i x="268" s="1"/>
        <i x="306" s="1"/>
        <i x="304" s="1"/>
        <i x="342" s="1"/>
        <i x="340" s="1"/>
        <i x="63" s="1"/>
        <i x="23" s="1"/>
        <i x="65" s="1"/>
        <i x="25" s="1"/>
        <i x="143" s="1"/>
        <i x="103" s="1"/>
        <i x="145" s="1"/>
        <i x="105" s="1"/>
        <i x="177" s="1"/>
        <i x="212" s="1"/>
        <i x="251" s="1"/>
        <i x="179" s="1"/>
        <i x="66" s="1"/>
        <i x="287" s="1"/>
        <i x="214" s="1"/>
        <i x="26" s="1"/>
        <i x="253" s="1"/>
        <i x="289" s="1"/>
        <i x="64" s="1"/>
        <i x="146" s="1"/>
        <i x="106" s="1"/>
        <i x="24" s="1"/>
        <i x="323" s="1"/>
        <i x="144" s="1"/>
        <i x="325" s="1"/>
        <i x="104" s="1"/>
        <i x="215" s="1"/>
        <i x="363" s="1"/>
        <i x="254" s="1"/>
        <i x="75" s="1"/>
        <i x="290" s="1"/>
        <i x="178" s="1"/>
        <i x="365" s="1"/>
        <i x="35" s="1"/>
        <i x="213" s="1"/>
        <i x="252" s="1"/>
        <i x="155" s="1"/>
        <i x="288" s="1"/>
        <i x="115" s="1"/>
        <i x="326" s="1"/>
        <i x="186" s="1"/>
        <i x="79" s="1"/>
        <i x="324" s="1"/>
        <i x="366" s="1"/>
        <i x="224" s="1"/>
        <i x="263" s="1"/>
        <i x="39" s="1"/>
        <i x="61" s="1"/>
        <i x="299" s="1"/>
        <i x="21" s="1"/>
        <i x="159" s="1"/>
        <i x="364" s="1"/>
        <i x="119" s="1"/>
        <i x="141" s="1"/>
        <i x="101" s="1"/>
        <i x="335" s="1"/>
        <i x="189" s="1"/>
        <i x="227" s="1"/>
        <i x="267" s="1"/>
        <i x="176" s="1"/>
        <i x="62" s="1"/>
        <i x="375" s="1"/>
        <i x="303" s="1"/>
        <i x="210" s="1"/>
        <i x="22" s="1"/>
        <i x="249" s="1"/>
        <i x="285" s="1"/>
        <i x="60" s="1"/>
        <i x="142" s="1"/>
        <i x="102" s="1"/>
        <i x="20" s="1"/>
        <i x="339" s="1"/>
        <i x="140" s="1"/>
        <i x="321" s="1"/>
        <i x="100" s="1"/>
        <i x="211" s="1"/>
        <i x="379" s="1"/>
        <i x="250" s="1"/>
        <i x="71" s="1"/>
        <i x="286" s="1"/>
        <i x="175" s="1"/>
        <i x="361" s="1"/>
        <i x="31" s="1"/>
        <i x="73" s="1"/>
        <i x="248" s="1"/>
        <i x="33" s="1"/>
        <i x="151" s="1"/>
        <i x="284" s="1"/>
        <i x="111" s="1"/>
        <i x="322" s="1"/>
        <i x="153" s="1"/>
        <i x="113" s="1"/>
        <i x="183" s="1"/>
        <i x="320" s="1"/>
        <i x="362" s="1"/>
        <i x="220" s="1"/>
        <i x="259" s="1"/>
        <i x="185" s="1"/>
        <i x="74" s="1"/>
        <i x="77" s="1"/>
        <i x="295" s="1"/>
        <i x="222" s="1"/>
        <i x="34" s="1"/>
        <i x="261" s="1"/>
        <i x="37" s="1"/>
        <i x="360" s="1"/>
        <i x="297" s="1"/>
        <i x="72" s="1"/>
        <i x="154" s="1"/>
        <i x="157" s="1"/>
        <i x="114" s="1"/>
        <i x="117" s="1"/>
        <i x="32" s="1"/>
        <i x="331" s="1"/>
        <i x="152" s="1"/>
        <i x="333" s="1"/>
        <i x="188" s="1"/>
        <i x="112" s="1"/>
        <i x="78" s="1"/>
        <i x="223" s="1"/>
        <i x="371" s="1"/>
        <i x="225" s="1"/>
        <i x="262" s="1"/>
        <i x="38" s="1"/>
        <i x="265" s="1"/>
        <i x="298" s="1"/>
        <i x="184" s="1"/>
        <i x="373" s="1"/>
        <i x="301" s="1"/>
        <i x="76" s="1"/>
        <i x="158" s="1"/>
        <i x="221" s="1"/>
        <i x="118" s="1"/>
        <i x="260" s="1"/>
        <i x="36" s="1"/>
        <i x="296" s="1"/>
        <i x="334" s="1"/>
        <i x="156" s="1"/>
        <i x="337" s="1"/>
        <i x="116" s="1"/>
        <i x="226" s="1"/>
        <i x="266" s="1"/>
        <i x="332" s="1"/>
        <i x="374" s="1"/>
        <i x="302" s="1"/>
        <i x="187" s="1"/>
        <i x="377" s="1"/>
        <i x="69" s="1"/>
        <i x="264" s="1"/>
        <i x="29" s="1"/>
        <i x="372" s="1"/>
        <i x="300" s="1"/>
        <i x="338" s="1"/>
        <i x="149" s="1"/>
        <i x="109" s="1"/>
        <i x="336" s="1"/>
        <i x="378" s="1"/>
        <i x="182" s="1"/>
        <i x="70" s="1"/>
        <i x="218" s="1"/>
        <i x="30" s="1"/>
        <i x="257" s="1"/>
        <i x="376" s="1"/>
        <i x="293" s="1"/>
        <i x="68" s="1"/>
        <i x="150" s="1"/>
        <i x="110" s="1"/>
        <i x="28" s="1"/>
        <i x="148" s="1"/>
        <i x="329" s="1"/>
        <i x="108" s="1"/>
        <i x="219" s="1"/>
        <i x="258" s="1"/>
        <i x="294" s="1"/>
        <i x="181" s="1"/>
        <i x="369" s="1"/>
        <i x="217" s="1"/>
        <i x="256" s="1"/>
        <i x="292" s="1"/>
        <i x="330" s="1"/>
        <i x="328" s="1"/>
        <i x="370" s="1"/>
        <i x="36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ID" xr10:uid="{932FBCFD-8B70-40EE-BD53-9CFB189AB532}" sourceName="RegionID">
  <pivotTables>
    <pivotTable tabId="15" name="PivotTable4"/>
    <pivotTable tabId="15" name="PivotTable2"/>
    <pivotTable tabId="15" name="PivotTable5"/>
    <pivotTable tabId="15" name="PivotTable3"/>
  </pivotTables>
  <data>
    <tabular pivotCacheId="1631607275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ts" xr10:uid="{0FBEE6ED-AC0F-4A72-95FD-5CA90B1FD9D2}" cache="Slicer_Units" caption="BusinessUnits" rowHeight="228600"/>
  <slicer name="RegionID" xr10:uid="{9086A128-4186-48B3-B1E4-897ED5A47B13}" cache="Slicer_RegionID" caption="RegionID" rowHeight="228600"/>
</slicers>
</file>

<file path=xl/tables/table1.xml><?xml version="1.0" encoding="utf-8"?>
<table xmlns="http://schemas.openxmlformats.org/spreadsheetml/2006/main" id="1" name="tblRevenueAssumptions" displayName="tblRevenueAssumptions" ref="A3:C6" totalsRowShown="0" headerRowDxfId="125">
  <autoFilter ref="A3:C6"/>
  <tableColumns count="3">
    <tableColumn id="1" name="Business Unit" dataDxfId="124"/>
    <tableColumn id="2" name="Volume Growth" dataDxfId="123"/>
    <tableColumn id="3" name="Price Growth" dataDxfId="1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blOpexAssumptions" displayName="tblOpexAssumptions" ref="A10:B18" totalsRowShown="0" headerRowDxfId="121">
  <autoFilter ref="A10:B18"/>
  <tableColumns count="2">
    <tableColumn id="1" name="Department" dataDxfId="120"/>
    <tableColumn id="2" name="Budget Growth" dataDxfId="1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6" name="tblHeadcountAssumptions" displayName="tblHeadcountAssumptions" ref="A22:B30" totalsRowShown="0" headerRowDxfId="118">
  <autoFilter ref="A22:B30"/>
  <tableColumns count="2">
    <tableColumn id="1" name="Department" dataDxfId="117"/>
    <tableColumn id="2" name="Headcount Growth" dataDxfId="11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2" name="tblRevenueGrowthAssumptions" displayName="tblRevenueGrowthAssumptions" ref="A34:B37" totalsRowShown="0" headerRowDxfId="115" dataDxfId="114">
  <autoFilter ref="A34:B37"/>
  <tableColumns count="2">
    <tableColumn id="1" name="Scenario" dataDxfId="113"/>
    <tableColumn id="2" name="Revenue Growth Adjustment" dataDxfId="11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" name="tblActualRevenue" displayName="tblActualRevenue" ref="A1:H721" totalsRowShown="0" headerRowDxfId="111" dataDxfId="110">
  <autoFilter ref="A1:H721"/>
  <tableColumns count="8">
    <tableColumn id="1" name="MonthStart" dataDxfId="109"/>
    <tableColumn id="2" name="ProductID" dataDxfId="108"/>
    <tableColumn id="3" name="RegionID" dataDxfId="107"/>
    <tableColumn id="4" name="Units" dataDxfId="106"/>
    <tableColumn id="5" name="ASP" dataDxfId="105"/>
    <tableColumn id="6" name="Revenue" dataDxfId="104"/>
    <tableColumn id="7" name="COGS" dataDxfId="103"/>
    <tableColumn id="9" name="COGS RATE" dataDxfId="102">
      <calculatedColumnFormula>G2/F2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3" name="tblActualOpex" displayName="tblActualOpex" ref="A1:E577" totalsRowShown="0" headerRowDxfId="101">
  <autoFilter ref="A1:E577"/>
  <tableColumns count="5">
    <tableColumn id="1" name="MonthStart" dataDxfId="100"/>
    <tableColumn id="2" name="DepartmentID" dataDxfId="99"/>
    <tableColumn id="5" name="DepartmentName" dataDxfId="98"/>
    <tableColumn id="3" name="ExpenseCategoryID" dataDxfId="97"/>
    <tableColumn id="4" name="Amount" dataDxfId="9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5" name="tblActualHeadcount" displayName="tblActualHeadcount" ref="A1:D145" totalsRowShown="0" headerRowDxfId="95" dataDxfId="94">
  <autoFilter ref="A1:D145"/>
  <tableColumns count="4">
    <tableColumn id="1" name="MonthStart" dataDxfId="93"/>
    <tableColumn id="2" name="DepartmentID" dataDxfId="92"/>
    <tableColumn id="3" name="Headcount" dataDxfId="91"/>
    <tableColumn id="4" name="AverageMonthlySalary" dataDxfId="9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7" name="tblBudgetRevenue" displayName="tblBudgetRevenue" ref="A1:J721" totalsRowShown="0" headerRowDxfId="89" dataDxfId="88">
  <autoFilter ref="A1:J721"/>
  <tableColumns count="10">
    <tableColumn id="1" name="Month" dataDxfId="87">
      <calculatedColumnFormula>'02_Actual_Revenue'!A2</calculatedColumnFormula>
    </tableColumn>
    <tableColumn id="2" name="ProductID" dataDxfId="86">
      <calculatedColumnFormula>'02_Actual_Revenue'!B2</calculatedColumnFormula>
    </tableColumn>
    <tableColumn id="3" name="RegionID" dataDxfId="85">
      <calculatedColumnFormula>'02_Actual_Revenue'!C2</calculatedColumnFormula>
    </tableColumn>
    <tableColumn id="4" name="BusinessUnit" dataDxfId="84">
      <calculatedColumnFormula>'02_Actual_Revenue'!D2</calculatedColumnFormula>
    </tableColumn>
    <tableColumn id="5" name="Budget Units" dataDxfId="83">
      <calculatedColumnFormula>D2*(1+_xlfn.XLOOKUP("Digital Services",'01_Assumptions'!$A$4:$A$6,'01_Assumptions'!$B$4:$B$6))</calculatedColumnFormula>
    </tableColumn>
    <tableColumn id="6" name="Budget ASP" dataDxfId="82">
      <calculatedColumnFormula>'02_Actual_Revenue'!E2*(1+_xlfn.XLOOKUP("Digital Services",'01_Assumptions'!$A$4:$A$6,'01_Assumptions'!$C$4:$C$6))</calculatedColumnFormula>
    </tableColumn>
    <tableColumn id="7" name="Budget Revenue" dataDxfId="81">
      <calculatedColumnFormula>E2*F2</calculatedColumnFormula>
    </tableColumn>
    <tableColumn id="8" name="Budget COGS" dataDxfId="80">
      <calculatedColumnFormula>G2*'02_Actual_Revenue'!H2</calculatedColumnFormula>
    </tableColumn>
    <tableColumn id="9" name="Budget Gross Profit" dataDxfId="79">
      <calculatedColumnFormula>G2-H2</calculatedColumnFormula>
    </tableColumn>
    <tableColumn id="10" name="Budget Gross Margin" dataDxfId="78">
      <calculatedColumnFormula>I2/G2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8" name="tblBudgetOpex" displayName="tblBudgetOpex" ref="A730:F1306" totalsRowShown="0" headerRowDxfId="77" dataDxfId="76">
  <autoFilter ref="A730:F1306"/>
  <tableColumns count="6">
    <tableColumn id="1" name="MonthStart" dataDxfId="75">
      <calculatedColumnFormula>'03_Actual_Opex'!A2</calculatedColumnFormula>
    </tableColumn>
    <tableColumn id="2" name="DepartmentID" dataDxfId="74">
      <calculatedColumnFormula>'03_Actual_Opex'!B2</calculatedColumnFormula>
    </tableColumn>
    <tableColumn id="3" name="DepartmentName" dataDxfId="73">
      <calculatedColumnFormula>'03_Actual_Opex'!C2</calculatedColumnFormula>
    </tableColumn>
    <tableColumn id="4" name="ExpenseCategoryID" dataDxfId="72">
      <calculatedColumnFormula>'03_Actual_Opex'!D2</calculatedColumnFormula>
    </tableColumn>
    <tableColumn id="5" name="2025 Actual Opex" dataDxfId="71">
      <calculatedColumnFormula>'03_Actual_Opex'!E2</calculatedColumnFormula>
    </tableColumn>
    <tableColumn id="6" name="2026 Budget Opex" dataDxfId="70">
      <calculatedColumnFormula>E731*(1+_xlfn.XLOOKUP("Facilities",'01_Assumptions'!$A$11:$A$18,'01_Assumptions'!$B$11:$B$18))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9" name="tblBudgetHeadcount" displayName="tblBudgetHeadcount" ref="A1312:F1456" totalsRowShown="0" dataDxfId="69">
  <autoFilter ref="A1312:F1456"/>
  <tableColumns count="6">
    <tableColumn id="1" name="MonthStart" dataDxfId="68">
      <calculatedColumnFormula>'04_Actual_Headcount'!A2</calculatedColumnFormula>
    </tableColumn>
    <tableColumn id="2" name="DepartmentID" dataDxfId="67">
      <calculatedColumnFormula>'04_Actual_Headcount'!B2</calculatedColumnFormula>
    </tableColumn>
    <tableColumn id="3" name="DepartmentName" dataDxfId="66"/>
    <tableColumn id="4" name="Headcount" dataDxfId="65">
      <calculatedColumnFormula>'04_Actual_Headcount'!C2</calculatedColumnFormula>
    </tableColumn>
    <tableColumn id="5" name="2025 Actual Headcount" dataDxfId="64">
      <calculatedColumnFormula>'04_Actual_Headcount'!D2</calculatedColumnFormula>
    </tableColumn>
    <tableColumn id="6" name="Budget Headcount" dataDxfId="6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3" name="tblForecast" displayName="tblForecast" ref="A3:F10" totalsRowShown="0" headerRowDxfId="62" dataDxfId="61">
  <autoFilter ref="A3:F10"/>
  <tableColumns count="6">
    <tableColumn id="1" name="$M"/>
    <tableColumn id="2" name="Budget" dataDxfId="60"/>
    <tableColumn id="3" name="YTD Actual" dataDxfId="59"/>
    <tableColumn id="4" name="Forecast Remaining" dataDxfId="58"/>
    <tableColumn id="5" name="FY Forecast" dataDxfId="57"/>
    <tableColumn id="6" name="Variance" dataDxfId="56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0" name="tblPnL" displayName="tblPnL" ref="A3:B10" totalsRowShown="0" headerRowDxfId="55">
  <autoFilter ref="A3:B10"/>
  <tableColumns count="2">
    <tableColumn id="1" name="$M"/>
    <tableColumn id="2" name="2026 Budget" dataDxfId="5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1" name="tblVariance" displayName="tblVariance" ref="A1:H91" totalsRowShown="0" dataDxfId="51">
  <autoFilter ref="A1:H91"/>
  <tableColumns count="8">
    <tableColumn id="1" name="Month" dataDxfId="50"/>
    <tableColumn id="2" name="Category" dataDxfId="49"/>
    <tableColumn id="3" name="Actual" dataDxfId="48"/>
    <tableColumn id="4" name="Budget" dataDxfId="47"/>
    <tableColumn id="5" name="Variance $" dataDxfId="46">
      <calculatedColumnFormula>C2-D2</calculatedColumnFormula>
    </tableColumn>
    <tableColumn id="6" name="Variance %" dataDxfId="45">
      <calculatedColumnFormula>IFERROR(E2/D2, 0)</calculatedColumnFormula>
    </tableColumn>
    <tableColumn id="7" name="Status" dataDxfId="44">
      <calculatedColumnFormula>IF(OR(B2="COGS", B2="Operating Expenses"), IF(E2&lt;=0, "Favorable", "Unfavorable"), IF(E2&gt;=0, "Favorable", "Unfavorable"))</calculatedColumnFormula>
    </tableColumn>
    <tableColumn id="8" name="Materiality">
      <calculatedColumnFormula>IF(OR(ABS(F2)&gt;=0.05, ABS(E2)&gt;=5000000), "Material", "Not Material")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blScenarios" displayName="tblScenarios" ref="A1:D6" totalsRowShown="0" headerRowDxfId="43" dataDxfId="42">
  <autoFilter ref="A1:D6"/>
  <tableColumns count="4">
    <tableColumn id="1" name="$M" dataDxfId="41"/>
    <tableColumn id="2" name="Downside" dataDxfId="40"/>
    <tableColumn id="3" name="Base" dataDxfId="39"/>
    <tableColumn id="4" name="Upside" dataDxfId="38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blManagementSummary" displayName="tblManagementSummary" ref="A3:B11" totalsRowShown="0">
  <autoFilter ref="A3:B11"/>
  <tableColumns count="2">
    <tableColumn id="1" name="$M"/>
    <tableColumn id="2" name="#" dataDxfId="37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blLookupAndErrorHandling" displayName="tblLookupAndErrorHandling" ref="A3:E7" totalsRowShown="0" headerRowDxfId="30" dataDxfId="29">
  <autoFilter ref="A3:E7"/>
  <tableColumns count="5">
    <tableColumn id="1" name="Product ID" dataDxfId="28"/>
    <tableColumn id="2" name="Region ID" dataDxfId="27">
      <calculatedColumnFormula>_xlfn.IFNA(INDEX('02_Actual_Revenue'!$C:$C, MATCH(A4, '02_Actual_Revenue'!$B:$B, 0)), "Not Found")</calculatedColumnFormula>
    </tableColumn>
    <tableColumn id="3" name="Business Unit" dataDxfId="26">
      <calculatedColumnFormula>_xlfn.IFNA(INDEX('02_Actual_Revenue'!$D:$D, MATCH(A4, '02_Actual_Revenue'!$B:$B, 0)), "Not Found")</calculatedColumnFormula>
    </tableColumn>
    <tableColumn id="4" name="Revenue Model" dataDxfId="25">
      <calculatedColumnFormula>_xlfn.IFNA(INDEX('02_Actual_Revenue'!$G:$G, MATCH(A4, '02_Actual_Revenue'!$B:$B, 0)), "Not Found")</calculatedColumnFormula>
    </tableColumn>
    <tableColumn id="5" name="Lookup Status" dataDxfId="24">
      <calculatedColumnFormula>_xlfn.IFNA(IF(ISNUMBER(MATCH(A4, '02_Actual_Revenue'!$B:$B, 0)), "Valid", "Invalid Product ID"), "Invalid Product ID")</calculatedColumnFormula>
    </tableColumn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20" name="tblScenarioAndWhatIfAnalysis2" displayName="tblScenarioAndWhatIfAnalysis2" ref="A11:B17" totalsRowShown="0" headerRowDxfId="8">
  <autoFilter ref="A11:B17"/>
  <tableColumns count="2">
    <tableColumn id="1" name="Metric" dataDxfId="7"/>
    <tableColumn id="2" name="Value" dataDxfId="6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21" name="tblScenarioAndWhatIfAnalysis1" displayName="tblScenarioAndWhatIfAnalysis1" ref="A3:D6" totalsRowShown="0" headerRowDxfId="5">
  <autoFilter ref="A3:D6"/>
  <tableColumns count="4">
    <tableColumn id="1" name="Scenario"/>
    <tableColumn id="2" name="Downside"/>
    <tableColumn id="3" name="Revenue Adjustment" dataDxfId="4"/>
    <tableColumn id="4" name="Opex Adjustment" dataDxfId="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blModelControlAndExceptionFlags" displayName="tblModelControlAndExceptionFlags" ref="A3:B8" totalsRowShown="0" headerRowDxfId="0">
  <autoFilter ref="A3:B8"/>
  <tableColumns count="2">
    <tableColumn id="1" name="Control"/>
    <tableColumn id="2" name="Resu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2" t="s">
        <v>0</v>
      </c>
    </row>
    <row r="3" spans="1:2">
      <c r="B3" t="s">
        <v>1</v>
      </c>
    </row>
    <row r="5" spans="1:2">
      <c r="A5" s="2" t="s">
        <v>2</v>
      </c>
    </row>
    <row r="7" spans="1:2">
      <c r="B7" s="1">
        <v>46203</v>
      </c>
    </row>
    <row r="9" spans="1:2">
      <c r="A9" s="2" t="s">
        <v>3</v>
      </c>
    </row>
    <row r="11" spans="1:2">
      <c r="B11" t="s">
        <v>4</v>
      </c>
    </row>
    <row r="13" spans="1:2">
      <c r="A13" s="2" t="s">
        <v>5</v>
      </c>
    </row>
    <row r="15" spans="1:2">
      <c r="B15" t="s">
        <v>6</v>
      </c>
    </row>
    <row r="17" spans="1:2">
      <c r="A17" s="2" t="s">
        <v>7</v>
      </c>
    </row>
    <row r="19" spans="1:2">
      <c r="B19" t="s">
        <v>8</v>
      </c>
    </row>
    <row r="21" spans="1:2">
      <c r="A21" s="2" t="s">
        <v>9</v>
      </c>
    </row>
    <row r="23" spans="1:2">
      <c r="B23" t="s">
        <v>10</v>
      </c>
    </row>
    <row r="25" spans="1:2">
      <c r="A25" s="2" t="s">
        <v>11</v>
      </c>
    </row>
    <row r="27" spans="1:2">
      <c r="B2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cols>
    <col min="1" max="1" width="28.5703125" style="3" customWidth="1"/>
    <col min="2" max="2" width="30" style="3" customWidth="1"/>
    <col min="3" max="3" width="28.5703125" style="3" customWidth="1"/>
  </cols>
  <sheetData>
    <row r="1" spans="1:3">
      <c r="A1" s="6" t="s">
        <v>13</v>
      </c>
    </row>
    <row r="3" spans="1:3">
      <c r="A3" s="3" t="s">
        <v>14</v>
      </c>
      <c r="B3" s="3" t="s">
        <v>15</v>
      </c>
      <c r="C3" s="3" t="s">
        <v>16</v>
      </c>
    </row>
    <row r="4" spans="1:3">
      <c r="A4" s="3" t="s">
        <v>17</v>
      </c>
      <c r="B4" s="4">
        <v>0.06</v>
      </c>
      <c r="C4" s="4">
        <v>0.02</v>
      </c>
    </row>
    <row r="5" spans="1:3">
      <c r="A5" s="3" t="s">
        <v>18</v>
      </c>
      <c r="B5" s="4">
        <v>0.1</v>
      </c>
      <c r="C5" s="4">
        <v>0.03</v>
      </c>
    </row>
    <row r="6" spans="1:3">
      <c r="A6" s="3" t="s">
        <v>19</v>
      </c>
      <c r="B6" s="4">
        <v>0.08</v>
      </c>
      <c r="C6" s="4">
        <v>0.02</v>
      </c>
    </row>
    <row r="8" spans="1:3">
      <c r="A8" s="6" t="s">
        <v>20</v>
      </c>
    </row>
    <row r="10" spans="1:3">
      <c r="A10" s="3" t="s">
        <v>21</v>
      </c>
      <c r="B10" s="3" t="s">
        <v>22</v>
      </c>
    </row>
    <row r="11" spans="1:3">
      <c r="A11" s="3" t="s">
        <v>23</v>
      </c>
      <c r="B11" s="4">
        <v>0.06</v>
      </c>
    </row>
    <row r="12" spans="1:3">
      <c r="A12" s="3" t="s">
        <v>24</v>
      </c>
      <c r="B12" s="4">
        <v>7.0000000000000007E-2</v>
      </c>
    </row>
    <row r="13" spans="1:3">
      <c r="A13" s="3" t="s">
        <v>25</v>
      </c>
      <c r="B13" s="4">
        <v>0.09</v>
      </c>
    </row>
    <row r="14" spans="1:3">
      <c r="A14" s="3" t="s">
        <v>26</v>
      </c>
      <c r="B14" s="4">
        <v>0.05</v>
      </c>
    </row>
    <row r="15" spans="1:3">
      <c r="A15" s="3" t="s">
        <v>27</v>
      </c>
      <c r="B15" s="4">
        <v>0.08</v>
      </c>
    </row>
    <row r="16" spans="1:3">
      <c r="A16" s="3" t="s">
        <v>28</v>
      </c>
      <c r="B16" s="4">
        <v>0.06</v>
      </c>
    </row>
    <row r="17" spans="1:2">
      <c r="A17" s="3" t="s">
        <v>29</v>
      </c>
      <c r="B17" s="4">
        <v>0.05</v>
      </c>
    </row>
    <row r="18" spans="1:2">
      <c r="A18" s="3" t="s">
        <v>30</v>
      </c>
      <c r="B18" s="4">
        <v>0.05</v>
      </c>
    </row>
    <row r="20" spans="1:2">
      <c r="A20" s="6" t="s">
        <v>31</v>
      </c>
    </row>
    <row r="22" spans="1:2">
      <c r="A22" s="3" t="s">
        <v>21</v>
      </c>
      <c r="B22" s="3" t="s">
        <v>32</v>
      </c>
    </row>
    <row r="23" spans="1:2">
      <c r="A23" s="3" t="s">
        <v>23</v>
      </c>
      <c r="B23" s="4">
        <v>0.05</v>
      </c>
    </row>
    <row r="24" spans="1:2">
      <c r="A24" s="3" t="s">
        <v>24</v>
      </c>
      <c r="B24" s="4">
        <v>0.06</v>
      </c>
    </row>
    <row r="25" spans="1:2">
      <c r="A25" s="3" t="s">
        <v>25</v>
      </c>
      <c r="B25" s="4">
        <v>0.08</v>
      </c>
    </row>
    <row r="26" spans="1:2">
      <c r="A26" s="3" t="s">
        <v>26</v>
      </c>
      <c r="B26" s="4">
        <v>0.03</v>
      </c>
    </row>
    <row r="27" spans="1:2">
      <c r="A27" s="3" t="s">
        <v>27</v>
      </c>
      <c r="B27" s="4">
        <v>7.0000000000000007E-2</v>
      </c>
    </row>
    <row r="28" spans="1:2">
      <c r="A28" s="3" t="s">
        <v>28</v>
      </c>
      <c r="B28" s="4">
        <v>0.05</v>
      </c>
    </row>
    <row r="29" spans="1:2">
      <c r="A29" s="3" t="s">
        <v>29</v>
      </c>
      <c r="B29" s="4">
        <v>0.04</v>
      </c>
    </row>
    <row r="30" spans="1:2">
      <c r="A30" s="3" t="s">
        <v>30</v>
      </c>
      <c r="B30" s="4">
        <v>0.02</v>
      </c>
    </row>
    <row r="32" spans="1:2">
      <c r="A32" s="6" t="s">
        <v>33</v>
      </c>
    </row>
    <row r="34" spans="1:2">
      <c r="A34" s="3" t="s">
        <v>34</v>
      </c>
      <c r="B34" s="3" t="s">
        <v>35</v>
      </c>
    </row>
    <row r="35" spans="1:2">
      <c r="A35" s="3" t="s">
        <v>36</v>
      </c>
      <c r="B35" s="3" t="s">
        <v>37</v>
      </c>
    </row>
    <row r="36" spans="1:2">
      <c r="A36" s="3" t="s">
        <v>38</v>
      </c>
      <c r="B36" s="3">
        <v>0</v>
      </c>
    </row>
    <row r="37" spans="1:2">
      <c r="A37" s="3" t="s">
        <v>39</v>
      </c>
      <c r="B37" s="3" t="s">
        <v>40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726"/>
  <sheetViews>
    <sheetView workbookViewId="0"/>
  </sheetViews>
  <sheetFormatPr defaultRowHeight="15"/>
  <cols>
    <col min="1" max="4" width="21.42578125" style="3" customWidth="1"/>
    <col min="5" max="7" width="21.42578125" style="9" customWidth="1"/>
    <col min="8" max="8" width="21.42578125" style="14" customWidth="1"/>
  </cols>
  <sheetData>
    <row r="1" spans="1:8">
      <c r="A1" s="6" t="s">
        <v>41</v>
      </c>
      <c r="B1" s="6" t="s">
        <v>42</v>
      </c>
      <c r="C1" s="6" t="s">
        <v>43</v>
      </c>
      <c r="D1" s="6" t="s">
        <v>44</v>
      </c>
      <c r="E1" s="8" t="s">
        <v>45</v>
      </c>
      <c r="F1" s="8" t="s">
        <v>46</v>
      </c>
      <c r="G1" s="8" t="s">
        <v>47</v>
      </c>
      <c r="H1" s="12" t="s">
        <v>48</v>
      </c>
    </row>
    <row r="2" spans="1:8">
      <c r="A2" s="5">
        <v>45658</v>
      </c>
      <c r="B2" s="3" t="s">
        <v>49</v>
      </c>
      <c r="C2" s="3" t="s">
        <v>50</v>
      </c>
      <c r="D2" s="7">
        <v>230000</v>
      </c>
      <c r="E2" s="9">
        <v>699</v>
      </c>
      <c r="F2" s="9">
        <v>160770000</v>
      </c>
      <c r="G2" s="9">
        <v>99677400</v>
      </c>
      <c r="H2" s="13">
        <f t="shared" ref="H2:H65" si="0">G2/F2</f>
        <v>0.62</v>
      </c>
    </row>
    <row r="3" spans="1:8">
      <c r="A3" s="5">
        <v>45658</v>
      </c>
      <c r="B3" s="3" t="s">
        <v>49</v>
      </c>
      <c r="C3" s="3" t="s">
        <v>51</v>
      </c>
      <c r="D3" s="7">
        <v>195500</v>
      </c>
      <c r="E3" s="9">
        <v>699</v>
      </c>
      <c r="F3" s="9">
        <v>136654500</v>
      </c>
      <c r="G3" s="9">
        <v>84725790</v>
      </c>
      <c r="H3" s="13">
        <f t="shared" si="0"/>
        <v>0.62</v>
      </c>
    </row>
    <row r="4" spans="1:8">
      <c r="A4" s="5">
        <v>45658</v>
      </c>
      <c r="B4" s="3" t="s">
        <v>49</v>
      </c>
      <c r="C4" s="3" t="s">
        <v>52</v>
      </c>
      <c r="D4" s="7">
        <v>218500</v>
      </c>
      <c r="E4" s="9">
        <v>699</v>
      </c>
      <c r="F4" s="9">
        <v>152731500</v>
      </c>
      <c r="G4" s="9">
        <v>94693530</v>
      </c>
      <c r="H4" s="13">
        <f t="shared" si="0"/>
        <v>0.62</v>
      </c>
    </row>
    <row r="5" spans="1:8">
      <c r="A5" s="5">
        <v>45658</v>
      </c>
      <c r="B5" s="3" t="s">
        <v>49</v>
      </c>
      <c r="C5" s="3" t="s">
        <v>53</v>
      </c>
      <c r="D5" s="7">
        <v>126500</v>
      </c>
      <c r="E5" s="9">
        <v>699</v>
      </c>
      <c r="F5" s="9">
        <v>88423500</v>
      </c>
      <c r="G5" s="9">
        <v>54822570</v>
      </c>
      <c r="H5" s="13">
        <f t="shared" si="0"/>
        <v>0.62</v>
      </c>
    </row>
    <row r="6" spans="1:8">
      <c r="A6" s="5">
        <v>45658</v>
      </c>
      <c r="B6" s="3" t="s">
        <v>54</v>
      </c>
      <c r="C6" s="3" t="s">
        <v>50</v>
      </c>
      <c r="D6" s="7">
        <v>110400</v>
      </c>
      <c r="E6" s="9">
        <v>999</v>
      </c>
      <c r="F6" s="9">
        <v>110289600</v>
      </c>
      <c r="G6" s="9">
        <v>63967968</v>
      </c>
      <c r="H6" s="13">
        <f t="shared" si="0"/>
        <v>0.57999999999999996</v>
      </c>
    </row>
    <row r="7" spans="1:8">
      <c r="A7" s="5">
        <v>45658</v>
      </c>
      <c r="B7" s="3" t="s">
        <v>54</v>
      </c>
      <c r="C7" s="3" t="s">
        <v>51</v>
      </c>
      <c r="D7" s="7">
        <v>93840</v>
      </c>
      <c r="E7" s="9">
        <v>999</v>
      </c>
      <c r="F7" s="9">
        <v>93746160</v>
      </c>
      <c r="G7" s="9">
        <v>54372772.799999997</v>
      </c>
      <c r="H7" s="13">
        <f t="shared" si="0"/>
        <v>0.57999999999999996</v>
      </c>
    </row>
    <row r="8" spans="1:8">
      <c r="A8" s="5">
        <v>45658</v>
      </c>
      <c r="B8" s="3" t="s">
        <v>54</v>
      </c>
      <c r="C8" s="3" t="s">
        <v>52</v>
      </c>
      <c r="D8" s="7">
        <v>104880</v>
      </c>
      <c r="E8" s="9">
        <v>999</v>
      </c>
      <c r="F8" s="9">
        <v>104775120</v>
      </c>
      <c r="G8" s="9">
        <v>60769569.600000001</v>
      </c>
      <c r="H8" s="13">
        <f t="shared" si="0"/>
        <v>0.57999999999999996</v>
      </c>
    </row>
    <row r="9" spans="1:8">
      <c r="A9" s="5">
        <v>45658</v>
      </c>
      <c r="B9" s="3" t="s">
        <v>54</v>
      </c>
      <c r="C9" s="3" t="s">
        <v>53</v>
      </c>
      <c r="D9" s="7">
        <v>60720</v>
      </c>
      <c r="E9" s="9">
        <v>999</v>
      </c>
      <c r="F9" s="9">
        <v>60659280</v>
      </c>
      <c r="G9" s="9">
        <v>35182382.399999999</v>
      </c>
      <c r="H9" s="13">
        <f t="shared" si="0"/>
        <v>0.57999999999999996</v>
      </c>
    </row>
    <row r="10" spans="1:8">
      <c r="A10" s="5">
        <v>45658</v>
      </c>
      <c r="B10" s="3" t="s">
        <v>55</v>
      </c>
      <c r="C10" s="3" t="s">
        <v>50</v>
      </c>
      <c r="D10" s="7">
        <v>128800</v>
      </c>
      <c r="E10" s="9">
        <v>549</v>
      </c>
      <c r="F10" s="9">
        <v>70711200</v>
      </c>
      <c r="G10" s="9">
        <v>42426720</v>
      </c>
      <c r="H10" s="13">
        <f t="shared" si="0"/>
        <v>0.6</v>
      </c>
    </row>
    <row r="11" spans="1:8">
      <c r="A11" s="5">
        <v>45658</v>
      </c>
      <c r="B11" s="3" t="s">
        <v>55</v>
      </c>
      <c r="C11" s="3" t="s">
        <v>51</v>
      </c>
      <c r="D11" s="7">
        <v>109480</v>
      </c>
      <c r="E11" s="9">
        <v>549</v>
      </c>
      <c r="F11" s="9">
        <v>60104520</v>
      </c>
      <c r="G11" s="9">
        <v>36062712</v>
      </c>
      <c r="H11" s="13">
        <f t="shared" si="0"/>
        <v>0.6</v>
      </c>
    </row>
    <row r="12" spans="1:8">
      <c r="A12" s="5">
        <v>45658</v>
      </c>
      <c r="B12" s="3" t="s">
        <v>55</v>
      </c>
      <c r="C12" s="3" t="s">
        <v>52</v>
      </c>
      <c r="D12" s="7">
        <v>122360</v>
      </c>
      <c r="E12" s="9">
        <v>549</v>
      </c>
      <c r="F12" s="9">
        <v>67175640</v>
      </c>
      <c r="G12" s="9">
        <v>40305384</v>
      </c>
      <c r="H12" s="13">
        <f t="shared" si="0"/>
        <v>0.6</v>
      </c>
    </row>
    <row r="13" spans="1:8">
      <c r="A13" s="5">
        <v>45658</v>
      </c>
      <c r="B13" s="3" t="s">
        <v>55</v>
      </c>
      <c r="C13" s="3" t="s">
        <v>53</v>
      </c>
      <c r="D13" s="7">
        <v>70840</v>
      </c>
      <c r="E13" s="9">
        <v>549</v>
      </c>
      <c r="F13" s="9">
        <v>38891160</v>
      </c>
      <c r="G13" s="9">
        <v>23334696</v>
      </c>
      <c r="H13" s="13">
        <f t="shared" si="0"/>
        <v>0.6</v>
      </c>
    </row>
    <row r="14" spans="1:8">
      <c r="A14" s="5">
        <v>45658</v>
      </c>
      <c r="B14" s="3" t="s">
        <v>56</v>
      </c>
      <c r="C14" s="3" t="s">
        <v>50</v>
      </c>
      <c r="D14" s="7">
        <v>64400</v>
      </c>
      <c r="E14" s="9">
        <v>1199</v>
      </c>
      <c r="F14" s="9">
        <v>77215600</v>
      </c>
      <c r="G14" s="9">
        <v>42468580</v>
      </c>
      <c r="H14" s="13">
        <f t="shared" si="0"/>
        <v>0.55000000000000004</v>
      </c>
    </row>
    <row r="15" spans="1:8">
      <c r="A15" s="5">
        <v>45658</v>
      </c>
      <c r="B15" s="3" t="s">
        <v>56</v>
      </c>
      <c r="C15" s="3" t="s">
        <v>51</v>
      </c>
      <c r="D15" s="7">
        <v>54740</v>
      </c>
      <c r="E15" s="9">
        <v>1199</v>
      </c>
      <c r="F15" s="9">
        <v>65633260</v>
      </c>
      <c r="G15" s="9">
        <v>36098293</v>
      </c>
      <c r="H15" s="13">
        <f t="shared" si="0"/>
        <v>0.55000000000000004</v>
      </c>
    </row>
    <row r="16" spans="1:8">
      <c r="A16" s="5">
        <v>45658</v>
      </c>
      <c r="B16" s="3" t="s">
        <v>56</v>
      </c>
      <c r="C16" s="3" t="s">
        <v>52</v>
      </c>
      <c r="D16" s="7">
        <v>61180</v>
      </c>
      <c r="E16" s="9">
        <v>1199</v>
      </c>
      <c r="F16" s="9">
        <v>73354820</v>
      </c>
      <c r="G16" s="9">
        <v>40345151</v>
      </c>
      <c r="H16" s="13">
        <f t="shared" si="0"/>
        <v>0.55000000000000004</v>
      </c>
    </row>
    <row r="17" spans="1:8">
      <c r="A17" s="5">
        <v>45658</v>
      </c>
      <c r="B17" s="3" t="s">
        <v>56</v>
      </c>
      <c r="C17" s="3" t="s">
        <v>53</v>
      </c>
      <c r="D17" s="7">
        <v>35420</v>
      </c>
      <c r="E17" s="9">
        <v>1199</v>
      </c>
      <c r="F17" s="9">
        <v>42468580</v>
      </c>
      <c r="G17" s="9">
        <v>23357719</v>
      </c>
      <c r="H17" s="13">
        <f t="shared" si="0"/>
        <v>0.55000000000000004</v>
      </c>
    </row>
    <row r="18" spans="1:8">
      <c r="A18" s="5">
        <v>45658</v>
      </c>
      <c r="B18" s="3" t="s">
        <v>57</v>
      </c>
      <c r="C18" s="3" t="s">
        <v>50</v>
      </c>
      <c r="D18" s="7">
        <v>165600</v>
      </c>
      <c r="E18" s="9">
        <v>299</v>
      </c>
      <c r="F18" s="9">
        <v>49514400</v>
      </c>
      <c r="G18" s="9">
        <v>24757200</v>
      </c>
      <c r="H18" s="13">
        <f t="shared" si="0"/>
        <v>0.5</v>
      </c>
    </row>
    <row r="19" spans="1:8">
      <c r="A19" s="5">
        <v>45658</v>
      </c>
      <c r="B19" s="3" t="s">
        <v>57</v>
      </c>
      <c r="C19" s="3" t="s">
        <v>51</v>
      </c>
      <c r="D19" s="7">
        <v>140760</v>
      </c>
      <c r="E19" s="9">
        <v>299</v>
      </c>
      <c r="F19" s="9">
        <v>42087240</v>
      </c>
      <c r="G19" s="9">
        <v>21043620</v>
      </c>
      <c r="H19" s="13">
        <f t="shared" si="0"/>
        <v>0.5</v>
      </c>
    </row>
    <row r="20" spans="1:8">
      <c r="A20" s="5">
        <v>45658</v>
      </c>
      <c r="B20" s="3" t="s">
        <v>57</v>
      </c>
      <c r="C20" s="3" t="s">
        <v>52</v>
      </c>
      <c r="D20" s="7">
        <v>157320</v>
      </c>
      <c r="E20" s="9">
        <v>299</v>
      </c>
      <c r="F20" s="9">
        <v>47038680</v>
      </c>
      <c r="G20" s="9">
        <v>23519340</v>
      </c>
      <c r="H20" s="13">
        <f t="shared" si="0"/>
        <v>0.5</v>
      </c>
    </row>
    <row r="21" spans="1:8">
      <c r="A21" s="5">
        <v>45658</v>
      </c>
      <c r="B21" s="3" t="s">
        <v>57</v>
      </c>
      <c r="C21" s="3" t="s">
        <v>53</v>
      </c>
      <c r="D21" s="7">
        <v>91080</v>
      </c>
      <c r="E21" s="9">
        <v>299</v>
      </c>
      <c r="F21" s="9">
        <v>27232920</v>
      </c>
      <c r="G21" s="9">
        <v>13616460</v>
      </c>
      <c r="H21" s="13">
        <f t="shared" si="0"/>
        <v>0.5</v>
      </c>
    </row>
    <row r="22" spans="1:8">
      <c r="A22" s="5">
        <v>45658</v>
      </c>
      <c r="B22" s="3" t="s">
        <v>58</v>
      </c>
      <c r="C22" s="3" t="s">
        <v>50</v>
      </c>
      <c r="D22" s="7">
        <v>552000</v>
      </c>
      <c r="E22" s="9">
        <v>39</v>
      </c>
      <c r="F22" s="9">
        <v>21528000</v>
      </c>
      <c r="G22" s="9">
        <v>5382000</v>
      </c>
      <c r="H22" s="13">
        <f t="shared" si="0"/>
        <v>0.25</v>
      </c>
    </row>
    <row r="23" spans="1:8">
      <c r="A23" s="5">
        <v>45658</v>
      </c>
      <c r="B23" s="3" t="s">
        <v>58</v>
      </c>
      <c r="C23" s="3" t="s">
        <v>51</v>
      </c>
      <c r="D23" s="7">
        <v>469200</v>
      </c>
      <c r="E23" s="9">
        <v>39</v>
      </c>
      <c r="F23" s="9">
        <v>18298800</v>
      </c>
      <c r="G23" s="9">
        <v>4574700</v>
      </c>
      <c r="H23" s="13">
        <f t="shared" si="0"/>
        <v>0.25</v>
      </c>
    </row>
    <row r="24" spans="1:8">
      <c r="A24" s="5">
        <v>45658</v>
      </c>
      <c r="B24" s="3" t="s">
        <v>58</v>
      </c>
      <c r="C24" s="3" t="s">
        <v>52</v>
      </c>
      <c r="D24" s="7">
        <v>524400</v>
      </c>
      <c r="E24" s="9">
        <v>39</v>
      </c>
      <c r="F24" s="9">
        <v>20451600</v>
      </c>
      <c r="G24" s="9">
        <v>5112900</v>
      </c>
      <c r="H24" s="13">
        <f t="shared" si="0"/>
        <v>0.25</v>
      </c>
    </row>
    <row r="25" spans="1:8">
      <c r="A25" s="5">
        <v>45658</v>
      </c>
      <c r="B25" s="3" t="s">
        <v>58</v>
      </c>
      <c r="C25" s="3" t="s">
        <v>53</v>
      </c>
      <c r="D25" s="7">
        <v>303600</v>
      </c>
      <c r="E25" s="9">
        <v>39</v>
      </c>
      <c r="F25" s="9">
        <v>11840400</v>
      </c>
      <c r="G25" s="9">
        <v>2960100</v>
      </c>
      <c r="H25" s="13">
        <f t="shared" si="0"/>
        <v>0.25</v>
      </c>
    </row>
    <row r="26" spans="1:8">
      <c r="A26" s="5">
        <v>45658</v>
      </c>
      <c r="B26" s="3" t="s">
        <v>59</v>
      </c>
      <c r="C26" s="3" t="s">
        <v>50</v>
      </c>
      <c r="D26" s="7">
        <v>368000</v>
      </c>
      <c r="E26" s="9">
        <v>24</v>
      </c>
      <c r="F26" s="9">
        <v>8832000</v>
      </c>
      <c r="G26" s="9">
        <v>1766400</v>
      </c>
      <c r="H26" s="13">
        <f t="shared" si="0"/>
        <v>0.2</v>
      </c>
    </row>
    <row r="27" spans="1:8">
      <c r="A27" s="5">
        <v>45658</v>
      </c>
      <c r="B27" s="3" t="s">
        <v>59</v>
      </c>
      <c r="C27" s="3" t="s">
        <v>51</v>
      </c>
      <c r="D27" s="7">
        <v>312800</v>
      </c>
      <c r="E27" s="9">
        <v>24</v>
      </c>
      <c r="F27" s="9">
        <v>7507200</v>
      </c>
      <c r="G27" s="9">
        <v>1501440</v>
      </c>
      <c r="H27" s="13">
        <f t="shared" si="0"/>
        <v>0.2</v>
      </c>
    </row>
    <row r="28" spans="1:8">
      <c r="A28" s="5">
        <v>45658</v>
      </c>
      <c r="B28" s="3" t="s">
        <v>59</v>
      </c>
      <c r="C28" s="3" t="s">
        <v>52</v>
      </c>
      <c r="D28" s="7">
        <v>349600</v>
      </c>
      <c r="E28" s="9">
        <v>24</v>
      </c>
      <c r="F28" s="9">
        <v>8390400</v>
      </c>
      <c r="G28" s="9">
        <v>1678080</v>
      </c>
      <c r="H28" s="13">
        <f t="shared" si="0"/>
        <v>0.2</v>
      </c>
    </row>
    <row r="29" spans="1:8">
      <c r="A29" s="5">
        <v>45658</v>
      </c>
      <c r="B29" s="3" t="s">
        <v>59</v>
      </c>
      <c r="C29" s="3" t="s">
        <v>53</v>
      </c>
      <c r="D29" s="7">
        <v>202400</v>
      </c>
      <c r="E29" s="9">
        <v>24</v>
      </c>
      <c r="F29" s="9">
        <v>4857600</v>
      </c>
      <c r="G29" s="9">
        <v>971520</v>
      </c>
      <c r="H29" s="13">
        <f t="shared" si="0"/>
        <v>0.2</v>
      </c>
    </row>
    <row r="30" spans="1:8">
      <c r="A30" s="5">
        <v>45658</v>
      </c>
      <c r="B30" s="3" t="s">
        <v>60</v>
      </c>
      <c r="C30" s="3" t="s">
        <v>50</v>
      </c>
      <c r="D30" s="7">
        <v>1104000</v>
      </c>
      <c r="E30" s="9">
        <v>12</v>
      </c>
      <c r="F30" s="9">
        <v>13248000</v>
      </c>
      <c r="G30" s="9">
        <v>3974400</v>
      </c>
      <c r="H30" s="13">
        <f t="shared" si="0"/>
        <v>0.3</v>
      </c>
    </row>
    <row r="31" spans="1:8">
      <c r="A31" s="5">
        <v>45658</v>
      </c>
      <c r="B31" s="3" t="s">
        <v>60</v>
      </c>
      <c r="C31" s="3" t="s">
        <v>51</v>
      </c>
      <c r="D31" s="7">
        <v>938400</v>
      </c>
      <c r="E31" s="9">
        <v>12</v>
      </c>
      <c r="F31" s="9">
        <v>11260800</v>
      </c>
      <c r="G31" s="9">
        <v>3378240</v>
      </c>
      <c r="H31" s="13">
        <f t="shared" si="0"/>
        <v>0.3</v>
      </c>
    </row>
    <row r="32" spans="1:8">
      <c r="A32" s="5">
        <v>45658</v>
      </c>
      <c r="B32" s="3" t="s">
        <v>60</v>
      </c>
      <c r="C32" s="3" t="s">
        <v>52</v>
      </c>
      <c r="D32" s="7">
        <v>1048800</v>
      </c>
      <c r="E32" s="9">
        <v>12</v>
      </c>
      <c r="F32" s="9">
        <v>12585600</v>
      </c>
      <c r="G32" s="9">
        <v>3775680</v>
      </c>
      <c r="H32" s="13">
        <f t="shared" si="0"/>
        <v>0.3</v>
      </c>
    </row>
    <row r="33" spans="1:8">
      <c r="A33" s="5">
        <v>45658</v>
      </c>
      <c r="B33" s="3" t="s">
        <v>60</v>
      </c>
      <c r="C33" s="3" t="s">
        <v>53</v>
      </c>
      <c r="D33" s="7">
        <v>607200</v>
      </c>
      <c r="E33" s="9">
        <v>12</v>
      </c>
      <c r="F33" s="9">
        <v>7286400</v>
      </c>
      <c r="G33" s="9">
        <v>2185920</v>
      </c>
      <c r="H33" s="13">
        <f t="shared" si="0"/>
        <v>0.3</v>
      </c>
    </row>
    <row r="34" spans="1:8">
      <c r="A34" s="5">
        <v>45658</v>
      </c>
      <c r="B34" s="3" t="s">
        <v>61</v>
      </c>
      <c r="C34" s="3" t="s">
        <v>50</v>
      </c>
      <c r="D34" s="7">
        <v>736000</v>
      </c>
      <c r="E34" s="9">
        <v>15</v>
      </c>
      <c r="F34" s="9">
        <v>11040000</v>
      </c>
      <c r="G34" s="9">
        <v>3864000</v>
      </c>
      <c r="H34" s="13">
        <f t="shared" si="0"/>
        <v>0.35</v>
      </c>
    </row>
    <row r="35" spans="1:8">
      <c r="A35" s="5">
        <v>45658</v>
      </c>
      <c r="B35" s="3" t="s">
        <v>61</v>
      </c>
      <c r="C35" s="3" t="s">
        <v>51</v>
      </c>
      <c r="D35" s="7">
        <v>625600</v>
      </c>
      <c r="E35" s="9">
        <v>15</v>
      </c>
      <c r="F35" s="9">
        <v>9384000</v>
      </c>
      <c r="G35" s="9">
        <v>3284400</v>
      </c>
      <c r="H35" s="13">
        <f t="shared" si="0"/>
        <v>0.35</v>
      </c>
    </row>
    <row r="36" spans="1:8">
      <c r="A36" s="5">
        <v>45658</v>
      </c>
      <c r="B36" s="3" t="s">
        <v>61</v>
      </c>
      <c r="C36" s="3" t="s">
        <v>52</v>
      </c>
      <c r="D36" s="7">
        <v>699200</v>
      </c>
      <c r="E36" s="9">
        <v>15</v>
      </c>
      <c r="F36" s="9">
        <v>10488000</v>
      </c>
      <c r="G36" s="9">
        <v>3670800</v>
      </c>
      <c r="H36" s="13">
        <f t="shared" si="0"/>
        <v>0.35</v>
      </c>
    </row>
    <row r="37" spans="1:8">
      <c r="A37" s="5">
        <v>45658</v>
      </c>
      <c r="B37" s="3" t="s">
        <v>61</v>
      </c>
      <c r="C37" s="3" t="s">
        <v>53</v>
      </c>
      <c r="D37" s="7">
        <v>404800</v>
      </c>
      <c r="E37" s="9">
        <v>15</v>
      </c>
      <c r="F37" s="9">
        <v>6072000</v>
      </c>
      <c r="G37" s="9">
        <v>2125200</v>
      </c>
      <c r="H37" s="13">
        <f t="shared" si="0"/>
        <v>0.35</v>
      </c>
    </row>
    <row r="38" spans="1:8">
      <c r="A38" s="5">
        <v>45658</v>
      </c>
      <c r="B38" s="3" t="s">
        <v>62</v>
      </c>
      <c r="C38" s="3" t="s">
        <v>50</v>
      </c>
      <c r="D38" s="7">
        <v>828000</v>
      </c>
      <c r="E38" s="9">
        <v>8</v>
      </c>
      <c r="F38" s="9">
        <v>6624000</v>
      </c>
      <c r="G38" s="9">
        <v>993600</v>
      </c>
      <c r="H38" s="13">
        <f t="shared" si="0"/>
        <v>0.15</v>
      </c>
    </row>
    <row r="39" spans="1:8">
      <c r="A39" s="5">
        <v>45658</v>
      </c>
      <c r="B39" s="3" t="s">
        <v>62</v>
      </c>
      <c r="C39" s="3" t="s">
        <v>51</v>
      </c>
      <c r="D39" s="7">
        <v>703800</v>
      </c>
      <c r="E39" s="9">
        <v>8</v>
      </c>
      <c r="F39" s="9">
        <v>5630400</v>
      </c>
      <c r="G39" s="9">
        <v>844560</v>
      </c>
      <c r="H39" s="13">
        <f t="shared" si="0"/>
        <v>0.15</v>
      </c>
    </row>
    <row r="40" spans="1:8">
      <c r="A40" s="5">
        <v>45658</v>
      </c>
      <c r="B40" s="3" t="s">
        <v>62</v>
      </c>
      <c r="C40" s="3" t="s">
        <v>52</v>
      </c>
      <c r="D40" s="7">
        <v>786600</v>
      </c>
      <c r="E40" s="9">
        <v>8</v>
      </c>
      <c r="F40" s="9">
        <v>6292800</v>
      </c>
      <c r="G40" s="9">
        <v>943920</v>
      </c>
      <c r="H40" s="13">
        <f t="shared" si="0"/>
        <v>0.15</v>
      </c>
    </row>
    <row r="41" spans="1:8">
      <c r="A41" s="5">
        <v>45658</v>
      </c>
      <c r="B41" s="3" t="s">
        <v>62</v>
      </c>
      <c r="C41" s="3" t="s">
        <v>53</v>
      </c>
      <c r="D41" s="7">
        <v>455400</v>
      </c>
      <c r="E41" s="9">
        <v>8</v>
      </c>
      <c r="F41" s="9">
        <v>3643200</v>
      </c>
      <c r="G41" s="9">
        <v>546480</v>
      </c>
      <c r="H41" s="13">
        <f t="shared" si="0"/>
        <v>0.15</v>
      </c>
    </row>
    <row r="42" spans="1:8">
      <c r="A42" s="5">
        <v>45689</v>
      </c>
      <c r="B42" s="3" t="s">
        <v>49</v>
      </c>
      <c r="C42" s="3" t="s">
        <v>50</v>
      </c>
      <c r="D42" s="7">
        <v>225000</v>
      </c>
      <c r="E42" s="9">
        <v>699</v>
      </c>
      <c r="F42" s="9">
        <v>157275000</v>
      </c>
      <c r="G42" s="9">
        <v>97510500</v>
      </c>
      <c r="H42" s="13">
        <f t="shared" si="0"/>
        <v>0.62</v>
      </c>
    </row>
    <row r="43" spans="1:8">
      <c r="A43" s="5">
        <v>45689</v>
      </c>
      <c r="B43" s="3" t="s">
        <v>49</v>
      </c>
      <c r="C43" s="3" t="s">
        <v>51</v>
      </c>
      <c r="D43" s="7">
        <v>191250</v>
      </c>
      <c r="E43" s="9">
        <v>699</v>
      </c>
      <c r="F43" s="9">
        <v>133683750</v>
      </c>
      <c r="G43" s="9">
        <v>82883925</v>
      </c>
      <c r="H43" s="13">
        <f t="shared" si="0"/>
        <v>0.62</v>
      </c>
    </row>
    <row r="44" spans="1:8">
      <c r="A44" s="5">
        <v>45689</v>
      </c>
      <c r="B44" s="3" t="s">
        <v>49</v>
      </c>
      <c r="C44" s="3" t="s">
        <v>52</v>
      </c>
      <c r="D44" s="7">
        <v>213750</v>
      </c>
      <c r="E44" s="9">
        <v>699</v>
      </c>
      <c r="F44" s="9">
        <v>149411250</v>
      </c>
      <c r="G44" s="9">
        <v>92634975</v>
      </c>
      <c r="H44" s="13">
        <f t="shared" si="0"/>
        <v>0.62</v>
      </c>
    </row>
    <row r="45" spans="1:8">
      <c r="A45" s="5">
        <v>45689</v>
      </c>
      <c r="B45" s="3" t="s">
        <v>49</v>
      </c>
      <c r="C45" s="3" t="s">
        <v>53</v>
      </c>
      <c r="D45" s="7">
        <v>123750</v>
      </c>
      <c r="E45" s="9">
        <v>699</v>
      </c>
      <c r="F45" s="9">
        <v>86501250</v>
      </c>
      <c r="G45" s="9">
        <v>53630775</v>
      </c>
      <c r="H45" s="13">
        <f t="shared" si="0"/>
        <v>0.62</v>
      </c>
    </row>
    <row r="46" spans="1:8">
      <c r="A46" s="5">
        <v>45689</v>
      </c>
      <c r="B46" s="3" t="s">
        <v>54</v>
      </c>
      <c r="C46" s="3" t="s">
        <v>50</v>
      </c>
      <c r="D46" s="7">
        <v>108000</v>
      </c>
      <c r="E46" s="9">
        <v>999</v>
      </c>
      <c r="F46" s="9">
        <v>107892000</v>
      </c>
      <c r="G46" s="9">
        <v>62577360</v>
      </c>
      <c r="H46" s="13">
        <f t="shared" si="0"/>
        <v>0.57999999999999996</v>
      </c>
    </row>
    <row r="47" spans="1:8">
      <c r="A47" s="5">
        <v>45689</v>
      </c>
      <c r="B47" s="3" t="s">
        <v>54</v>
      </c>
      <c r="C47" s="3" t="s">
        <v>51</v>
      </c>
      <c r="D47" s="7">
        <v>91800</v>
      </c>
      <c r="E47" s="9">
        <v>999</v>
      </c>
      <c r="F47" s="9">
        <v>91708200</v>
      </c>
      <c r="G47" s="9">
        <v>53190756</v>
      </c>
      <c r="H47" s="13">
        <f t="shared" si="0"/>
        <v>0.57999999999999996</v>
      </c>
    </row>
    <row r="48" spans="1:8">
      <c r="A48" s="5">
        <v>45689</v>
      </c>
      <c r="B48" s="3" t="s">
        <v>54</v>
      </c>
      <c r="C48" s="3" t="s">
        <v>52</v>
      </c>
      <c r="D48" s="7">
        <v>102600</v>
      </c>
      <c r="E48" s="9">
        <v>999</v>
      </c>
      <c r="F48" s="9">
        <v>102497400</v>
      </c>
      <c r="G48" s="9">
        <v>59448492</v>
      </c>
      <c r="H48" s="13">
        <f t="shared" si="0"/>
        <v>0.57999999999999996</v>
      </c>
    </row>
    <row r="49" spans="1:8">
      <c r="A49" s="5">
        <v>45689</v>
      </c>
      <c r="B49" s="3" t="s">
        <v>54</v>
      </c>
      <c r="C49" s="3" t="s">
        <v>53</v>
      </c>
      <c r="D49" s="7">
        <v>59400</v>
      </c>
      <c r="E49" s="9">
        <v>999</v>
      </c>
      <c r="F49" s="9">
        <v>59340600</v>
      </c>
      <c r="G49" s="9">
        <v>34417548</v>
      </c>
      <c r="H49" s="13">
        <f t="shared" si="0"/>
        <v>0.57999999999999996</v>
      </c>
    </row>
    <row r="50" spans="1:8">
      <c r="A50" s="5">
        <v>45689</v>
      </c>
      <c r="B50" s="3" t="s">
        <v>55</v>
      </c>
      <c r="C50" s="3" t="s">
        <v>50</v>
      </c>
      <c r="D50" s="7">
        <v>126000</v>
      </c>
      <c r="E50" s="9">
        <v>549</v>
      </c>
      <c r="F50" s="9">
        <v>69174000</v>
      </c>
      <c r="G50" s="9">
        <v>41504400</v>
      </c>
      <c r="H50" s="13">
        <f t="shared" si="0"/>
        <v>0.6</v>
      </c>
    </row>
    <row r="51" spans="1:8">
      <c r="A51" s="5">
        <v>45689</v>
      </c>
      <c r="B51" s="3" t="s">
        <v>55</v>
      </c>
      <c r="C51" s="3" t="s">
        <v>51</v>
      </c>
      <c r="D51" s="7">
        <v>107100</v>
      </c>
      <c r="E51" s="9">
        <v>549</v>
      </c>
      <c r="F51" s="9">
        <v>58797900</v>
      </c>
      <c r="G51" s="9">
        <v>35278740</v>
      </c>
      <c r="H51" s="13">
        <f t="shared" si="0"/>
        <v>0.6</v>
      </c>
    </row>
    <row r="52" spans="1:8">
      <c r="A52" s="5">
        <v>45689</v>
      </c>
      <c r="B52" s="3" t="s">
        <v>55</v>
      </c>
      <c r="C52" s="3" t="s">
        <v>52</v>
      </c>
      <c r="D52" s="7">
        <v>119700</v>
      </c>
      <c r="E52" s="9">
        <v>549</v>
      </c>
      <c r="F52" s="9">
        <v>65715300</v>
      </c>
      <c r="G52" s="9">
        <v>39429180</v>
      </c>
      <c r="H52" s="13">
        <f t="shared" si="0"/>
        <v>0.6</v>
      </c>
    </row>
    <row r="53" spans="1:8">
      <c r="A53" s="5">
        <v>45689</v>
      </c>
      <c r="B53" s="3" t="s">
        <v>55</v>
      </c>
      <c r="C53" s="3" t="s">
        <v>53</v>
      </c>
      <c r="D53" s="7">
        <v>69300</v>
      </c>
      <c r="E53" s="9">
        <v>549</v>
      </c>
      <c r="F53" s="9">
        <v>38045700</v>
      </c>
      <c r="G53" s="9">
        <v>22827420</v>
      </c>
      <c r="H53" s="13">
        <f t="shared" si="0"/>
        <v>0.6</v>
      </c>
    </row>
    <row r="54" spans="1:8">
      <c r="A54" s="5">
        <v>45689</v>
      </c>
      <c r="B54" s="3" t="s">
        <v>56</v>
      </c>
      <c r="C54" s="3" t="s">
        <v>50</v>
      </c>
      <c r="D54" s="7">
        <v>63000</v>
      </c>
      <c r="E54" s="9">
        <v>1199</v>
      </c>
      <c r="F54" s="9">
        <v>75537000</v>
      </c>
      <c r="G54" s="9">
        <v>41545350</v>
      </c>
      <c r="H54" s="13">
        <f t="shared" si="0"/>
        <v>0.55000000000000004</v>
      </c>
    </row>
    <row r="55" spans="1:8">
      <c r="A55" s="5">
        <v>45689</v>
      </c>
      <c r="B55" s="3" t="s">
        <v>56</v>
      </c>
      <c r="C55" s="3" t="s">
        <v>51</v>
      </c>
      <c r="D55" s="7">
        <v>53550</v>
      </c>
      <c r="E55" s="9">
        <v>1199</v>
      </c>
      <c r="F55" s="9">
        <v>64206450</v>
      </c>
      <c r="G55" s="9">
        <v>35313547.5</v>
      </c>
      <c r="H55" s="13">
        <f t="shared" si="0"/>
        <v>0.55000000000000004</v>
      </c>
    </row>
    <row r="56" spans="1:8">
      <c r="A56" s="5">
        <v>45689</v>
      </c>
      <c r="B56" s="3" t="s">
        <v>56</v>
      </c>
      <c r="C56" s="3" t="s">
        <v>52</v>
      </c>
      <c r="D56" s="7">
        <v>59850</v>
      </c>
      <c r="E56" s="9">
        <v>1199</v>
      </c>
      <c r="F56" s="9">
        <v>71760150</v>
      </c>
      <c r="G56" s="9">
        <v>39468082.5</v>
      </c>
      <c r="H56" s="13">
        <f t="shared" si="0"/>
        <v>0.55000000000000004</v>
      </c>
    </row>
    <row r="57" spans="1:8">
      <c r="A57" s="5">
        <v>45689</v>
      </c>
      <c r="B57" s="3" t="s">
        <v>56</v>
      </c>
      <c r="C57" s="3" t="s">
        <v>53</v>
      </c>
      <c r="D57" s="7">
        <v>34650</v>
      </c>
      <c r="E57" s="9">
        <v>1199</v>
      </c>
      <c r="F57" s="9">
        <v>41545350</v>
      </c>
      <c r="G57" s="9">
        <v>22849942.5</v>
      </c>
      <c r="H57" s="13">
        <f t="shared" si="0"/>
        <v>0.55000000000000004</v>
      </c>
    </row>
    <row r="58" spans="1:8">
      <c r="A58" s="5">
        <v>45689</v>
      </c>
      <c r="B58" s="3" t="s">
        <v>57</v>
      </c>
      <c r="C58" s="3" t="s">
        <v>50</v>
      </c>
      <c r="D58" s="7">
        <v>162000</v>
      </c>
      <c r="E58" s="9">
        <v>299</v>
      </c>
      <c r="F58" s="9">
        <v>48438000</v>
      </c>
      <c r="G58" s="9">
        <v>24219000</v>
      </c>
      <c r="H58" s="13">
        <f t="shared" si="0"/>
        <v>0.5</v>
      </c>
    </row>
    <row r="59" spans="1:8">
      <c r="A59" s="5">
        <v>45689</v>
      </c>
      <c r="B59" s="3" t="s">
        <v>57</v>
      </c>
      <c r="C59" s="3" t="s">
        <v>51</v>
      </c>
      <c r="D59" s="7">
        <v>137700</v>
      </c>
      <c r="E59" s="9">
        <v>299</v>
      </c>
      <c r="F59" s="9">
        <v>41172300</v>
      </c>
      <c r="G59" s="9">
        <v>20586150</v>
      </c>
      <c r="H59" s="13">
        <f t="shared" si="0"/>
        <v>0.5</v>
      </c>
    </row>
    <row r="60" spans="1:8">
      <c r="A60" s="5">
        <v>45689</v>
      </c>
      <c r="B60" s="3" t="s">
        <v>57</v>
      </c>
      <c r="C60" s="3" t="s">
        <v>52</v>
      </c>
      <c r="D60" s="7">
        <v>153900</v>
      </c>
      <c r="E60" s="9">
        <v>299</v>
      </c>
      <c r="F60" s="9">
        <v>46016100</v>
      </c>
      <c r="G60" s="9">
        <v>23008050</v>
      </c>
      <c r="H60" s="13">
        <f t="shared" si="0"/>
        <v>0.5</v>
      </c>
    </row>
    <row r="61" spans="1:8">
      <c r="A61" s="5">
        <v>45689</v>
      </c>
      <c r="B61" s="3" t="s">
        <v>57</v>
      </c>
      <c r="C61" s="3" t="s">
        <v>53</v>
      </c>
      <c r="D61" s="7">
        <v>89100</v>
      </c>
      <c r="E61" s="9">
        <v>299</v>
      </c>
      <c r="F61" s="9">
        <v>26640900</v>
      </c>
      <c r="G61" s="9">
        <v>13320450</v>
      </c>
      <c r="H61" s="13">
        <f t="shared" si="0"/>
        <v>0.5</v>
      </c>
    </row>
    <row r="62" spans="1:8">
      <c r="A62" s="5">
        <v>45689</v>
      </c>
      <c r="B62" s="3" t="s">
        <v>58</v>
      </c>
      <c r="C62" s="3" t="s">
        <v>50</v>
      </c>
      <c r="D62" s="7">
        <v>540000</v>
      </c>
      <c r="E62" s="9">
        <v>39</v>
      </c>
      <c r="F62" s="9">
        <v>21060000</v>
      </c>
      <c r="G62" s="9">
        <v>5265000</v>
      </c>
      <c r="H62" s="13">
        <f t="shared" si="0"/>
        <v>0.25</v>
      </c>
    </row>
    <row r="63" spans="1:8">
      <c r="A63" s="5">
        <v>45689</v>
      </c>
      <c r="B63" s="3" t="s">
        <v>58</v>
      </c>
      <c r="C63" s="3" t="s">
        <v>51</v>
      </c>
      <c r="D63" s="7">
        <v>459000</v>
      </c>
      <c r="E63" s="9">
        <v>39</v>
      </c>
      <c r="F63" s="9">
        <v>17901000</v>
      </c>
      <c r="G63" s="9">
        <v>4475250</v>
      </c>
      <c r="H63" s="13">
        <f t="shared" si="0"/>
        <v>0.25</v>
      </c>
    </row>
    <row r="64" spans="1:8">
      <c r="A64" s="5">
        <v>45689</v>
      </c>
      <c r="B64" s="3" t="s">
        <v>58</v>
      </c>
      <c r="C64" s="3" t="s">
        <v>52</v>
      </c>
      <c r="D64" s="7">
        <v>513000</v>
      </c>
      <c r="E64" s="9">
        <v>39</v>
      </c>
      <c r="F64" s="9">
        <v>20007000</v>
      </c>
      <c r="G64" s="9">
        <v>5001750</v>
      </c>
      <c r="H64" s="13">
        <f t="shared" si="0"/>
        <v>0.25</v>
      </c>
    </row>
    <row r="65" spans="1:8">
      <c r="A65" s="5">
        <v>45689</v>
      </c>
      <c r="B65" s="3" t="s">
        <v>58</v>
      </c>
      <c r="C65" s="3" t="s">
        <v>53</v>
      </c>
      <c r="D65" s="7">
        <v>297000</v>
      </c>
      <c r="E65" s="9">
        <v>39</v>
      </c>
      <c r="F65" s="9">
        <v>11583000</v>
      </c>
      <c r="G65" s="9">
        <v>2895750</v>
      </c>
      <c r="H65" s="13">
        <f t="shared" si="0"/>
        <v>0.25</v>
      </c>
    </row>
    <row r="66" spans="1:8">
      <c r="A66" s="5">
        <v>45689</v>
      </c>
      <c r="B66" s="3" t="s">
        <v>59</v>
      </c>
      <c r="C66" s="3" t="s">
        <v>50</v>
      </c>
      <c r="D66" s="7">
        <v>360000</v>
      </c>
      <c r="E66" s="9">
        <v>24</v>
      </c>
      <c r="F66" s="9">
        <v>8640000</v>
      </c>
      <c r="G66" s="9">
        <v>1728000</v>
      </c>
      <c r="H66" s="13">
        <f t="shared" ref="H66:H129" si="1">G66/F66</f>
        <v>0.2</v>
      </c>
    </row>
    <row r="67" spans="1:8">
      <c r="A67" s="5">
        <v>45689</v>
      </c>
      <c r="B67" s="3" t="s">
        <v>59</v>
      </c>
      <c r="C67" s="3" t="s">
        <v>51</v>
      </c>
      <c r="D67" s="7">
        <v>306000</v>
      </c>
      <c r="E67" s="9">
        <v>24</v>
      </c>
      <c r="F67" s="9">
        <v>7344000</v>
      </c>
      <c r="G67" s="9">
        <v>1468800</v>
      </c>
      <c r="H67" s="13">
        <f t="shared" si="1"/>
        <v>0.2</v>
      </c>
    </row>
    <row r="68" spans="1:8">
      <c r="A68" s="5">
        <v>45689</v>
      </c>
      <c r="B68" s="3" t="s">
        <v>59</v>
      </c>
      <c r="C68" s="3" t="s">
        <v>52</v>
      </c>
      <c r="D68" s="7">
        <v>342000</v>
      </c>
      <c r="E68" s="9">
        <v>24</v>
      </c>
      <c r="F68" s="9">
        <v>8208000</v>
      </c>
      <c r="G68" s="9">
        <v>1641600</v>
      </c>
      <c r="H68" s="13">
        <f t="shared" si="1"/>
        <v>0.2</v>
      </c>
    </row>
    <row r="69" spans="1:8">
      <c r="A69" s="5">
        <v>45689</v>
      </c>
      <c r="B69" s="3" t="s">
        <v>59</v>
      </c>
      <c r="C69" s="3" t="s">
        <v>53</v>
      </c>
      <c r="D69" s="7">
        <v>198000</v>
      </c>
      <c r="E69" s="9">
        <v>24</v>
      </c>
      <c r="F69" s="9">
        <v>4752000</v>
      </c>
      <c r="G69" s="9">
        <v>950400</v>
      </c>
      <c r="H69" s="13">
        <f t="shared" si="1"/>
        <v>0.2</v>
      </c>
    </row>
    <row r="70" spans="1:8">
      <c r="A70" s="5">
        <v>45689</v>
      </c>
      <c r="B70" s="3" t="s">
        <v>60</v>
      </c>
      <c r="C70" s="3" t="s">
        <v>50</v>
      </c>
      <c r="D70" s="7">
        <v>1080000</v>
      </c>
      <c r="E70" s="9">
        <v>12</v>
      </c>
      <c r="F70" s="9">
        <v>12960000</v>
      </c>
      <c r="G70" s="9">
        <v>3888000</v>
      </c>
      <c r="H70" s="13">
        <f t="shared" si="1"/>
        <v>0.3</v>
      </c>
    </row>
    <row r="71" spans="1:8">
      <c r="A71" s="5">
        <v>45689</v>
      </c>
      <c r="B71" s="3" t="s">
        <v>60</v>
      </c>
      <c r="C71" s="3" t="s">
        <v>51</v>
      </c>
      <c r="D71" s="7">
        <v>918000</v>
      </c>
      <c r="E71" s="9">
        <v>12</v>
      </c>
      <c r="F71" s="9">
        <v>11016000</v>
      </c>
      <c r="G71" s="9">
        <v>3304800</v>
      </c>
      <c r="H71" s="13">
        <f t="shared" si="1"/>
        <v>0.3</v>
      </c>
    </row>
    <row r="72" spans="1:8">
      <c r="A72" s="5">
        <v>45689</v>
      </c>
      <c r="B72" s="3" t="s">
        <v>60</v>
      </c>
      <c r="C72" s="3" t="s">
        <v>52</v>
      </c>
      <c r="D72" s="7">
        <v>1026000</v>
      </c>
      <c r="E72" s="9">
        <v>12</v>
      </c>
      <c r="F72" s="9">
        <v>12312000</v>
      </c>
      <c r="G72" s="9">
        <v>3693600</v>
      </c>
      <c r="H72" s="13">
        <f t="shared" si="1"/>
        <v>0.3</v>
      </c>
    </row>
    <row r="73" spans="1:8">
      <c r="A73" s="5">
        <v>45689</v>
      </c>
      <c r="B73" s="3" t="s">
        <v>60</v>
      </c>
      <c r="C73" s="3" t="s">
        <v>53</v>
      </c>
      <c r="D73" s="7">
        <v>594000</v>
      </c>
      <c r="E73" s="9">
        <v>12</v>
      </c>
      <c r="F73" s="9">
        <v>7128000</v>
      </c>
      <c r="G73" s="9">
        <v>2138400</v>
      </c>
      <c r="H73" s="13">
        <f t="shared" si="1"/>
        <v>0.3</v>
      </c>
    </row>
    <row r="74" spans="1:8">
      <c r="A74" s="5">
        <v>45689</v>
      </c>
      <c r="B74" s="3" t="s">
        <v>61</v>
      </c>
      <c r="C74" s="3" t="s">
        <v>50</v>
      </c>
      <c r="D74" s="7">
        <v>720000</v>
      </c>
      <c r="E74" s="9">
        <v>15</v>
      </c>
      <c r="F74" s="9">
        <v>10800000</v>
      </c>
      <c r="G74" s="9">
        <v>3780000</v>
      </c>
      <c r="H74" s="13">
        <f t="shared" si="1"/>
        <v>0.35</v>
      </c>
    </row>
    <row r="75" spans="1:8">
      <c r="A75" s="5">
        <v>45689</v>
      </c>
      <c r="B75" s="3" t="s">
        <v>61</v>
      </c>
      <c r="C75" s="3" t="s">
        <v>51</v>
      </c>
      <c r="D75" s="7">
        <v>612000</v>
      </c>
      <c r="E75" s="9">
        <v>15</v>
      </c>
      <c r="F75" s="9">
        <v>9180000</v>
      </c>
      <c r="G75" s="9">
        <v>3213000</v>
      </c>
      <c r="H75" s="13">
        <f t="shared" si="1"/>
        <v>0.35</v>
      </c>
    </row>
    <row r="76" spans="1:8">
      <c r="A76" s="5">
        <v>45689</v>
      </c>
      <c r="B76" s="3" t="s">
        <v>61</v>
      </c>
      <c r="C76" s="3" t="s">
        <v>52</v>
      </c>
      <c r="D76" s="7">
        <v>684000</v>
      </c>
      <c r="E76" s="9">
        <v>15</v>
      </c>
      <c r="F76" s="9">
        <v>10260000</v>
      </c>
      <c r="G76" s="9">
        <v>3591000</v>
      </c>
      <c r="H76" s="13">
        <f t="shared" si="1"/>
        <v>0.35</v>
      </c>
    </row>
    <row r="77" spans="1:8">
      <c r="A77" s="5">
        <v>45689</v>
      </c>
      <c r="B77" s="3" t="s">
        <v>61</v>
      </c>
      <c r="C77" s="3" t="s">
        <v>53</v>
      </c>
      <c r="D77" s="7">
        <v>396000</v>
      </c>
      <c r="E77" s="9">
        <v>15</v>
      </c>
      <c r="F77" s="9">
        <v>5940000</v>
      </c>
      <c r="G77" s="9">
        <v>2079000</v>
      </c>
      <c r="H77" s="13">
        <f t="shared" si="1"/>
        <v>0.35</v>
      </c>
    </row>
    <row r="78" spans="1:8">
      <c r="A78" s="5">
        <v>45689</v>
      </c>
      <c r="B78" s="3" t="s">
        <v>62</v>
      </c>
      <c r="C78" s="3" t="s">
        <v>50</v>
      </c>
      <c r="D78" s="7">
        <v>810000</v>
      </c>
      <c r="E78" s="9">
        <v>8</v>
      </c>
      <c r="F78" s="9">
        <v>6480000</v>
      </c>
      <c r="G78" s="9">
        <v>972000</v>
      </c>
      <c r="H78" s="13">
        <f t="shared" si="1"/>
        <v>0.15</v>
      </c>
    </row>
    <row r="79" spans="1:8">
      <c r="A79" s="5">
        <v>45689</v>
      </c>
      <c r="B79" s="3" t="s">
        <v>62</v>
      </c>
      <c r="C79" s="3" t="s">
        <v>51</v>
      </c>
      <c r="D79" s="7">
        <v>688500</v>
      </c>
      <c r="E79" s="9">
        <v>8</v>
      </c>
      <c r="F79" s="9">
        <v>5508000</v>
      </c>
      <c r="G79" s="9">
        <v>826200</v>
      </c>
      <c r="H79" s="13">
        <f t="shared" si="1"/>
        <v>0.15</v>
      </c>
    </row>
    <row r="80" spans="1:8">
      <c r="A80" s="5">
        <v>45689</v>
      </c>
      <c r="B80" s="3" t="s">
        <v>62</v>
      </c>
      <c r="C80" s="3" t="s">
        <v>52</v>
      </c>
      <c r="D80" s="7">
        <v>769500</v>
      </c>
      <c r="E80" s="9">
        <v>8</v>
      </c>
      <c r="F80" s="9">
        <v>6156000</v>
      </c>
      <c r="G80" s="9">
        <v>923400</v>
      </c>
      <c r="H80" s="13">
        <f t="shared" si="1"/>
        <v>0.15</v>
      </c>
    </row>
    <row r="81" spans="1:8">
      <c r="A81" s="5">
        <v>45689</v>
      </c>
      <c r="B81" s="3" t="s">
        <v>62</v>
      </c>
      <c r="C81" s="3" t="s">
        <v>53</v>
      </c>
      <c r="D81" s="7">
        <v>445500</v>
      </c>
      <c r="E81" s="9">
        <v>8</v>
      </c>
      <c r="F81" s="9">
        <v>3564000</v>
      </c>
      <c r="G81" s="9">
        <v>534600</v>
      </c>
      <c r="H81" s="13">
        <f t="shared" si="1"/>
        <v>0.15</v>
      </c>
    </row>
    <row r="82" spans="1:8">
      <c r="A82" s="5">
        <v>45717</v>
      </c>
      <c r="B82" s="3" t="s">
        <v>49</v>
      </c>
      <c r="C82" s="3" t="s">
        <v>50</v>
      </c>
      <c r="D82" s="7">
        <v>240000</v>
      </c>
      <c r="E82" s="9">
        <v>699</v>
      </c>
      <c r="F82" s="9">
        <v>167760000</v>
      </c>
      <c r="G82" s="9">
        <v>104011200</v>
      </c>
      <c r="H82" s="13">
        <f t="shared" si="1"/>
        <v>0.62</v>
      </c>
    </row>
    <row r="83" spans="1:8">
      <c r="A83" s="5">
        <v>45717</v>
      </c>
      <c r="B83" s="3" t="s">
        <v>49</v>
      </c>
      <c r="C83" s="3" t="s">
        <v>51</v>
      </c>
      <c r="D83" s="7">
        <v>204000</v>
      </c>
      <c r="E83" s="9">
        <v>699</v>
      </c>
      <c r="F83" s="9">
        <v>142596000</v>
      </c>
      <c r="G83" s="9">
        <v>88409520</v>
      </c>
      <c r="H83" s="13">
        <f t="shared" si="1"/>
        <v>0.62</v>
      </c>
    </row>
    <row r="84" spans="1:8">
      <c r="A84" s="5">
        <v>45717</v>
      </c>
      <c r="B84" s="3" t="s">
        <v>49</v>
      </c>
      <c r="C84" s="3" t="s">
        <v>52</v>
      </c>
      <c r="D84" s="7">
        <v>228000</v>
      </c>
      <c r="E84" s="9">
        <v>699</v>
      </c>
      <c r="F84" s="9">
        <v>159372000</v>
      </c>
      <c r="G84" s="9">
        <v>98810640</v>
      </c>
      <c r="H84" s="13">
        <f t="shared" si="1"/>
        <v>0.62</v>
      </c>
    </row>
    <row r="85" spans="1:8">
      <c r="A85" s="5">
        <v>45717</v>
      </c>
      <c r="B85" s="3" t="s">
        <v>49</v>
      </c>
      <c r="C85" s="3" t="s">
        <v>53</v>
      </c>
      <c r="D85" s="7">
        <v>132000</v>
      </c>
      <c r="E85" s="9">
        <v>699</v>
      </c>
      <c r="F85" s="9">
        <v>92268000</v>
      </c>
      <c r="G85" s="9">
        <v>57206160</v>
      </c>
      <c r="H85" s="13">
        <f t="shared" si="1"/>
        <v>0.62</v>
      </c>
    </row>
    <row r="86" spans="1:8">
      <c r="A86" s="5">
        <v>45717</v>
      </c>
      <c r="B86" s="3" t="s">
        <v>54</v>
      </c>
      <c r="C86" s="3" t="s">
        <v>50</v>
      </c>
      <c r="D86" s="7">
        <v>115200</v>
      </c>
      <c r="E86" s="9">
        <v>999</v>
      </c>
      <c r="F86" s="9">
        <v>115084800</v>
      </c>
      <c r="G86" s="9">
        <v>66749184</v>
      </c>
      <c r="H86" s="13">
        <f t="shared" si="1"/>
        <v>0.57999999999999996</v>
      </c>
    </row>
    <row r="87" spans="1:8">
      <c r="A87" s="5">
        <v>45717</v>
      </c>
      <c r="B87" s="3" t="s">
        <v>54</v>
      </c>
      <c r="C87" s="3" t="s">
        <v>51</v>
      </c>
      <c r="D87" s="7">
        <v>97920</v>
      </c>
      <c r="E87" s="9">
        <v>999</v>
      </c>
      <c r="F87" s="9">
        <v>97822080</v>
      </c>
      <c r="G87" s="9">
        <v>56736806.399999999</v>
      </c>
      <c r="H87" s="13">
        <f t="shared" si="1"/>
        <v>0.57999999999999996</v>
      </c>
    </row>
    <row r="88" spans="1:8">
      <c r="A88" s="5">
        <v>45717</v>
      </c>
      <c r="B88" s="3" t="s">
        <v>54</v>
      </c>
      <c r="C88" s="3" t="s">
        <v>52</v>
      </c>
      <c r="D88" s="7">
        <v>109440</v>
      </c>
      <c r="E88" s="9">
        <v>999</v>
      </c>
      <c r="F88" s="9">
        <v>109330560</v>
      </c>
      <c r="G88" s="9">
        <v>63411724.799999997</v>
      </c>
      <c r="H88" s="13">
        <f t="shared" si="1"/>
        <v>0.57999999999999996</v>
      </c>
    </row>
    <row r="89" spans="1:8">
      <c r="A89" s="5">
        <v>45717</v>
      </c>
      <c r="B89" s="3" t="s">
        <v>54</v>
      </c>
      <c r="C89" s="3" t="s">
        <v>53</v>
      </c>
      <c r="D89" s="7">
        <v>63360</v>
      </c>
      <c r="E89" s="9">
        <v>999</v>
      </c>
      <c r="F89" s="9">
        <v>63296640</v>
      </c>
      <c r="G89" s="9">
        <v>36712051.200000003</v>
      </c>
      <c r="H89" s="13">
        <f t="shared" si="1"/>
        <v>0.58000000000000007</v>
      </c>
    </row>
    <row r="90" spans="1:8">
      <c r="A90" s="5">
        <v>45717</v>
      </c>
      <c r="B90" s="3" t="s">
        <v>55</v>
      </c>
      <c r="C90" s="3" t="s">
        <v>50</v>
      </c>
      <c r="D90" s="7">
        <v>134400</v>
      </c>
      <c r="E90" s="9">
        <v>549</v>
      </c>
      <c r="F90" s="9">
        <v>73785600</v>
      </c>
      <c r="G90" s="9">
        <v>44271360</v>
      </c>
      <c r="H90" s="13">
        <f t="shared" si="1"/>
        <v>0.6</v>
      </c>
    </row>
    <row r="91" spans="1:8">
      <c r="A91" s="5">
        <v>45717</v>
      </c>
      <c r="B91" s="3" t="s">
        <v>55</v>
      </c>
      <c r="C91" s="3" t="s">
        <v>51</v>
      </c>
      <c r="D91" s="7">
        <v>114240</v>
      </c>
      <c r="E91" s="9">
        <v>549</v>
      </c>
      <c r="F91" s="9">
        <v>62717760</v>
      </c>
      <c r="G91" s="9">
        <v>37630656</v>
      </c>
      <c r="H91" s="13">
        <f t="shared" si="1"/>
        <v>0.6</v>
      </c>
    </row>
    <row r="92" spans="1:8">
      <c r="A92" s="5">
        <v>45717</v>
      </c>
      <c r="B92" s="3" t="s">
        <v>55</v>
      </c>
      <c r="C92" s="3" t="s">
        <v>52</v>
      </c>
      <c r="D92" s="7">
        <v>127680</v>
      </c>
      <c r="E92" s="9">
        <v>549</v>
      </c>
      <c r="F92" s="9">
        <v>70096320</v>
      </c>
      <c r="G92" s="9">
        <v>42057792</v>
      </c>
      <c r="H92" s="13">
        <f t="shared" si="1"/>
        <v>0.6</v>
      </c>
    </row>
    <row r="93" spans="1:8">
      <c r="A93" s="5">
        <v>45717</v>
      </c>
      <c r="B93" s="3" t="s">
        <v>55</v>
      </c>
      <c r="C93" s="3" t="s">
        <v>53</v>
      </c>
      <c r="D93" s="7">
        <v>73920</v>
      </c>
      <c r="E93" s="9">
        <v>549</v>
      </c>
      <c r="F93" s="9">
        <v>40582080</v>
      </c>
      <c r="G93" s="9">
        <v>24349248</v>
      </c>
      <c r="H93" s="13">
        <f t="shared" si="1"/>
        <v>0.6</v>
      </c>
    </row>
    <row r="94" spans="1:8">
      <c r="A94" s="5">
        <v>45717</v>
      </c>
      <c r="B94" s="3" t="s">
        <v>56</v>
      </c>
      <c r="C94" s="3" t="s">
        <v>50</v>
      </c>
      <c r="D94" s="7">
        <v>67200</v>
      </c>
      <c r="E94" s="9">
        <v>1199</v>
      </c>
      <c r="F94" s="9">
        <v>80572800</v>
      </c>
      <c r="G94" s="9">
        <v>44315040</v>
      </c>
      <c r="H94" s="13">
        <f t="shared" si="1"/>
        <v>0.55000000000000004</v>
      </c>
    </row>
    <row r="95" spans="1:8">
      <c r="A95" s="5">
        <v>45717</v>
      </c>
      <c r="B95" s="3" t="s">
        <v>56</v>
      </c>
      <c r="C95" s="3" t="s">
        <v>51</v>
      </c>
      <c r="D95" s="7">
        <v>57120</v>
      </c>
      <c r="E95" s="9">
        <v>1199</v>
      </c>
      <c r="F95" s="9">
        <v>68486880</v>
      </c>
      <c r="G95" s="9">
        <v>37667784</v>
      </c>
      <c r="H95" s="13">
        <f t="shared" si="1"/>
        <v>0.55000000000000004</v>
      </c>
    </row>
    <row r="96" spans="1:8">
      <c r="A96" s="5">
        <v>45717</v>
      </c>
      <c r="B96" s="3" t="s">
        <v>56</v>
      </c>
      <c r="C96" s="3" t="s">
        <v>52</v>
      </c>
      <c r="D96" s="7">
        <v>63840</v>
      </c>
      <c r="E96" s="9">
        <v>1199</v>
      </c>
      <c r="F96" s="9">
        <v>76544160</v>
      </c>
      <c r="G96" s="9">
        <v>42099288</v>
      </c>
      <c r="H96" s="13">
        <f t="shared" si="1"/>
        <v>0.55000000000000004</v>
      </c>
    </row>
    <row r="97" spans="1:8">
      <c r="A97" s="5">
        <v>45717</v>
      </c>
      <c r="B97" s="3" t="s">
        <v>56</v>
      </c>
      <c r="C97" s="3" t="s">
        <v>53</v>
      </c>
      <c r="D97" s="7">
        <v>36960</v>
      </c>
      <c r="E97" s="9">
        <v>1199</v>
      </c>
      <c r="F97" s="9">
        <v>44315040</v>
      </c>
      <c r="G97" s="9">
        <v>24373272</v>
      </c>
      <c r="H97" s="13">
        <f t="shared" si="1"/>
        <v>0.55000000000000004</v>
      </c>
    </row>
    <row r="98" spans="1:8">
      <c r="A98" s="5">
        <v>45717</v>
      </c>
      <c r="B98" s="3" t="s">
        <v>57</v>
      </c>
      <c r="C98" s="3" t="s">
        <v>50</v>
      </c>
      <c r="D98" s="7">
        <v>172800</v>
      </c>
      <c r="E98" s="9">
        <v>299</v>
      </c>
      <c r="F98" s="9">
        <v>51667200</v>
      </c>
      <c r="G98" s="9">
        <v>25833600</v>
      </c>
      <c r="H98" s="13">
        <f t="shared" si="1"/>
        <v>0.5</v>
      </c>
    </row>
    <row r="99" spans="1:8">
      <c r="A99" s="5">
        <v>45717</v>
      </c>
      <c r="B99" s="3" t="s">
        <v>57</v>
      </c>
      <c r="C99" s="3" t="s">
        <v>51</v>
      </c>
      <c r="D99" s="7">
        <v>146880</v>
      </c>
      <c r="E99" s="9">
        <v>299</v>
      </c>
      <c r="F99" s="9">
        <v>43917120</v>
      </c>
      <c r="G99" s="9">
        <v>21958560</v>
      </c>
      <c r="H99" s="13">
        <f t="shared" si="1"/>
        <v>0.5</v>
      </c>
    </row>
    <row r="100" spans="1:8">
      <c r="A100" s="5">
        <v>45717</v>
      </c>
      <c r="B100" s="3" t="s">
        <v>57</v>
      </c>
      <c r="C100" s="3" t="s">
        <v>52</v>
      </c>
      <c r="D100" s="7">
        <v>164160</v>
      </c>
      <c r="E100" s="9">
        <v>299</v>
      </c>
      <c r="F100" s="9">
        <v>49083840</v>
      </c>
      <c r="G100" s="9">
        <v>24541920</v>
      </c>
      <c r="H100" s="13">
        <f t="shared" si="1"/>
        <v>0.5</v>
      </c>
    </row>
    <row r="101" spans="1:8">
      <c r="A101" s="5">
        <v>45717</v>
      </c>
      <c r="B101" s="3" t="s">
        <v>57</v>
      </c>
      <c r="C101" s="3" t="s">
        <v>53</v>
      </c>
      <c r="D101" s="7">
        <v>95040</v>
      </c>
      <c r="E101" s="9">
        <v>299</v>
      </c>
      <c r="F101" s="9">
        <v>28416960</v>
      </c>
      <c r="G101" s="9">
        <v>14208480</v>
      </c>
      <c r="H101" s="13">
        <f t="shared" si="1"/>
        <v>0.5</v>
      </c>
    </row>
    <row r="102" spans="1:8">
      <c r="A102" s="5">
        <v>45717</v>
      </c>
      <c r="B102" s="3" t="s">
        <v>58</v>
      </c>
      <c r="C102" s="3" t="s">
        <v>50</v>
      </c>
      <c r="D102" s="7">
        <v>576000</v>
      </c>
      <c r="E102" s="9">
        <v>39</v>
      </c>
      <c r="F102" s="9">
        <v>22464000</v>
      </c>
      <c r="G102" s="9">
        <v>5616000</v>
      </c>
      <c r="H102" s="13">
        <f t="shared" si="1"/>
        <v>0.25</v>
      </c>
    </row>
    <row r="103" spans="1:8">
      <c r="A103" s="5">
        <v>45717</v>
      </c>
      <c r="B103" s="3" t="s">
        <v>58</v>
      </c>
      <c r="C103" s="3" t="s">
        <v>51</v>
      </c>
      <c r="D103" s="7">
        <v>489600</v>
      </c>
      <c r="E103" s="9">
        <v>39</v>
      </c>
      <c r="F103" s="9">
        <v>19094400</v>
      </c>
      <c r="G103" s="9">
        <v>4773600</v>
      </c>
      <c r="H103" s="13">
        <f t="shared" si="1"/>
        <v>0.25</v>
      </c>
    </row>
    <row r="104" spans="1:8">
      <c r="A104" s="5">
        <v>45717</v>
      </c>
      <c r="B104" s="3" t="s">
        <v>58</v>
      </c>
      <c r="C104" s="3" t="s">
        <v>52</v>
      </c>
      <c r="D104" s="7">
        <v>547200</v>
      </c>
      <c r="E104" s="9">
        <v>39</v>
      </c>
      <c r="F104" s="9">
        <v>21340800</v>
      </c>
      <c r="G104" s="9">
        <v>5335200</v>
      </c>
      <c r="H104" s="13">
        <f t="shared" si="1"/>
        <v>0.25</v>
      </c>
    </row>
    <row r="105" spans="1:8">
      <c r="A105" s="5">
        <v>45717</v>
      </c>
      <c r="B105" s="3" t="s">
        <v>58</v>
      </c>
      <c r="C105" s="3" t="s">
        <v>53</v>
      </c>
      <c r="D105" s="7">
        <v>316800</v>
      </c>
      <c r="E105" s="9">
        <v>39</v>
      </c>
      <c r="F105" s="9">
        <v>12355200</v>
      </c>
      <c r="G105" s="9">
        <v>3088800</v>
      </c>
      <c r="H105" s="13">
        <f t="shared" si="1"/>
        <v>0.25</v>
      </c>
    </row>
    <row r="106" spans="1:8">
      <c r="A106" s="5">
        <v>45717</v>
      </c>
      <c r="B106" s="3" t="s">
        <v>59</v>
      </c>
      <c r="C106" s="3" t="s">
        <v>50</v>
      </c>
      <c r="D106" s="7">
        <v>384000</v>
      </c>
      <c r="E106" s="9">
        <v>24</v>
      </c>
      <c r="F106" s="9">
        <v>9216000</v>
      </c>
      <c r="G106" s="9">
        <v>1843200</v>
      </c>
      <c r="H106" s="13">
        <f t="shared" si="1"/>
        <v>0.2</v>
      </c>
    </row>
    <row r="107" spans="1:8">
      <c r="A107" s="5">
        <v>45717</v>
      </c>
      <c r="B107" s="3" t="s">
        <v>59</v>
      </c>
      <c r="C107" s="3" t="s">
        <v>51</v>
      </c>
      <c r="D107" s="7">
        <v>326400</v>
      </c>
      <c r="E107" s="9">
        <v>24</v>
      </c>
      <c r="F107" s="9">
        <v>7833600</v>
      </c>
      <c r="G107" s="9">
        <v>1566720</v>
      </c>
      <c r="H107" s="13">
        <f t="shared" si="1"/>
        <v>0.2</v>
      </c>
    </row>
    <row r="108" spans="1:8">
      <c r="A108" s="5">
        <v>45717</v>
      </c>
      <c r="B108" s="3" t="s">
        <v>59</v>
      </c>
      <c r="C108" s="3" t="s">
        <v>52</v>
      </c>
      <c r="D108" s="7">
        <v>364800</v>
      </c>
      <c r="E108" s="9">
        <v>24</v>
      </c>
      <c r="F108" s="9">
        <v>8755200</v>
      </c>
      <c r="G108" s="9">
        <v>1751040</v>
      </c>
      <c r="H108" s="13">
        <f t="shared" si="1"/>
        <v>0.2</v>
      </c>
    </row>
    <row r="109" spans="1:8">
      <c r="A109" s="5">
        <v>45717</v>
      </c>
      <c r="B109" s="3" t="s">
        <v>59</v>
      </c>
      <c r="C109" s="3" t="s">
        <v>53</v>
      </c>
      <c r="D109" s="7">
        <v>211200</v>
      </c>
      <c r="E109" s="9">
        <v>24</v>
      </c>
      <c r="F109" s="9">
        <v>5068800</v>
      </c>
      <c r="G109" s="9">
        <v>1013760</v>
      </c>
      <c r="H109" s="13">
        <f t="shared" si="1"/>
        <v>0.2</v>
      </c>
    </row>
    <row r="110" spans="1:8">
      <c r="A110" s="5">
        <v>45717</v>
      </c>
      <c r="B110" s="3" t="s">
        <v>60</v>
      </c>
      <c r="C110" s="3" t="s">
        <v>50</v>
      </c>
      <c r="D110" s="7">
        <v>1152000</v>
      </c>
      <c r="E110" s="9">
        <v>12</v>
      </c>
      <c r="F110" s="9">
        <v>13824000</v>
      </c>
      <c r="G110" s="9">
        <v>4147200</v>
      </c>
      <c r="H110" s="13">
        <f t="shared" si="1"/>
        <v>0.3</v>
      </c>
    </row>
    <row r="111" spans="1:8">
      <c r="A111" s="5">
        <v>45717</v>
      </c>
      <c r="B111" s="3" t="s">
        <v>60</v>
      </c>
      <c r="C111" s="3" t="s">
        <v>51</v>
      </c>
      <c r="D111" s="7">
        <v>979200</v>
      </c>
      <c r="E111" s="9">
        <v>12</v>
      </c>
      <c r="F111" s="9">
        <v>11750400</v>
      </c>
      <c r="G111" s="9">
        <v>3525120</v>
      </c>
      <c r="H111" s="13">
        <f t="shared" si="1"/>
        <v>0.3</v>
      </c>
    </row>
    <row r="112" spans="1:8">
      <c r="A112" s="5">
        <v>45717</v>
      </c>
      <c r="B112" s="3" t="s">
        <v>60</v>
      </c>
      <c r="C112" s="3" t="s">
        <v>52</v>
      </c>
      <c r="D112" s="7">
        <v>1094400</v>
      </c>
      <c r="E112" s="9">
        <v>12</v>
      </c>
      <c r="F112" s="9">
        <v>13132800</v>
      </c>
      <c r="G112" s="9">
        <v>3939840</v>
      </c>
      <c r="H112" s="13">
        <f t="shared" si="1"/>
        <v>0.3</v>
      </c>
    </row>
    <row r="113" spans="1:8">
      <c r="A113" s="5">
        <v>45717</v>
      </c>
      <c r="B113" s="3" t="s">
        <v>60</v>
      </c>
      <c r="C113" s="3" t="s">
        <v>53</v>
      </c>
      <c r="D113" s="7">
        <v>633600</v>
      </c>
      <c r="E113" s="9">
        <v>12</v>
      </c>
      <c r="F113" s="9">
        <v>7603200</v>
      </c>
      <c r="G113" s="9">
        <v>2280960</v>
      </c>
      <c r="H113" s="13">
        <f t="shared" si="1"/>
        <v>0.3</v>
      </c>
    </row>
    <row r="114" spans="1:8">
      <c r="A114" s="5">
        <v>45717</v>
      </c>
      <c r="B114" s="3" t="s">
        <v>61</v>
      </c>
      <c r="C114" s="3" t="s">
        <v>50</v>
      </c>
      <c r="D114" s="7">
        <v>768000</v>
      </c>
      <c r="E114" s="9">
        <v>15</v>
      </c>
      <c r="F114" s="9">
        <v>11520000</v>
      </c>
      <c r="G114" s="9">
        <v>4032000</v>
      </c>
      <c r="H114" s="13">
        <f t="shared" si="1"/>
        <v>0.35</v>
      </c>
    </row>
    <row r="115" spans="1:8">
      <c r="A115" s="5">
        <v>45717</v>
      </c>
      <c r="B115" s="3" t="s">
        <v>61</v>
      </c>
      <c r="C115" s="3" t="s">
        <v>51</v>
      </c>
      <c r="D115" s="7">
        <v>652800</v>
      </c>
      <c r="E115" s="9">
        <v>15</v>
      </c>
      <c r="F115" s="9">
        <v>9792000</v>
      </c>
      <c r="G115" s="9">
        <v>3427200</v>
      </c>
      <c r="H115" s="13">
        <f t="shared" si="1"/>
        <v>0.35</v>
      </c>
    </row>
    <row r="116" spans="1:8">
      <c r="A116" s="5">
        <v>45717</v>
      </c>
      <c r="B116" s="3" t="s">
        <v>61</v>
      </c>
      <c r="C116" s="3" t="s">
        <v>52</v>
      </c>
      <c r="D116" s="7">
        <v>729600</v>
      </c>
      <c r="E116" s="9">
        <v>15</v>
      </c>
      <c r="F116" s="9">
        <v>10944000</v>
      </c>
      <c r="G116" s="9">
        <v>3830400</v>
      </c>
      <c r="H116" s="13">
        <f t="shared" si="1"/>
        <v>0.35</v>
      </c>
    </row>
    <row r="117" spans="1:8">
      <c r="A117" s="5">
        <v>45717</v>
      </c>
      <c r="B117" s="3" t="s">
        <v>61</v>
      </c>
      <c r="C117" s="3" t="s">
        <v>53</v>
      </c>
      <c r="D117" s="7">
        <v>422400</v>
      </c>
      <c r="E117" s="9">
        <v>15</v>
      </c>
      <c r="F117" s="9">
        <v>6336000</v>
      </c>
      <c r="G117" s="9">
        <v>2217600</v>
      </c>
      <c r="H117" s="13">
        <f t="shared" si="1"/>
        <v>0.35</v>
      </c>
    </row>
    <row r="118" spans="1:8">
      <c r="A118" s="5">
        <v>45717</v>
      </c>
      <c r="B118" s="3" t="s">
        <v>62</v>
      </c>
      <c r="C118" s="3" t="s">
        <v>50</v>
      </c>
      <c r="D118" s="7">
        <v>864000</v>
      </c>
      <c r="E118" s="9">
        <v>8</v>
      </c>
      <c r="F118" s="9">
        <v>6912000</v>
      </c>
      <c r="G118" s="9">
        <v>1036800</v>
      </c>
      <c r="H118" s="13">
        <f t="shared" si="1"/>
        <v>0.15</v>
      </c>
    </row>
    <row r="119" spans="1:8">
      <c r="A119" s="5">
        <v>45717</v>
      </c>
      <c r="B119" s="3" t="s">
        <v>62</v>
      </c>
      <c r="C119" s="3" t="s">
        <v>51</v>
      </c>
      <c r="D119" s="7">
        <v>734400</v>
      </c>
      <c r="E119" s="9">
        <v>8</v>
      </c>
      <c r="F119" s="9">
        <v>5875200</v>
      </c>
      <c r="G119" s="9">
        <v>881280</v>
      </c>
      <c r="H119" s="13">
        <f t="shared" si="1"/>
        <v>0.15</v>
      </c>
    </row>
    <row r="120" spans="1:8">
      <c r="A120" s="5">
        <v>45717</v>
      </c>
      <c r="B120" s="3" t="s">
        <v>62</v>
      </c>
      <c r="C120" s="3" t="s">
        <v>52</v>
      </c>
      <c r="D120" s="7">
        <v>820800</v>
      </c>
      <c r="E120" s="9">
        <v>8</v>
      </c>
      <c r="F120" s="9">
        <v>6566400</v>
      </c>
      <c r="G120" s="9">
        <v>984960</v>
      </c>
      <c r="H120" s="13">
        <f t="shared" si="1"/>
        <v>0.15</v>
      </c>
    </row>
    <row r="121" spans="1:8">
      <c r="A121" s="5">
        <v>45717</v>
      </c>
      <c r="B121" s="3" t="s">
        <v>62</v>
      </c>
      <c r="C121" s="3" t="s">
        <v>53</v>
      </c>
      <c r="D121" s="7">
        <v>475200</v>
      </c>
      <c r="E121" s="9">
        <v>8</v>
      </c>
      <c r="F121" s="9">
        <v>3801600</v>
      </c>
      <c r="G121" s="9">
        <v>570240</v>
      </c>
      <c r="H121" s="13">
        <f t="shared" si="1"/>
        <v>0.15</v>
      </c>
    </row>
    <row r="122" spans="1:8">
      <c r="A122" s="5">
        <v>45748</v>
      </c>
      <c r="B122" s="3" t="s">
        <v>49</v>
      </c>
      <c r="C122" s="3" t="s">
        <v>50</v>
      </c>
      <c r="D122" s="7">
        <v>237500</v>
      </c>
      <c r="E122" s="9">
        <v>699</v>
      </c>
      <c r="F122" s="9">
        <v>166012500</v>
      </c>
      <c r="G122" s="9">
        <v>102927750</v>
      </c>
      <c r="H122" s="13">
        <f t="shared" si="1"/>
        <v>0.62</v>
      </c>
    </row>
    <row r="123" spans="1:8">
      <c r="A123" s="5">
        <v>45748</v>
      </c>
      <c r="B123" s="3" t="s">
        <v>49</v>
      </c>
      <c r="C123" s="3" t="s">
        <v>51</v>
      </c>
      <c r="D123" s="7">
        <v>201875</v>
      </c>
      <c r="E123" s="9">
        <v>699</v>
      </c>
      <c r="F123" s="9">
        <v>141110625</v>
      </c>
      <c r="G123" s="9">
        <v>87488587.5</v>
      </c>
      <c r="H123" s="13">
        <f t="shared" si="1"/>
        <v>0.62</v>
      </c>
    </row>
    <row r="124" spans="1:8">
      <c r="A124" s="5">
        <v>45748</v>
      </c>
      <c r="B124" s="3" t="s">
        <v>49</v>
      </c>
      <c r="C124" s="3" t="s">
        <v>52</v>
      </c>
      <c r="D124" s="7">
        <v>225625</v>
      </c>
      <c r="E124" s="9">
        <v>699</v>
      </c>
      <c r="F124" s="9">
        <v>157711875</v>
      </c>
      <c r="G124" s="9">
        <v>97781362.5</v>
      </c>
      <c r="H124" s="13">
        <f t="shared" si="1"/>
        <v>0.62</v>
      </c>
    </row>
    <row r="125" spans="1:8">
      <c r="A125" s="5">
        <v>45748</v>
      </c>
      <c r="B125" s="3" t="s">
        <v>49</v>
      </c>
      <c r="C125" s="3" t="s">
        <v>53</v>
      </c>
      <c r="D125" s="7">
        <v>130625</v>
      </c>
      <c r="E125" s="9">
        <v>699</v>
      </c>
      <c r="F125" s="9">
        <v>91306875</v>
      </c>
      <c r="G125" s="9">
        <v>56610262.5</v>
      </c>
      <c r="H125" s="13">
        <f t="shared" si="1"/>
        <v>0.62</v>
      </c>
    </row>
    <row r="126" spans="1:8">
      <c r="A126" s="5">
        <v>45748</v>
      </c>
      <c r="B126" s="3" t="s">
        <v>54</v>
      </c>
      <c r="C126" s="3" t="s">
        <v>50</v>
      </c>
      <c r="D126" s="7">
        <v>114000</v>
      </c>
      <c r="E126" s="9">
        <v>999</v>
      </c>
      <c r="F126" s="9">
        <v>113886000</v>
      </c>
      <c r="G126" s="9">
        <v>66053880</v>
      </c>
      <c r="H126" s="13">
        <f t="shared" si="1"/>
        <v>0.57999999999999996</v>
      </c>
    </row>
    <row r="127" spans="1:8">
      <c r="A127" s="5">
        <v>45748</v>
      </c>
      <c r="B127" s="3" t="s">
        <v>54</v>
      </c>
      <c r="C127" s="3" t="s">
        <v>51</v>
      </c>
      <c r="D127" s="7">
        <v>96900</v>
      </c>
      <c r="E127" s="9">
        <v>999</v>
      </c>
      <c r="F127" s="9">
        <v>96803100</v>
      </c>
      <c r="G127" s="9">
        <v>56145798</v>
      </c>
      <c r="H127" s="13">
        <f t="shared" si="1"/>
        <v>0.57999999999999996</v>
      </c>
    </row>
    <row r="128" spans="1:8">
      <c r="A128" s="5">
        <v>45748</v>
      </c>
      <c r="B128" s="3" t="s">
        <v>54</v>
      </c>
      <c r="C128" s="3" t="s">
        <v>52</v>
      </c>
      <c r="D128" s="7">
        <v>108300</v>
      </c>
      <c r="E128" s="9">
        <v>999</v>
      </c>
      <c r="F128" s="9">
        <v>108191700</v>
      </c>
      <c r="G128" s="9">
        <v>62751186</v>
      </c>
      <c r="H128" s="13">
        <f t="shared" si="1"/>
        <v>0.57999999999999996</v>
      </c>
    </row>
    <row r="129" spans="1:8">
      <c r="A129" s="5">
        <v>45748</v>
      </c>
      <c r="B129" s="3" t="s">
        <v>54</v>
      </c>
      <c r="C129" s="3" t="s">
        <v>53</v>
      </c>
      <c r="D129" s="7">
        <v>62700</v>
      </c>
      <c r="E129" s="9">
        <v>999</v>
      </c>
      <c r="F129" s="9">
        <v>62637300</v>
      </c>
      <c r="G129" s="9">
        <v>36329634</v>
      </c>
      <c r="H129" s="13">
        <f t="shared" si="1"/>
        <v>0.57999999999999996</v>
      </c>
    </row>
    <row r="130" spans="1:8">
      <c r="A130" s="5">
        <v>45748</v>
      </c>
      <c r="B130" s="3" t="s">
        <v>55</v>
      </c>
      <c r="C130" s="3" t="s">
        <v>50</v>
      </c>
      <c r="D130" s="7">
        <v>133000</v>
      </c>
      <c r="E130" s="9">
        <v>549</v>
      </c>
      <c r="F130" s="9">
        <v>73017000</v>
      </c>
      <c r="G130" s="9">
        <v>43810200</v>
      </c>
      <c r="H130" s="13">
        <f t="shared" ref="H130:H193" si="2">G130/F130</f>
        <v>0.6</v>
      </c>
    </row>
    <row r="131" spans="1:8">
      <c r="A131" s="5">
        <v>45748</v>
      </c>
      <c r="B131" s="3" t="s">
        <v>55</v>
      </c>
      <c r="C131" s="3" t="s">
        <v>51</v>
      </c>
      <c r="D131" s="7">
        <v>113050</v>
      </c>
      <c r="E131" s="9">
        <v>549</v>
      </c>
      <c r="F131" s="9">
        <v>62064450</v>
      </c>
      <c r="G131" s="9">
        <v>37238670</v>
      </c>
      <c r="H131" s="13">
        <f t="shared" si="2"/>
        <v>0.6</v>
      </c>
    </row>
    <row r="132" spans="1:8">
      <c r="A132" s="5">
        <v>45748</v>
      </c>
      <c r="B132" s="3" t="s">
        <v>55</v>
      </c>
      <c r="C132" s="3" t="s">
        <v>52</v>
      </c>
      <c r="D132" s="7">
        <v>126350</v>
      </c>
      <c r="E132" s="9">
        <v>549</v>
      </c>
      <c r="F132" s="9">
        <v>69366150</v>
      </c>
      <c r="G132" s="9">
        <v>41619690</v>
      </c>
      <c r="H132" s="13">
        <f t="shared" si="2"/>
        <v>0.6</v>
      </c>
    </row>
    <row r="133" spans="1:8">
      <c r="A133" s="5">
        <v>45748</v>
      </c>
      <c r="B133" s="3" t="s">
        <v>55</v>
      </c>
      <c r="C133" s="3" t="s">
        <v>53</v>
      </c>
      <c r="D133" s="7">
        <v>73150</v>
      </c>
      <c r="E133" s="9">
        <v>549</v>
      </c>
      <c r="F133" s="9">
        <v>40159350</v>
      </c>
      <c r="G133" s="9">
        <v>24095610</v>
      </c>
      <c r="H133" s="13">
        <f t="shared" si="2"/>
        <v>0.6</v>
      </c>
    </row>
    <row r="134" spans="1:8">
      <c r="A134" s="5">
        <v>45748</v>
      </c>
      <c r="B134" s="3" t="s">
        <v>56</v>
      </c>
      <c r="C134" s="3" t="s">
        <v>50</v>
      </c>
      <c r="D134" s="7">
        <v>66500</v>
      </c>
      <c r="E134" s="9">
        <v>1199</v>
      </c>
      <c r="F134" s="9">
        <v>79733500</v>
      </c>
      <c r="G134" s="9">
        <v>43853425</v>
      </c>
      <c r="H134" s="13">
        <f t="shared" si="2"/>
        <v>0.55000000000000004</v>
      </c>
    </row>
    <row r="135" spans="1:8">
      <c r="A135" s="5">
        <v>45748</v>
      </c>
      <c r="B135" s="3" t="s">
        <v>56</v>
      </c>
      <c r="C135" s="3" t="s">
        <v>51</v>
      </c>
      <c r="D135" s="7">
        <v>56525</v>
      </c>
      <c r="E135" s="9">
        <v>1199</v>
      </c>
      <c r="F135" s="9">
        <v>67773475</v>
      </c>
      <c r="G135" s="9">
        <v>37275411.25</v>
      </c>
      <c r="H135" s="13">
        <f t="shared" si="2"/>
        <v>0.55000000000000004</v>
      </c>
    </row>
    <row r="136" spans="1:8">
      <c r="A136" s="5">
        <v>45748</v>
      </c>
      <c r="B136" s="3" t="s">
        <v>56</v>
      </c>
      <c r="C136" s="3" t="s">
        <v>52</v>
      </c>
      <c r="D136" s="7">
        <v>63175</v>
      </c>
      <c r="E136" s="9">
        <v>1199</v>
      </c>
      <c r="F136" s="9">
        <v>75746825</v>
      </c>
      <c r="G136" s="9">
        <v>41660753.75</v>
      </c>
      <c r="H136" s="13">
        <f t="shared" si="2"/>
        <v>0.55000000000000004</v>
      </c>
    </row>
    <row r="137" spans="1:8">
      <c r="A137" s="5">
        <v>45748</v>
      </c>
      <c r="B137" s="3" t="s">
        <v>56</v>
      </c>
      <c r="C137" s="3" t="s">
        <v>53</v>
      </c>
      <c r="D137" s="7">
        <v>36575</v>
      </c>
      <c r="E137" s="9">
        <v>1199</v>
      </c>
      <c r="F137" s="9">
        <v>43853425</v>
      </c>
      <c r="G137" s="9">
        <v>24119383.75</v>
      </c>
      <c r="H137" s="13">
        <f t="shared" si="2"/>
        <v>0.55000000000000004</v>
      </c>
    </row>
    <row r="138" spans="1:8">
      <c r="A138" s="5">
        <v>45748</v>
      </c>
      <c r="B138" s="3" t="s">
        <v>57</v>
      </c>
      <c r="C138" s="3" t="s">
        <v>50</v>
      </c>
      <c r="D138" s="7">
        <v>171000</v>
      </c>
      <c r="E138" s="9">
        <v>299</v>
      </c>
      <c r="F138" s="9">
        <v>51129000</v>
      </c>
      <c r="G138" s="9">
        <v>25564500</v>
      </c>
      <c r="H138" s="13">
        <f t="shared" si="2"/>
        <v>0.5</v>
      </c>
    </row>
    <row r="139" spans="1:8">
      <c r="A139" s="5">
        <v>45748</v>
      </c>
      <c r="B139" s="3" t="s">
        <v>57</v>
      </c>
      <c r="C139" s="3" t="s">
        <v>51</v>
      </c>
      <c r="D139" s="7">
        <v>145350</v>
      </c>
      <c r="E139" s="9">
        <v>299</v>
      </c>
      <c r="F139" s="9">
        <v>43459650</v>
      </c>
      <c r="G139" s="9">
        <v>21729825</v>
      </c>
      <c r="H139" s="13">
        <f t="shared" si="2"/>
        <v>0.5</v>
      </c>
    </row>
    <row r="140" spans="1:8">
      <c r="A140" s="5">
        <v>45748</v>
      </c>
      <c r="B140" s="3" t="s">
        <v>57</v>
      </c>
      <c r="C140" s="3" t="s">
        <v>52</v>
      </c>
      <c r="D140" s="7">
        <v>162450</v>
      </c>
      <c r="E140" s="9">
        <v>299</v>
      </c>
      <c r="F140" s="9">
        <v>48572550</v>
      </c>
      <c r="G140" s="9">
        <v>24286275</v>
      </c>
      <c r="H140" s="13">
        <f t="shared" si="2"/>
        <v>0.5</v>
      </c>
    </row>
    <row r="141" spans="1:8">
      <c r="A141" s="5">
        <v>45748</v>
      </c>
      <c r="B141" s="3" t="s">
        <v>57</v>
      </c>
      <c r="C141" s="3" t="s">
        <v>53</v>
      </c>
      <c r="D141" s="7">
        <v>94050</v>
      </c>
      <c r="E141" s="9">
        <v>299</v>
      </c>
      <c r="F141" s="9">
        <v>28120950</v>
      </c>
      <c r="G141" s="9">
        <v>14060475</v>
      </c>
      <c r="H141" s="13">
        <f t="shared" si="2"/>
        <v>0.5</v>
      </c>
    </row>
    <row r="142" spans="1:8">
      <c r="A142" s="5">
        <v>45748</v>
      </c>
      <c r="B142" s="3" t="s">
        <v>58</v>
      </c>
      <c r="C142" s="3" t="s">
        <v>50</v>
      </c>
      <c r="D142" s="7">
        <v>570000</v>
      </c>
      <c r="E142" s="9">
        <v>39</v>
      </c>
      <c r="F142" s="9">
        <v>22230000</v>
      </c>
      <c r="G142" s="9">
        <v>5557500</v>
      </c>
      <c r="H142" s="13">
        <f t="shared" si="2"/>
        <v>0.25</v>
      </c>
    </row>
    <row r="143" spans="1:8">
      <c r="A143" s="5">
        <v>45748</v>
      </c>
      <c r="B143" s="3" t="s">
        <v>58</v>
      </c>
      <c r="C143" s="3" t="s">
        <v>51</v>
      </c>
      <c r="D143" s="7">
        <v>484500</v>
      </c>
      <c r="E143" s="9">
        <v>39</v>
      </c>
      <c r="F143" s="9">
        <v>18895500</v>
      </c>
      <c r="G143" s="9">
        <v>4723875</v>
      </c>
      <c r="H143" s="13">
        <f t="shared" si="2"/>
        <v>0.25</v>
      </c>
    </row>
    <row r="144" spans="1:8">
      <c r="A144" s="5">
        <v>45748</v>
      </c>
      <c r="B144" s="3" t="s">
        <v>58</v>
      </c>
      <c r="C144" s="3" t="s">
        <v>52</v>
      </c>
      <c r="D144" s="7">
        <v>541500</v>
      </c>
      <c r="E144" s="9">
        <v>39</v>
      </c>
      <c r="F144" s="9">
        <v>21118500</v>
      </c>
      <c r="G144" s="9">
        <v>5279625</v>
      </c>
      <c r="H144" s="13">
        <f t="shared" si="2"/>
        <v>0.25</v>
      </c>
    </row>
    <row r="145" spans="1:8">
      <c r="A145" s="5">
        <v>45748</v>
      </c>
      <c r="B145" s="3" t="s">
        <v>58</v>
      </c>
      <c r="C145" s="3" t="s">
        <v>53</v>
      </c>
      <c r="D145" s="7">
        <v>313500</v>
      </c>
      <c r="E145" s="9">
        <v>39</v>
      </c>
      <c r="F145" s="9">
        <v>12226500</v>
      </c>
      <c r="G145" s="9">
        <v>3056625</v>
      </c>
      <c r="H145" s="13">
        <f t="shared" si="2"/>
        <v>0.25</v>
      </c>
    </row>
    <row r="146" spans="1:8">
      <c r="A146" s="5">
        <v>45748</v>
      </c>
      <c r="B146" s="3" t="s">
        <v>59</v>
      </c>
      <c r="C146" s="3" t="s">
        <v>50</v>
      </c>
      <c r="D146" s="7">
        <v>380000</v>
      </c>
      <c r="E146" s="9">
        <v>24</v>
      </c>
      <c r="F146" s="9">
        <v>9120000</v>
      </c>
      <c r="G146" s="9">
        <v>1824000</v>
      </c>
      <c r="H146" s="13">
        <f t="shared" si="2"/>
        <v>0.2</v>
      </c>
    </row>
    <row r="147" spans="1:8">
      <c r="A147" s="5">
        <v>45748</v>
      </c>
      <c r="B147" s="3" t="s">
        <v>59</v>
      </c>
      <c r="C147" s="3" t="s">
        <v>51</v>
      </c>
      <c r="D147" s="7">
        <v>323000</v>
      </c>
      <c r="E147" s="9">
        <v>24</v>
      </c>
      <c r="F147" s="9">
        <v>7752000</v>
      </c>
      <c r="G147" s="9">
        <v>1550400</v>
      </c>
      <c r="H147" s="13">
        <f t="shared" si="2"/>
        <v>0.2</v>
      </c>
    </row>
    <row r="148" spans="1:8">
      <c r="A148" s="5">
        <v>45748</v>
      </c>
      <c r="B148" s="3" t="s">
        <v>59</v>
      </c>
      <c r="C148" s="3" t="s">
        <v>52</v>
      </c>
      <c r="D148" s="7">
        <v>361000</v>
      </c>
      <c r="E148" s="9">
        <v>24</v>
      </c>
      <c r="F148" s="9">
        <v>8664000</v>
      </c>
      <c r="G148" s="9">
        <v>1732800</v>
      </c>
      <c r="H148" s="13">
        <f t="shared" si="2"/>
        <v>0.2</v>
      </c>
    </row>
    <row r="149" spans="1:8">
      <c r="A149" s="5">
        <v>45748</v>
      </c>
      <c r="B149" s="3" t="s">
        <v>59</v>
      </c>
      <c r="C149" s="3" t="s">
        <v>53</v>
      </c>
      <c r="D149" s="7">
        <v>209000</v>
      </c>
      <c r="E149" s="9">
        <v>24</v>
      </c>
      <c r="F149" s="9">
        <v>5016000</v>
      </c>
      <c r="G149" s="9">
        <v>1003200</v>
      </c>
      <c r="H149" s="13">
        <f t="shared" si="2"/>
        <v>0.2</v>
      </c>
    </row>
    <row r="150" spans="1:8">
      <c r="A150" s="5">
        <v>45748</v>
      </c>
      <c r="B150" s="3" t="s">
        <v>60</v>
      </c>
      <c r="C150" s="3" t="s">
        <v>50</v>
      </c>
      <c r="D150" s="7">
        <v>1140000</v>
      </c>
      <c r="E150" s="9">
        <v>12</v>
      </c>
      <c r="F150" s="9">
        <v>13680000</v>
      </c>
      <c r="G150" s="9">
        <v>4104000</v>
      </c>
      <c r="H150" s="13">
        <f t="shared" si="2"/>
        <v>0.3</v>
      </c>
    </row>
    <row r="151" spans="1:8">
      <c r="A151" s="5">
        <v>45748</v>
      </c>
      <c r="B151" s="3" t="s">
        <v>60</v>
      </c>
      <c r="C151" s="3" t="s">
        <v>51</v>
      </c>
      <c r="D151" s="7">
        <v>969000</v>
      </c>
      <c r="E151" s="9">
        <v>12</v>
      </c>
      <c r="F151" s="9">
        <v>11628000</v>
      </c>
      <c r="G151" s="9">
        <v>3488400</v>
      </c>
      <c r="H151" s="13">
        <f t="shared" si="2"/>
        <v>0.3</v>
      </c>
    </row>
    <row r="152" spans="1:8">
      <c r="A152" s="5">
        <v>45748</v>
      </c>
      <c r="B152" s="3" t="s">
        <v>60</v>
      </c>
      <c r="C152" s="3" t="s">
        <v>52</v>
      </c>
      <c r="D152" s="7">
        <v>1083000</v>
      </c>
      <c r="E152" s="9">
        <v>12</v>
      </c>
      <c r="F152" s="9">
        <v>12996000</v>
      </c>
      <c r="G152" s="9">
        <v>3898800</v>
      </c>
      <c r="H152" s="13">
        <f t="shared" si="2"/>
        <v>0.3</v>
      </c>
    </row>
    <row r="153" spans="1:8">
      <c r="A153" s="5">
        <v>45748</v>
      </c>
      <c r="B153" s="3" t="s">
        <v>60</v>
      </c>
      <c r="C153" s="3" t="s">
        <v>53</v>
      </c>
      <c r="D153" s="7">
        <v>627000</v>
      </c>
      <c r="E153" s="9">
        <v>12</v>
      </c>
      <c r="F153" s="9">
        <v>7524000</v>
      </c>
      <c r="G153" s="9">
        <v>2257200</v>
      </c>
      <c r="H153" s="13">
        <f t="shared" si="2"/>
        <v>0.3</v>
      </c>
    </row>
    <row r="154" spans="1:8">
      <c r="A154" s="5">
        <v>45748</v>
      </c>
      <c r="B154" s="3" t="s">
        <v>61</v>
      </c>
      <c r="C154" s="3" t="s">
        <v>50</v>
      </c>
      <c r="D154" s="7">
        <v>760000</v>
      </c>
      <c r="E154" s="9">
        <v>15</v>
      </c>
      <c r="F154" s="9">
        <v>11400000</v>
      </c>
      <c r="G154" s="9">
        <v>3990000</v>
      </c>
      <c r="H154" s="13">
        <f t="shared" si="2"/>
        <v>0.35</v>
      </c>
    </row>
    <row r="155" spans="1:8">
      <c r="A155" s="5">
        <v>45748</v>
      </c>
      <c r="B155" s="3" t="s">
        <v>61</v>
      </c>
      <c r="C155" s="3" t="s">
        <v>51</v>
      </c>
      <c r="D155" s="7">
        <v>646000</v>
      </c>
      <c r="E155" s="9">
        <v>15</v>
      </c>
      <c r="F155" s="9">
        <v>9690000</v>
      </c>
      <c r="G155" s="9">
        <v>3391500</v>
      </c>
      <c r="H155" s="13">
        <f t="shared" si="2"/>
        <v>0.35</v>
      </c>
    </row>
    <row r="156" spans="1:8">
      <c r="A156" s="5">
        <v>45748</v>
      </c>
      <c r="B156" s="3" t="s">
        <v>61</v>
      </c>
      <c r="C156" s="3" t="s">
        <v>52</v>
      </c>
      <c r="D156" s="7">
        <v>722000</v>
      </c>
      <c r="E156" s="9">
        <v>15</v>
      </c>
      <c r="F156" s="9">
        <v>10830000</v>
      </c>
      <c r="G156" s="9">
        <v>3790500</v>
      </c>
      <c r="H156" s="13">
        <f t="shared" si="2"/>
        <v>0.35</v>
      </c>
    </row>
    <row r="157" spans="1:8">
      <c r="A157" s="5">
        <v>45748</v>
      </c>
      <c r="B157" s="3" t="s">
        <v>61</v>
      </c>
      <c r="C157" s="3" t="s">
        <v>53</v>
      </c>
      <c r="D157" s="7">
        <v>418000</v>
      </c>
      <c r="E157" s="9">
        <v>15</v>
      </c>
      <c r="F157" s="9">
        <v>6270000</v>
      </c>
      <c r="G157" s="9">
        <v>2194500</v>
      </c>
      <c r="H157" s="13">
        <f t="shared" si="2"/>
        <v>0.35</v>
      </c>
    </row>
    <row r="158" spans="1:8">
      <c r="A158" s="5">
        <v>45748</v>
      </c>
      <c r="B158" s="3" t="s">
        <v>62</v>
      </c>
      <c r="C158" s="3" t="s">
        <v>50</v>
      </c>
      <c r="D158" s="7">
        <v>855000</v>
      </c>
      <c r="E158" s="9">
        <v>8</v>
      </c>
      <c r="F158" s="9">
        <v>6840000</v>
      </c>
      <c r="G158" s="9">
        <v>1026000</v>
      </c>
      <c r="H158" s="13">
        <f t="shared" si="2"/>
        <v>0.15</v>
      </c>
    </row>
    <row r="159" spans="1:8">
      <c r="A159" s="5">
        <v>45748</v>
      </c>
      <c r="B159" s="3" t="s">
        <v>62</v>
      </c>
      <c r="C159" s="3" t="s">
        <v>51</v>
      </c>
      <c r="D159" s="7">
        <v>726750</v>
      </c>
      <c r="E159" s="9">
        <v>8</v>
      </c>
      <c r="F159" s="9">
        <v>5814000</v>
      </c>
      <c r="G159" s="9">
        <v>872100</v>
      </c>
      <c r="H159" s="13">
        <f t="shared" si="2"/>
        <v>0.15</v>
      </c>
    </row>
    <row r="160" spans="1:8">
      <c r="A160" s="5">
        <v>45748</v>
      </c>
      <c r="B160" s="3" t="s">
        <v>62</v>
      </c>
      <c r="C160" s="3" t="s">
        <v>52</v>
      </c>
      <c r="D160" s="7">
        <v>812250</v>
      </c>
      <c r="E160" s="9">
        <v>8</v>
      </c>
      <c r="F160" s="9">
        <v>6498000</v>
      </c>
      <c r="G160" s="9">
        <v>974700</v>
      </c>
      <c r="H160" s="13">
        <f t="shared" si="2"/>
        <v>0.15</v>
      </c>
    </row>
    <row r="161" spans="1:8">
      <c r="A161" s="5">
        <v>45748</v>
      </c>
      <c r="B161" s="3" t="s">
        <v>62</v>
      </c>
      <c r="C161" s="3" t="s">
        <v>53</v>
      </c>
      <c r="D161" s="7">
        <v>470250</v>
      </c>
      <c r="E161" s="9">
        <v>8</v>
      </c>
      <c r="F161" s="9">
        <v>3762000</v>
      </c>
      <c r="G161" s="9">
        <v>564300</v>
      </c>
      <c r="H161" s="13">
        <f t="shared" si="2"/>
        <v>0.15</v>
      </c>
    </row>
    <row r="162" spans="1:8">
      <c r="A162" s="5">
        <v>45778</v>
      </c>
      <c r="B162" s="3" t="s">
        <v>49</v>
      </c>
      <c r="C162" s="3" t="s">
        <v>50</v>
      </c>
      <c r="D162" s="7">
        <v>250000</v>
      </c>
      <c r="E162" s="9">
        <v>699</v>
      </c>
      <c r="F162" s="9">
        <v>174750000</v>
      </c>
      <c r="G162" s="9">
        <v>108345000</v>
      </c>
      <c r="H162" s="13">
        <f t="shared" si="2"/>
        <v>0.62</v>
      </c>
    </row>
    <row r="163" spans="1:8">
      <c r="A163" s="5">
        <v>45778</v>
      </c>
      <c r="B163" s="3" t="s">
        <v>49</v>
      </c>
      <c r="C163" s="3" t="s">
        <v>51</v>
      </c>
      <c r="D163" s="7">
        <v>212500</v>
      </c>
      <c r="E163" s="9">
        <v>699</v>
      </c>
      <c r="F163" s="9">
        <v>148537500</v>
      </c>
      <c r="G163" s="9">
        <v>92093250</v>
      </c>
      <c r="H163" s="13">
        <f t="shared" si="2"/>
        <v>0.62</v>
      </c>
    </row>
    <row r="164" spans="1:8">
      <c r="A164" s="5">
        <v>45778</v>
      </c>
      <c r="B164" s="3" t="s">
        <v>49</v>
      </c>
      <c r="C164" s="3" t="s">
        <v>52</v>
      </c>
      <c r="D164" s="7">
        <v>237500</v>
      </c>
      <c r="E164" s="9">
        <v>699</v>
      </c>
      <c r="F164" s="9">
        <v>166012500</v>
      </c>
      <c r="G164" s="9">
        <v>102927750</v>
      </c>
      <c r="H164" s="13">
        <f t="shared" si="2"/>
        <v>0.62</v>
      </c>
    </row>
    <row r="165" spans="1:8">
      <c r="A165" s="5">
        <v>45778</v>
      </c>
      <c r="B165" s="3" t="s">
        <v>49</v>
      </c>
      <c r="C165" s="3" t="s">
        <v>53</v>
      </c>
      <c r="D165" s="7">
        <v>137500</v>
      </c>
      <c r="E165" s="9">
        <v>699</v>
      </c>
      <c r="F165" s="9">
        <v>96112500</v>
      </c>
      <c r="G165" s="9">
        <v>59589750</v>
      </c>
      <c r="H165" s="13">
        <f t="shared" si="2"/>
        <v>0.62</v>
      </c>
    </row>
    <row r="166" spans="1:8">
      <c r="A166" s="5">
        <v>45778</v>
      </c>
      <c r="B166" s="3" t="s">
        <v>54</v>
      </c>
      <c r="C166" s="3" t="s">
        <v>50</v>
      </c>
      <c r="D166" s="7">
        <v>120000</v>
      </c>
      <c r="E166" s="9">
        <v>999</v>
      </c>
      <c r="F166" s="9">
        <v>119880000</v>
      </c>
      <c r="G166" s="9">
        <v>69530400</v>
      </c>
      <c r="H166" s="13">
        <f t="shared" si="2"/>
        <v>0.57999999999999996</v>
      </c>
    </row>
    <row r="167" spans="1:8">
      <c r="A167" s="5">
        <v>45778</v>
      </c>
      <c r="B167" s="3" t="s">
        <v>54</v>
      </c>
      <c r="C167" s="3" t="s">
        <v>51</v>
      </c>
      <c r="D167" s="7">
        <v>102000</v>
      </c>
      <c r="E167" s="9">
        <v>999</v>
      </c>
      <c r="F167" s="9">
        <v>101898000</v>
      </c>
      <c r="G167" s="9">
        <v>59100840</v>
      </c>
      <c r="H167" s="13">
        <f t="shared" si="2"/>
        <v>0.57999999999999996</v>
      </c>
    </row>
    <row r="168" spans="1:8">
      <c r="A168" s="5">
        <v>45778</v>
      </c>
      <c r="B168" s="3" t="s">
        <v>54</v>
      </c>
      <c r="C168" s="3" t="s">
        <v>52</v>
      </c>
      <c r="D168" s="7">
        <v>114000</v>
      </c>
      <c r="E168" s="9">
        <v>999</v>
      </c>
      <c r="F168" s="9">
        <v>113886000</v>
      </c>
      <c r="G168" s="9">
        <v>66053880</v>
      </c>
      <c r="H168" s="13">
        <f t="shared" si="2"/>
        <v>0.57999999999999996</v>
      </c>
    </row>
    <row r="169" spans="1:8">
      <c r="A169" s="5">
        <v>45778</v>
      </c>
      <c r="B169" s="3" t="s">
        <v>54</v>
      </c>
      <c r="C169" s="3" t="s">
        <v>53</v>
      </c>
      <c r="D169" s="7">
        <v>66000</v>
      </c>
      <c r="E169" s="9">
        <v>999</v>
      </c>
      <c r="F169" s="9">
        <v>65934000</v>
      </c>
      <c r="G169" s="9">
        <v>38241720</v>
      </c>
      <c r="H169" s="13">
        <f t="shared" si="2"/>
        <v>0.57999999999999996</v>
      </c>
    </row>
    <row r="170" spans="1:8">
      <c r="A170" s="5">
        <v>45778</v>
      </c>
      <c r="B170" s="3" t="s">
        <v>55</v>
      </c>
      <c r="C170" s="3" t="s">
        <v>50</v>
      </c>
      <c r="D170" s="7">
        <v>140000</v>
      </c>
      <c r="E170" s="9">
        <v>549</v>
      </c>
      <c r="F170" s="9">
        <v>76860000</v>
      </c>
      <c r="G170" s="9">
        <v>46116000</v>
      </c>
      <c r="H170" s="13">
        <f t="shared" si="2"/>
        <v>0.6</v>
      </c>
    </row>
    <row r="171" spans="1:8">
      <c r="A171" s="5">
        <v>45778</v>
      </c>
      <c r="B171" s="3" t="s">
        <v>55</v>
      </c>
      <c r="C171" s="3" t="s">
        <v>51</v>
      </c>
      <c r="D171" s="7">
        <v>119000</v>
      </c>
      <c r="E171" s="9">
        <v>549</v>
      </c>
      <c r="F171" s="9">
        <v>65331000</v>
      </c>
      <c r="G171" s="9">
        <v>39198600</v>
      </c>
      <c r="H171" s="13">
        <f t="shared" si="2"/>
        <v>0.6</v>
      </c>
    </row>
    <row r="172" spans="1:8">
      <c r="A172" s="5">
        <v>45778</v>
      </c>
      <c r="B172" s="3" t="s">
        <v>55</v>
      </c>
      <c r="C172" s="3" t="s">
        <v>52</v>
      </c>
      <c r="D172" s="7">
        <v>133000</v>
      </c>
      <c r="E172" s="9">
        <v>549</v>
      </c>
      <c r="F172" s="9">
        <v>73017000</v>
      </c>
      <c r="G172" s="9">
        <v>43810200</v>
      </c>
      <c r="H172" s="13">
        <f t="shared" si="2"/>
        <v>0.6</v>
      </c>
    </row>
    <row r="173" spans="1:8">
      <c r="A173" s="5">
        <v>45778</v>
      </c>
      <c r="B173" s="3" t="s">
        <v>55</v>
      </c>
      <c r="C173" s="3" t="s">
        <v>53</v>
      </c>
      <c r="D173" s="7">
        <v>77000</v>
      </c>
      <c r="E173" s="9">
        <v>549</v>
      </c>
      <c r="F173" s="9">
        <v>42273000</v>
      </c>
      <c r="G173" s="9">
        <v>25363800</v>
      </c>
      <c r="H173" s="13">
        <f t="shared" si="2"/>
        <v>0.6</v>
      </c>
    </row>
    <row r="174" spans="1:8">
      <c r="A174" s="5">
        <v>45778</v>
      </c>
      <c r="B174" s="3" t="s">
        <v>56</v>
      </c>
      <c r="C174" s="3" t="s">
        <v>50</v>
      </c>
      <c r="D174" s="7">
        <v>70000</v>
      </c>
      <c r="E174" s="9">
        <v>1199</v>
      </c>
      <c r="F174" s="9">
        <v>83930000</v>
      </c>
      <c r="G174" s="9">
        <v>46161500</v>
      </c>
      <c r="H174" s="13">
        <f t="shared" si="2"/>
        <v>0.55000000000000004</v>
      </c>
    </row>
    <row r="175" spans="1:8">
      <c r="A175" s="5">
        <v>45778</v>
      </c>
      <c r="B175" s="3" t="s">
        <v>56</v>
      </c>
      <c r="C175" s="3" t="s">
        <v>51</v>
      </c>
      <c r="D175" s="7">
        <v>59500</v>
      </c>
      <c r="E175" s="9">
        <v>1199</v>
      </c>
      <c r="F175" s="9">
        <v>71340500</v>
      </c>
      <c r="G175" s="9">
        <v>39237275</v>
      </c>
      <c r="H175" s="13">
        <f t="shared" si="2"/>
        <v>0.55000000000000004</v>
      </c>
    </row>
    <row r="176" spans="1:8">
      <c r="A176" s="5">
        <v>45778</v>
      </c>
      <c r="B176" s="3" t="s">
        <v>56</v>
      </c>
      <c r="C176" s="3" t="s">
        <v>52</v>
      </c>
      <c r="D176" s="7">
        <v>66500</v>
      </c>
      <c r="E176" s="9">
        <v>1199</v>
      </c>
      <c r="F176" s="9">
        <v>79733500</v>
      </c>
      <c r="G176" s="9">
        <v>43853425</v>
      </c>
      <c r="H176" s="13">
        <f t="shared" si="2"/>
        <v>0.55000000000000004</v>
      </c>
    </row>
    <row r="177" spans="1:8">
      <c r="A177" s="5">
        <v>45778</v>
      </c>
      <c r="B177" s="3" t="s">
        <v>56</v>
      </c>
      <c r="C177" s="3" t="s">
        <v>53</v>
      </c>
      <c r="D177" s="7">
        <v>38500</v>
      </c>
      <c r="E177" s="9">
        <v>1199</v>
      </c>
      <c r="F177" s="9">
        <v>46161500</v>
      </c>
      <c r="G177" s="9">
        <v>25388825</v>
      </c>
      <c r="H177" s="13">
        <f t="shared" si="2"/>
        <v>0.55000000000000004</v>
      </c>
    </row>
    <row r="178" spans="1:8">
      <c r="A178" s="5">
        <v>45778</v>
      </c>
      <c r="B178" s="3" t="s">
        <v>57</v>
      </c>
      <c r="C178" s="3" t="s">
        <v>50</v>
      </c>
      <c r="D178" s="7">
        <v>180000</v>
      </c>
      <c r="E178" s="9">
        <v>299</v>
      </c>
      <c r="F178" s="9">
        <v>53820000</v>
      </c>
      <c r="G178" s="9">
        <v>26910000</v>
      </c>
      <c r="H178" s="13">
        <f t="shared" si="2"/>
        <v>0.5</v>
      </c>
    </row>
    <row r="179" spans="1:8">
      <c r="A179" s="5">
        <v>45778</v>
      </c>
      <c r="B179" s="3" t="s">
        <v>57</v>
      </c>
      <c r="C179" s="3" t="s">
        <v>51</v>
      </c>
      <c r="D179" s="7">
        <v>153000</v>
      </c>
      <c r="E179" s="9">
        <v>299</v>
      </c>
      <c r="F179" s="9">
        <v>45747000</v>
      </c>
      <c r="G179" s="9">
        <v>22873500</v>
      </c>
      <c r="H179" s="13">
        <f t="shared" si="2"/>
        <v>0.5</v>
      </c>
    </row>
    <row r="180" spans="1:8">
      <c r="A180" s="5">
        <v>45778</v>
      </c>
      <c r="B180" s="3" t="s">
        <v>57</v>
      </c>
      <c r="C180" s="3" t="s">
        <v>52</v>
      </c>
      <c r="D180" s="7">
        <v>171000</v>
      </c>
      <c r="E180" s="9">
        <v>299</v>
      </c>
      <c r="F180" s="9">
        <v>51129000</v>
      </c>
      <c r="G180" s="9">
        <v>25564500</v>
      </c>
      <c r="H180" s="13">
        <f t="shared" si="2"/>
        <v>0.5</v>
      </c>
    </row>
    <row r="181" spans="1:8">
      <c r="A181" s="5">
        <v>45778</v>
      </c>
      <c r="B181" s="3" t="s">
        <v>57</v>
      </c>
      <c r="C181" s="3" t="s">
        <v>53</v>
      </c>
      <c r="D181" s="7">
        <v>99000</v>
      </c>
      <c r="E181" s="9">
        <v>299</v>
      </c>
      <c r="F181" s="9">
        <v>29601000</v>
      </c>
      <c r="G181" s="9">
        <v>14800500</v>
      </c>
      <c r="H181" s="13">
        <f t="shared" si="2"/>
        <v>0.5</v>
      </c>
    </row>
    <row r="182" spans="1:8">
      <c r="A182" s="5">
        <v>45778</v>
      </c>
      <c r="B182" s="3" t="s">
        <v>58</v>
      </c>
      <c r="C182" s="3" t="s">
        <v>50</v>
      </c>
      <c r="D182" s="7">
        <v>600000</v>
      </c>
      <c r="E182" s="9">
        <v>39</v>
      </c>
      <c r="F182" s="9">
        <v>23400000</v>
      </c>
      <c r="G182" s="9">
        <v>5850000</v>
      </c>
      <c r="H182" s="13">
        <f t="shared" si="2"/>
        <v>0.25</v>
      </c>
    </row>
    <row r="183" spans="1:8">
      <c r="A183" s="5">
        <v>45778</v>
      </c>
      <c r="B183" s="3" t="s">
        <v>58</v>
      </c>
      <c r="C183" s="3" t="s">
        <v>51</v>
      </c>
      <c r="D183" s="7">
        <v>510000</v>
      </c>
      <c r="E183" s="9">
        <v>39</v>
      </c>
      <c r="F183" s="9">
        <v>19890000</v>
      </c>
      <c r="G183" s="9">
        <v>4972500</v>
      </c>
      <c r="H183" s="13">
        <f t="shared" si="2"/>
        <v>0.25</v>
      </c>
    </row>
    <row r="184" spans="1:8">
      <c r="A184" s="5">
        <v>45778</v>
      </c>
      <c r="B184" s="3" t="s">
        <v>58</v>
      </c>
      <c r="C184" s="3" t="s">
        <v>52</v>
      </c>
      <c r="D184" s="7">
        <v>570000</v>
      </c>
      <c r="E184" s="9">
        <v>39</v>
      </c>
      <c r="F184" s="9">
        <v>22230000</v>
      </c>
      <c r="G184" s="9">
        <v>5557500</v>
      </c>
      <c r="H184" s="13">
        <f t="shared" si="2"/>
        <v>0.25</v>
      </c>
    </row>
    <row r="185" spans="1:8">
      <c r="A185" s="5">
        <v>45778</v>
      </c>
      <c r="B185" s="3" t="s">
        <v>58</v>
      </c>
      <c r="C185" s="3" t="s">
        <v>53</v>
      </c>
      <c r="D185" s="7">
        <v>330000</v>
      </c>
      <c r="E185" s="9">
        <v>39</v>
      </c>
      <c r="F185" s="9">
        <v>12870000</v>
      </c>
      <c r="G185" s="9">
        <v>3217500</v>
      </c>
      <c r="H185" s="13">
        <f t="shared" si="2"/>
        <v>0.25</v>
      </c>
    </row>
    <row r="186" spans="1:8">
      <c r="A186" s="5">
        <v>45778</v>
      </c>
      <c r="B186" s="3" t="s">
        <v>59</v>
      </c>
      <c r="C186" s="3" t="s">
        <v>50</v>
      </c>
      <c r="D186" s="7">
        <v>400000</v>
      </c>
      <c r="E186" s="9">
        <v>24</v>
      </c>
      <c r="F186" s="9">
        <v>9600000</v>
      </c>
      <c r="G186" s="9">
        <v>1920000</v>
      </c>
      <c r="H186" s="13">
        <f t="shared" si="2"/>
        <v>0.2</v>
      </c>
    </row>
    <row r="187" spans="1:8">
      <c r="A187" s="5">
        <v>45778</v>
      </c>
      <c r="B187" s="3" t="s">
        <v>59</v>
      </c>
      <c r="C187" s="3" t="s">
        <v>51</v>
      </c>
      <c r="D187" s="7">
        <v>340000</v>
      </c>
      <c r="E187" s="9">
        <v>24</v>
      </c>
      <c r="F187" s="9">
        <v>8160000</v>
      </c>
      <c r="G187" s="9">
        <v>1632000</v>
      </c>
      <c r="H187" s="13">
        <f t="shared" si="2"/>
        <v>0.2</v>
      </c>
    </row>
    <row r="188" spans="1:8">
      <c r="A188" s="5">
        <v>45778</v>
      </c>
      <c r="B188" s="3" t="s">
        <v>59</v>
      </c>
      <c r="C188" s="3" t="s">
        <v>52</v>
      </c>
      <c r="D188" s="7">
        <v>380000</v>
      </c>
      <c r="E188" s="9">
        <v>24</v>
      </c>
      <c r="F188" s="9">
        <v>9120000</v>
      </c>
      <c r="G188" s="9">
        <v>1824000</v>
      </c>
      <c r="H188" s="13">
        <f t="shared" si="2"/>
        <v>0.2</v>
      </c>
    </row>
    <row r="189" spans="1:8">
      <c r="A189" s="5">
        <v>45778</v>
      </c>
      <c r="B189" s="3" t="s">
        <v>59</v>
      </c>
      <c r="C189" s="3" t="s">
        <v>53</v>
      </c>
      <c r="D189" s="7">
        <v>220000</v>
      </c>
      <c r="E189" s="9">
        <v>24</v>
      </c>
      <c r="F189" s="9">
        <v>5280000</v>
      </c>
      <c r="G189" s="9">
        <v>1056000</v>
      </c>
      <c r="H189" s="13">
        <f t="shared" si="2"/>
        <v>0.2</v>
      </c>
    </row>
    <row r="190" spans="1:8">
      <c r="A190" s="5">
        <v>45778</v>
      </c>
      <c r="B190" s="3" t="s">
        <v>60</v>
      </c>
      <c r="C190" s="3" t="s">
        <v>50</v>
      </c>
      <c r="D190" s="7">
        <v>1200000</v>
      </c>
      <c r="E190" s="9">
        <v>12</v>
      </c>
      <c r="F190" s="9">
        <v>14400000</v>
      </c>
      <c r="G190" s="9">
        <v>4320000</v>
      </c>
      <c r="H190" s="13">
        <f t="shared" si="2"/>
        <v>0.3</v>
      </c>
    </row>
    <row r="191" spans="1:8">
      <c r="A191" s="5">
        <v>45778</v>
      </c>
      <c r="B191" s="3" t="s">
        <v>60</v>
      </c>
      <c r="C191" s="3" t="s">
        <v>51</v>
      </c>
      <c r="D191" s="7">
        <v>1020000</v>
      </c>
      <c r="E191" s="9">
        <v>12</v>
      </c>
      <c r="F191" s="9">
        <v>12240000</v>
      </c>
      <c r="G191" s="9">
        <v>3672000</v>
      </c>
      <c r="H191" s="13">
        <f t="shared" si="2"/>
        <v>0.3</v>
      </c>
    </row>
    <row r="192" spans="1:8">
      <c r="A192" s="5">
        <v>45778</v>
      </c>
      <c r="B192" s="3" t="s">
        <v>60</v>
      </c>
      <c r="C192" s="3" t="s">
        <v>52</v>
      </c>
      <c r="D192" s="7">
        <v>1140000</v>
      </c>
      <c r="E192" s="9">
        <v>12</v>
      </c>
      <c r="F192" s="9">
        <v>13680000</v>
      </c>
      <c r="G192" s="9">
        <v>4104000</v>
      </c>
      <c r="H192" s="13">
        <f t="shared" si="2"/>
        <v>0.3</v>
      </c>
    </row>
    <row r="193" spans="1:8">
      <c r="A193" s="5">
        <v>45778</v>
      </c>
      <c r="B193" s="3" t="s">
        <v>60</v>
      </c>
      <c r="C193" s="3" t="s">
        <v>53</v>
      </c>
      <c r="D193" s="7">
        <v>660000</v>
      </c>
      <c r="E193" s="9">
        <v>12</v>
      </c>
      <c r="F193" s="9">
        <v>7920000</v>
      </c>
      <c r="G193" s="9">
        <v>2376000</v>
      </c>
      <c r="H193" s="13">
        <f t="shared" si="2"/>
        <v>0.3</v>
      </c>
    </row>
    <row r="194" spans="1:8">
      <c r="A194" s="5">
        <v>45778</v>
      </c>
      <c r="B194" s="3" t="s">
        <v>61</v>
      </c>
      <c r="C194" s="3" t="s">
        <v>50</v>
      </c>
      <c r="D194" s="7">
        <v>800000</v>
      </c>
      <c r="E194" s="9">
        <v>15</v>
      </c>
      <c r="F194" s="9">
        <v>12000000</v>
      </c>
      <c r="G194" s="9">
        <v>4200000</v>
      </c>
      <c r="H194" s="13">
        <f t="shared" ref="H194:H257" si="3">G194/F194</f>
        <v>0.35</v>
      </c>
    </row>
    <row r="195" spans="1:8">
      <c r="A195" s="5">
        <v>45778</v>
      </c>
      <c r="B195" s="3" t="s">
        <v>61</v>
      </c>
      <c r="C195" s="3" t="s">
        <v>51</v>
      </c>
      <c r="D195" s="7">
        <v>680000</v>
      </c>
      <c r="E195" s="9">
        <v>15</v>
      </c>
      <c r="F195" s="9">
        <v>10200000</v>
      </c>
      <c r="G195" s="9">
        <v>3570000</v>
      </c>
      <c r="H195" s="13">
        <f t="shared" si="3"/>
        <v>0.35</v>
      </c>
    </row>
    <row r="196" spans="1:8">
      <c r="A196" s="5">
        <v>45778</v>
      </c>
      <c r="B196" s="3" t="s">
        <v>61</v>
      </c>
      <c r="C196" s="3" t="s">
        <v>52</v>
      </c>
      <c r="D196" s="7">
        <v>760000</v>
      </c>
      <c r="E196" s="9">
        <v>15</v>
      </c>
      <c r="F196" s="9">
        <v>11400000</v>
      </c>
      <c r="G196" s="9">
        <v>3990000</v>
      </c>
      <c r="H196" s="13">
        <f t="shared" si="3"/>
        <v>0.35</v>
      </c>
    </row>
    <row r="197" spans="1:8">
      <c r="A197" s="5">
        <v>45778</v>
      </c>
      <c r="B197" s="3" t="s">
        <v>61</v>
      </c>
      <c r="C197" s="3" t="s">
        <v>53</v>
      </c>
      <c r="D197" s="7">
        <v>440000</v>
      </c>
      <c r="E197" s="9">
        <v>15</v>
      </c>
      <c r="F197" s="9">
        <v>6600000</v>
      </c>
      <c r="G197" s="9">
        <v>2310000</v>
      </c>
      <c r="H197" s="13">
        <f t="shared" si="3"/>
        <v>0.35</v>
      </c>
    </row>
    <row r="198" spans="1:8">
      <c r="A198" s="5">
        <v>45778</v>
      </c>
      <c r="B198" s="3" t="s">
        <v>62</v>
      </c>
      <c r="C198" s="3" t="s">
        <v>50</v>
      </c>
      <c r="D198" s="7">
        <v>900000</v>
      </c>
      <c r="E198" s="9">
        <v>8</v>
      </c>
      <c r="F198" s="9">
        <v>7200000</v>
      </c>
      <c r="G198" s="9">
        <v>1080000</v>
      </c>
      <c r="H198" s="13">
        <f t="shared" si="3"/>
        <v>0.15</v>
      </c>
    </row>
    <row r="199" spans="1:8">
      <c r="A199" s="5">
        <v>45778</v>
      </c>
      <c r="B199" s="3" t="s">
        <v>62</v>
      </c>
      <c r="C199" s="3" t="s">
        <v>51</v>
      </c>
      <c r="D199" s="7">
        <v>765000</v>
      </c>
      <c r="E199" s="9">
        <v>8</v>
      </c>
      <c r="F199" s="9">
        <v>6120000</v>
      </c>
      <c r="G199" s="9">
        <v>918000</v>
      </c>
      <c r="H199" s="13">
        <f t="shared" si="3"/>
        <v>0.15</v>
      </c>
    </row>
    <row r="200" spans="1:8">
      <c r="A200" s="5">
        <v>45778</v>
      </c>
      <c r="B200" s="3" t="s">
        <v>62</v>
      </c>
      <c r="C200" s="3" t="s">
        <v>52</v>
      </c>
      <c r="D200" s="7">
        <v>855000</v>
      </c>
      <c r="E200" s="9">
        <v>8</v>
      </c>
      <c r="F200" s="9">
        <v>6840000</v>
      </c>
      <c r="G200" s="9">
        <v>1026000</v>
      </c>
      <c r="H200" s="13">
        <f t="shared" si="3"/>
        <v>0.15</v>
      </c>
    </row>
    <row r="201" spans="1:8">
      <c r="A201" s="5">
        <v>45778</v>
      </c>
      <c r="B201" s="3" t="s">
        <v>62</v>
      </c>
      <c r="C201" s="3" t="s">
        <v>53</v>
      </c>
      <c r="D201" s="7">
        <v>495000</v>
      </c>
      <c r="E201" s="9">
        <v>8</v>
      </c>
      <c r="F201" s="9">
        <v>3960000</v>
      </c>
      <c r="G201" s="9">
        <v>594000</v>
      </c>
      <c r="H201" s="13">
        <f t="shared" si="3"/>
        <v>0.15</v>
      </c>
    </row>
    <row r="202" spans="1:8">
      <c r="A202" s="5">
        <v>45809</v>
      </c>
      <c r="B202" s="3" t="s">
        <v>49</v>
      </c>
      <c r="C202" s="3" t="s">
        <v>50</v>
      </c>
      <c r="D202" s="7">
        <v>255000</v>
      </c>
      <c r="E202" s="9">
        <v>699</v>
      </c>
      <c r="F202" s="9">
        <v>178245000</v>
      </c>
      <c r="G202" s="9">
        <v>110511900</v>
      </c>
      <c r="H202" s="13">
        <f t="shared" si="3"/>
        <v>0.62</v>
      </c>
    </row>
    <row r="203" spans="1:8">
      <c r="A203" s="5">
        <v>45809</v>
      </c>
      <c r="B203" s="3" t="s">
        <v>49</v>
      </c>
      <c r="C203" s="3" t="s">
        <v>51</v>
      </c>
      <c r="D203" s="7">
        <v>216750</v>
      </c>
      <c r="E203" s="9">
        <v>699</v>
      </c>
      <c r="F203" s="9">
        <v>151508250</v>
      </c>
      <c r="G203" s="9">
        <v>93935115</v>
      </c>
      <c r="H203" s="13">
        <f t="shared" si="3"/>
        <v>0.62</v>
      </c>
    </row>
    <row r="204" spans="1:8">
      <c r="A204" s="5">
        <v>45809</v>
      </c>
      <c r="B204" s="3" t="s">
        <v>49</v>
      </c>
      <c r="C204" s="3" t="s">
        <v>52</v>
      </c>
      <c r="D204" s="7">
        <v>242250</v>
      </c>
      <c r="E204" s="9">
        <v>699</v>
      </c>
      <c r="F204" s="9">
        <v>169332750</v>
      </c>
      <c r="G204" s="9">
        <v>104986305</v>
      </c>
      <c r="H204" s="13">
        <f t="shared" si="3"/>
        <v>0.62</v>
      </c>
    </row>
    <row r="205" spans="1:8">
      <c r="A205" s="5">
        <v>45809</v>
      </c>
      <c r="B205" s="3" t="s">
        <v>49</v>
      </c>
      <c r="C205" s="3" t="s">
        <v>53</v>
      </c>
      <c r="D205" s="7">
        <v>140250</v>
      </c>
      <c r="E205" s="9">
        <v>699</v>
      </c>
      <c r="F205" s="9">
        <v>98034750</v>
      </c>
      <c r="G205" s="9">
        <v>60781545</v>
      </c>
      <c r="H205" s="13">
        <f t="shared" si="3"/>
        <v>0.62</v>
      </c>
    </row>
    <row r="206" spans="1:8">
      <c r="A206" s="5">
        <v>45809</v>
      </c>
      <c r="B206" s="3" t="s">
        <v>54</v>
      </c>
      <c r="C206" s="3" t="s">
        <v>50</v>
      </c>
      <c r="D206" s="7">
        <v>122400</v>
      </c>
      <c r="E206" s="9">
        <v>999</v>
      </c>
      <c r="F206" s="9">
        <v>122277600</v>
      </c>
      <c r="G206" s="9">
        <v>70921008</v>
      </c>
      <c r="H206" s="13">
        <f t="shared" si="3"/>
        <v>0.57999999999999996</v>
      </c>
    </row>
    <row r="207" spans="1:8">
      <c r="A207" s="5">
        <v>45809</v>
      </c>
      <c r="B207" s="3" t="s">
        <v>54</v>
      </c>
      <c r="C207" s="3" t="s">
        <v>51</v>
      </c>
      <c r="D207" s="7">
        <v>104040</v>
      </c>
      <c r="E207" s="9">
        <v>999</v>
      </c>
      <c r="F207" s="9">
        <v>103935960</v>
      </c>
      <c r="G207" s="9">
        <v>60282856.799999997</v>
      </c>
      <c r="H207" s="13">
        <f t="shared" si="3"/>
        <v>0.57999999999999996</v>
      </c>
    </row>
    <row r="208" spans="1:8">
      <c r="A208" s="5">
        <v>45809</v>
      </c>
      <c r="B208" s="3" t="s">
        <v>54</v>
      </c>
      <c r="C208" s="3" t="s">
        <v>52</v>
      </c>
      <c r="D208" s="7">
        <v>116280</v>
      </c>
      <c r="E208" s="9">
        <v>999</v>
      </c>
      <c r="F208" s="9">
        <v>116163720</v>
      </c>
      <c r="G208" s="9">
        <v>67374957.599999994</v>
      </c>
      <c r="H208" s="13">
        <f t="shared" si="3"/>
        <v>0.57999999999999996</v>
      </c>
    </row>
    <row r="209" spans="1:8">
      <c r="A209" s="5">
        <v>45809</v>
      </c>
      <c r="B209" s="3" t="s">
        <v>54</v>
      </c>
      <c r="C209" s="3" t="s">
        <v>53</v>
      </c>
      <c r="D209" s="7">
        <v>67320</v>
      </c>
      <c r="E209" s="9">
        <v>999</v>
      </c>
      <c r="F209" s="9">
        <v>67252680</v>
      </c>
      <c r="G209" s="9">
        <v>39006554.399999999</v>
      </c>
      <c r="H209" s="13">
        <f t="shared" si="3"/>
        <v>0.57999999999999996</v>
      </c>
    </row>
    <row r="210" spans="1:8">
      <c r="A210" s="5">
        <v>45809</v>
      </c>
      <c r="B210" s="3" t="s">
        <v>55</v>
      </c>
      <c r="C210" s="3" t="s">
        <v>50</v>
      </c>
      <c r="D210" s="7">
        <v>142800</v>
      </c>
      <c r="E210" s="9">
        <v>549</v>
      </c>
      <c r="F210" s="9">
        <v>78397200</v>
      </c>
      <c r="G210" s="9">
        <v>47038320</v>
      </c>
      <c r="H210" s="13">
        <f t="shared" si="3"/>
        <v>0.6</v>
      </c>
    </row>
    <row r="211" spans="1:8">
      <c r="A211" s="5">
        <v>45809</v>
      </c>
      <c r="B211" s="3" t="s">
        <v>55</v>
      </c>
      <c r="C211" s="3" t="s">
        <v>51</v>
      </c>
      <c r="D211" s="7">
        <v>121380</v>
      </c>
      <c r="E211" s="9">
        <v>549</v>
      </c>
      <c r="F211" s="9">
        <v>66637620</v>
      </c>
      <c r="G211" s="9">
        <v>39982572</v>
      </c>
      <c r="H211" s="13">
        <f t="shared" si="3"/>
        <v>0.6</v>
      </c>
    </row>
    <row r="212" spans="1:8">
      <c r="A212" s="5">
        <v>45809</v>
      </c>
      <c r="B212" s="3" t="s">
        <v>55</v>
      </c>
      <c r="C212" s="3" t="s">
        <v>52</v>
      </c>
      <c r="D212" s="7">
        <v>135660</v>
      </c>
      <c r="E212" s="9">
        <v>549</v>
      </c>
      <c r="F212" s="9">
        <v>74477340</v>
      </c>
      <c r="G212" s="9">
        <v>44686404</v>
      </c>
      <c r="H212" s="13">
        <f t="shared" si="3"/>
        <v>0.6</v>
      </c>
    </row>
    <row r="213" spans="1:8">
      <c r="A213" s="5">
        <v>45809</v>
      </c>
      <c r="B213" s="3" t="s">
        <v>55</v>
      </c>
      <c r="C213" s="3" t="s">
        <v>53</v>
      </c>
      <c r="D213" s="7">
        <v>78540</v>
      </c>
      <c r="E213" s="9">
        <v>549</v>
      </c>
      <c r="F213" s="9">
        <v>43118460</v>
      </c>
      <c r="G213" s="9">
        <v>25871076</v>
      </c>
      <c r="H213" s="13">
        <f t="shared" si="3"/>
        <v>0.6</v>
      </c>
    </row>
    <row r="214" spans="1:8">
      <c r="A214" s="5">
        <v>45809</v>
      </c>
      <c r="B214" s="3" t="s">
        <v>56</v>
      </c>
      <c r="C214" s="3" t="s">
        <v>50</v>
      </c>
      <c r="D214" s="7">
        <v>71400</v>
      </c>
      <c r="E214" s="9">
        <v>1199</v>
      </c>
      <c r="F214" s="9">
        <v>85608600</v>
      </c>
      <c r="G214" s="9">
        <v>47084730</v>
      </c>
      <c r="H214" s="13">
        <f t="shared" si="3"/>
        <v>0.55000000000000004</v>
      </c>
    </row>
    <row r="215" spans="1:8">
      <c r="A215" s="5">
        <v>45809</v>
      </c>
      <c r="B215" s="3" t="s">
        <v>56</v>
      </c>
      <c r="C215" s="3" t="s">
        <v>51</v>
      </c>
      <c r="D215" s="7">
        <v>60690</v>
      </c>
      <c r="E215" s="9">
        <v>1199</v>
      </c>
      <c r="F215" s="9">
        <v>72767310</v>
      </c>
      <c r="G215" s="9">
        <v>40022020.5</v>
      </c>
      <c r="H215" s="13">
        <f t="shared" si="3"/>
        <v>0.55000000000000004</v>
      </c>
    </row>
    <row r="216" spans="1:8">
      <c r="A216" s="5">
        <v>45809</v>
      </c>
      <c r="B216" s="3" t="s">
        <v>56</v>
      </c>
      <c r="C216" s="3" t="s">
        <v>52</v>
      </c>
      <c r="D216" s="7">
        <v>67830</v>
      </c>
      <c r="E216" s="9">
        <v>1199</v>
      </c>
      <c r="F216" s="9">
        <v>81328170</v>
      </c>
      <c r="G216" s="9">
        <v>44730493.5</v>
      </c>
      <c r="H216" s="13">
        <f t="shared" si="3"/>
        <v>0.55000000000000004</v>
      </c>
    </row>
    <row r="217" spans="1:8">
      <c r="A217" s="5">
        <v>45809</v>
      </c>
      <c r="B217" s="3" t="s">
        <v>56</v>
      </c>
      <c r="C217" s="3" t="s">
        <v>53</v>
      </c>
      <c r="D217" s="7">
        <v>39270</v>
      </c>
      <c r="E217" s="9">
        <v>1199</v>
      </c>
      <c r="F217" s="9">
        <v>47084730</v>
      </c>
      <c r="G217" s="9">
        <v>25896601.5</v>
      </c>
      <c r="H217" s="13">
        <f t="shared" si="3"/>
        <v>0.55000000000000004</v>
      </c>
    </row>
    <row r="218" spans="1:8">
      <c r="A218" s="5">
        <v>45809</v>
      </c>
      <c r="B218" s="3" t="s">
        <v>57</v>
      </c>
      <c r="C218" s="3" t="s">
        <v>50</v>
      </c>
      <c r="D218" s="7">
        <v>183600</v>
      </c>
      <c r="E218" s="9">
        <v>299</v>
      </c>
      <c r="F218" s="9">
        <v>54896400</v>
      </c>
      <c r="G218" s="9">
        <v>27448200</v>
      </c>
      <c r="H218" s="13">
        <f t="shared" si="3"/>
        <v>0.5</v>
      </c>
    </row>
    <row r="219" spans="1:8">
      <c r="A219" s="5">
        <v>45809</v>
      </c>
      <c r="B219" s="3" t="s">
        <v>57</v>
      </c>
      <c r="C219" s="3" t="s">
        <v>51</v>
      </c>
      <c r="D219" s="7">
        <v>156060</v>
      </c>
      <c r="E219" s="9">
        <v>299</v>
      </c>
      <c r="F219" s="9">
        <v>46661940</v>
      </c>
      <c r="G219" s="9">
        <v>23330970</v>
      </c>
      <c r="H219" s="13">
        <f t="shared" si="3"/>
        <v>0.5</v>
      </c>
    </row>
    <row r="220" spans="1:8">
      <c r="A220" s="5">
        <v>45809</v>
      </c>
      <c r="B220" s="3" t="s">
        <v>57</v>
      </c>
      <c r="C220" s="3" t="s">
        <v>52</v>
      </c>
      <c r="D220" s="7">
        <v>174420</v>
      </c>
      <c r="E220" s="9">
        <v>299</v>
      </c>
      <c r="F220" s="9">
        <v>52151580</v>
      </c>
      <c r="G220" s="9">
        <v>26075790</v>
      </c>
      <c r="H220" s="13">
        <f t="shared" si="3"/>
        <v>0.5</v>
      </c>
    </row>
    <row r="221" spans="1:8">
      <c r="A221" s="5">
        <v>45809</v>
      </c>
      <c r="B221" s="3" t="s">
        <v>57</v>
      </c>
      <c r="C221" s="3" t="s">
        <v>53</v>
      </c>
      <c r="D221" s="7">
        <v>100980</v>
      </c>
      <c r="E221" s="9">
        <v>299</v>
      </c>
      <c r="F221" s="9">
        <v>30193020</v>
      </c>
      <c r="G221" s="9">
        <v>15096510</v>
      </c>
      <c r="H221" s="13">
        <f t="shared" si="3"/>
        <v>0.5</v>
      </c>
    </row>
    <row r="222" spans="1:8">
      <c r="A222" s="5">
        <v>45809</v>
      </c>
      <c r="B222" s="3" t="s">
        <v>58</v>
      </c>
      <c r="C222" s="3" t="s">
        <v>50</v>
      </c>
      <c r="D222" s="7">
        <v>612000</v>
      </c>
      <c r="E222" s="9">
        <v>39</v>
      </c>
      <c r="F222" s="9">
        <v>23868000</v>
      </c>
      <c r="G222" s="9">
        <v>5967000</v>
      </c>
      <c r="H222" s="13">
        <f t="shared" si="3"/>
        <v>0.25</v>
      </c>
    </row>
    <row r="223" spans="1:8">
      <c r="A223" s="5">
        <v>45809</v>
      </c>
      <c r="B223" s="3" t="s">
        <v>58</v>
      </c>
      <c r="C223" s="3" t="s">
        <v>51</v>
      </c>
      <c r="D223" s="7">
        <v>520200</v>
      </c>
      <c r="E223" s="9">
        <v>39</v>
      </c>
      <c r="F223" s="9">
        <v>20287800</v>
      </c>
      <c r="G223" s="9">
        <v>5071950</v>
      </c>
      <c r="H223" s="13">
        <f t="shared" si="3"/>
        <v>0.25</v>
      </c>
    </row>
    <row r="224" spans="1:8">
      <c r="A224" s="5">
        <v>45809</v>
      </c>
      <c r="B224" s="3" t="s">
        <v>58</v>
      </c>
      <c r="C224" s="3" t="s">
        <v>52</v>
      </c>
      <c r="D224" s="7">
        <v>581400</v>
      </c>
      <c r="E224" s="9">
        <v>39</v>
      </c>
      <c r="F224" s="9">
        <v>22674600</v>
      </c>
      <c r="G224" s="9">
        <v>5668650</v>
      </c>
      <c r="H224" s="13">
        <f t="shared" si="3"/>
        <v>0.25</v>
      </c>
    </row>
    <row r="225" spans="1:8">
      <c r="A225" s="5">
        <v>45809</v>
      </c>
      <c r="B225" s="3" t="s">
        <v>58</v>
      </c>
      <c r="C225" s="3" t="s">
        <v>53</v>
      </c>
      <c r="D225" s="7">
        <v>336600</v>
      </c>
      <c r="E225" s="9">
        <v>39</v>
      </c>
      <c r="F225" s="9">
        <v>13127400</v>
      </c>
      <c r="G225" s="9">
        <v>3281850</v>
      </c>
      <c r="H225" s="13">
        <f t="shared" si="3"/>
        <v>0.25</v>
      </c>
    </row>
    <row r="226" spans="1:8">
      <c r="A226" s="5">
        <v>45809</v>
      </c>
      <c r="B226" s="3" t="s">
        <v>59</v>
      </c>
      <c r="C226" s="3" t="s">
        <v>50</v>
      </c>
      <c r="D226" s="7">
        <v>408000</v>
      </c>
      <c r="E226" s="9">
        <v>24</v>
      </c>
      <c r="F226" s="9">
        <v>9792000</v>
      </c>
      <c r="G226" s="9">
        <v>1958400</v>
      </c>
      <c r="H226" s="13">
        <f t="shared" si="3"/>
        <v>0.2</v>
      </c>
    </row>
    <row r="227" spans="1:8">
      <c r="A227" s="5">
        <v>45809</v>
      </c>
      <c r="B227" s="3" t="s">
        <v>59</v>
      </c>
      <c r="C227" s="3" t="s">
        <v>51</v>
      </c>
      <c r="D227" s="7">
        <v>346800</v>
      </c>
      <c r="E227" s="9">
        <v>24</v>
      </c>
      <c r="F227" s="9">
        <v>8323200</v>
      </c>
      <c r="G227" s="9">
        <v>1664640</v>
      </c>
      <c r="H227" s="13">
        <f t="shared" si="3"/>
        <v>0.2</v>
      </c>
    </row>
    <row r="228" spans="1:8">
      <c r="A228" s="5">
        <v>45809</v>
      </c>
      <c r="B228" s="3" t="s">
        <v>59</v>
      </c>
      <c r="C228" s="3" t="s">
        <v>52</v>
      </c>
      <c r="D228" s="7">
        <v>387600</v>
      </c>
      <c r="E228" s="9">
        <v>24</v>
      </c>
      <c r="F228" s="9">
        <v>9302400</v>
      </c>
      <c r="G228" s="9">
        <v>1860480</v>
      </c>
      <c r="H228" s="13">
        <f t="shared" si="3"/>
        <v>0.2</v>
      </c>
    </row>
    <row r="229" spans="1:8">
      <c r="A229" s="5">
        <v>45809</v>
      </c>
      <c r="B229" s="3" t="s">
        <v>59</v>
      </c>
      <c r="C229" s="3" t="s">
        <v>53</v>
      </c>
      <c r="D229" s="7">
        <v>224400</v>
      </c>
      <c r="E229" s="9">
        <v>24</v>
      </c>
      <c r="F229" s="9">
        <v>5385600</v>
      </c>
      <c r="G229" s="9">
        <v>1077120</v>
      </c>
      <c r="H229" s="13">
        <f t="shared" si="3"/>
        <v>0.2</v>
      </c>
    </row>
    <row r="230" spans="1:8">
      <c r="A230" s="5">
        <v>45809</v>
      </c>
      <c r="B230" s="3" t="s">
        <v>60</v>
      </c>
      <c r="C230" s="3" t="s">
        <v>50</v>
      </c>
      <c r="D230" s="7">
        <v>1224000</v>
      </c>
      <c r="E230" s="9">
        <v>12</v>
      </c>
      <c r="F230" s="9">
        <v>14688000</v>
      </c>
      <c r="G230" s="9">
        <v>4406400</v>
      </c>
      <c r="H230" s="13">
        <f t="shared" si="3"/>
        <v>0.3</v>
      </c>
    </row>
    <row r="231" spans="1:8">
      <c r="A231" s="5">
        <v>45809</v>
      </c>
      <c r="B231" s="3" t="s">
        <v>60</v>
      </c>
      <c r="C231" s="3" t="s">
        <v>51</v>
      </c>
      <c r="D231" s="7">
        <v>1040400</v>
      </c>
      <c r="E231" s="9">
        <v>12</v>
      </c>
      <c r="F231" s="9">
        <v>12484800</v>
      </c>
      <c r="G231" s="9">
        <v>3745440</v>
      </c>
      <c r="H231" s="13">
        <f t="shared" si="3"/>
        <v>0.3</v>
      </c>
    </row>
    <row r="232" spans="1:8">
      <c r="A232" s="5">
        <v>45809</v>
      </c>
      <c r="B232" s="3" t="s">
        <v>60</v>
      </c>
      <c r="C232" s="3" t="s">
        <v>52</v>
      </c>
      <c r="D232" s="7">
        <v>1162800</v>
      </c>
      <c r="E232" s="9">
        <v>12</v>
      </c>
      <c r="F232" s="9">
        <v>13953600</v>
      </c>
      <c r="G232" s="9">
        <v>4186080</v>
      </c>
      <c r="H232" s="13">
        <f t="shared" si="3"/>
        <v>0.3</v>
      </c>
    </row>
    <row r="233" spans="1:8">
      <c r="A233" s="5">
        <v>45809</v>
      </c>
      <c r="B233" s="3" t="s">
        <v>60</v>
      </c>
      <c r="C233" s="3" t="s">
        <v>53</v>
      </c>
      <c r="D233" s="7">
        <v>673200</v>
      </c>
      <c r="E233" s="9">
        <v>12</v>
      </c>
      <c r="F233" s="9">
        <v>8078400</v>
      </c>
      <c r="G233" s="9">
        <v>2423520</v>
      </c>
      <c r="H233" s="13">
        <f t="shared" si="3"/>
        <v>0.3</v>
      </c>
    </row>
    <row r="234" spans="1:8">
      <c r="A234" s="5">
        <v>45809</v>
      </c>
      <c r="B234" s="3" t="s">
        <v>61</v>
      </c>
      <c r="C234" s="3" t="s">
        <v>50</v>
      </c>
      <c r="D234" s="7">
        <v>816000</v>
      </c>
      <c r="E234" s="9">
        <v>15</v>
      </c>
      <c r="F234" s="9">
        <v>12240000</v>
      </c>
      <c r="G234" s="9">
        <v>4284000</v>
      </c>
      <c r="H234" s="13">
        <f t="shared" si="3"/>
        <v>0.35</v>
      </c>
    </row>
    <row r="235" spans="1:8">
      <c r="A235" s="5">
        <v>45809</v>
      </c>
      <c r="B235" s="3" t="s">
        <v>61</v>
      </c>
      <c r="C235" s="3" t="s">
        <v>51</v>
      </c>
      <c r="D235" s="7">
        <v>693600</v>
      </c>
      <c r="E235" s="9">
        <v>15</v>
      </c>
      <c r="F235" s="9">
        <v>10404000</v>
      </c>
      <c r="G235" s="9">
        <v>3641400</v>
      </c>
      <c r="H235" s="13">
        <f t="shared" si="3"/>
        <v>0.35</v>
      </c>
    </row>
    <row r="236" spans="1:8">
      <c r="A236" s="5">
        <v>45809</v>
      </c>
      <c r="B236" s="3" t="s">
        <v>61</v>
      </c>
      <c r="C236" s="3" t="s">
        <v>52</v>
      </c>
      <c r="D236" s="7">
        <v>775200</v>
      </c>
      <c r="E236" s="9">
        <v>15</v>
      </c>
      <c r="F236" s="9">
        <v>11628000</v>
      </c>
      <c r="G236" s="9">
        <v>4069800</v>
      </c>
      <c r="H236" s="13">
        <f t="shared" si="3"/>
        <v>0.35</v>
      </c>
    </row>
    <row r="237" spans="1:8">
      <c r="A237" s="5">
        <v>45809</v>
      </c>
      <c r="B237" s="3" t="s">
        <v>61</v>
      </c>
      <c r="C237" s="3" t="s">
        <v>53</v>
      </c>
      <c r="D237" s="7">
        <v>448800</v>
      </c>
      <c r="E237" s="9">
        <v>15</v>
      </c>
      <c r="F237" s="9">
        <v>6732000</v>
      </c>
      <c r="G237" s="9">
        <v>2356200</v>
      </c>
      <c r="H237" s="13">
        <f t="shared" si="3"/>
        <v>0.35</v>
      </c>
    </row>
    <row r="238" spans="1:8">
      <c r="A238" s="5">
        <v>45809</v>
      </c>
      <c r="B238" s="3" t="s">
        <v>62</v>
      </c>
      <c r="C238" s="3" t="s">
        <v>50</v>
      </c>
      <c r="D238" s="7">
        <v>918000</v>
      </c>
      <c r="E238" s="9">
        <v>8</v>
      </c>
      <c r="F238" s="9">
        <v>7344000</v>
      </c>
      <c r="G238" s="9">
        <v>1101600</v>
      </c>
      <c r="H238" s="13">
        <f t="shared" si="3"/>
        <v>0.15</v>
      </c>
    </row>
    <row r="239" spans="1:8">
      <c r="A239" s="5">
        <v>45809</v>
      </c>
      <c r="B239" s="3" t="s">
        <v>62</v>
      </c>
      <c r="C239" s="3" t="s">
        <v>51</v>
      </c>
      <c r="D239" s="7">
        <v>780300</v>
      </c>
      <c r="E239" s="9">
        <v>8</v>
      </c>
      <c r="F239" s="9">
        <v>6242400</v>
      </c>
      <c r="G239" s="9">
        <v>936360</v>
      </c>
      <c r="H239" s="13">
        <f t="shared" si="3"/>
        <v>0.15</v>
      </c>
    </row>
    <row r="240" spans="1:8">
      <c r="A240" s="5">
        <v>45809</v>
      </c>
      <c r="B240" s="3" t="s">
        <v>62</v>
      </c>
      <c r="C240" s="3" t="s">
        <v>52</v>
      </c>
      <c r="D240" s="7">
        <v>872100</v>
      </c>
      <c r="E240" s="9">
        <v>8</v>
      </c>
      <c r="F240" s="9">
        <v>6976800</v>
      </c>
      <c r="G240" s="9">
        <v>1046520</v>
      </c>
      <c r="H240" s="13">
        <f t="shared" si="3"/>
        <v>0.15</v>
      </c>
    </row>
    <row r="241" spans="1:8">
      <c r="A241" s="5">
        <v>45809</v>
      </c>
      <c r="B241" s="3" t="s">
        <v>62</v>
      </c>
      <c r="C241" s="3" t="s">
        <v>53</v>
      </c>
      <c r="D241" s="7">
        <v>504900</v>
      </c>
      <c r="E241" s="9">
        <v>8</v>
      </c>
      <c r="F241" s="9">
        <v>4039200</v>
      </c>
      <c r="G241" s="9">
        <v>605880</v>
      </c>
      <c r="H241" s="13">
        <f t="shared" si="3"/>
        <v>0.15</v>
      </c>
    </row>
    <row r="242" spans="1:8">
      <c r="A242" s="5">
        <v>45839</v>
      </c>
      <c r="B242" s="3" t="s">
        <v>49</v>
      </c>
      <c r="C242" s="3" t="s">
        <v>50</v>
      </c>
      <c r="D242" s="7">
        <v>257500</v>
      </c>
      <c r="E242" s="9">
        <v>699</v>
      </c>
      <c r="F242" s="9">
        <v>179992500</v>
      </c>
      <c r="G242" s="9">
        <v>111595350</v>
      </c>
      <c r="H242" s="13">
        <f t="shared" si="3"/>
        <v>0.62</v>
      </c>
    </row>
    <row r="243" spans="1:8">
      <c r="A243" s="5">
        <v>45839</v>
      </c>
      <c r="B243" s="3" t="s">
        <v>49</v>
      </c>
      <c r="C243" s="3" t="s">
        <v>51</v>
      </c>
      <c r="D243" s="7">
        <v>218875</v>
      </c>
      <c r="E243" s="9">
        <v>699</v>
      </c>
      <c r="F243" s="9">
        <v>152993625</v>
      </c>
      <c r="G243" s="9">
        <v>94856047.5</v>
      </c>
      <c r="H243" s="13">
        <f t="shared" si="3"/>
        <v>0.62</v>
      </c>
    </row>
    <row r="244" spans="1:8">
      <c r="A244" s="5">
        <v>45839</v>
      </c>
      <c r="B244" s="3" t="s">
        <v>49</v>
      </c>
      <c r="C244" s="3" t="s">
        <v>52</v>
      </c>
      <c r="D244" s="7">
        <v>244625</v>
      </c>
      <c r="E244" s="9">
        <v>699</v>
      </c>
      <c r="F244" s="9">
        <v>170992875</v>
      </c>
      <c r="G244" s="9">
        <v>106015582.5</v>
      </c>
      <c r="H244" s="13">
        <f t="shared" si="3"/>
        <v>0.62</v>
      </c>
    </row>
    <row r="245" spans="1:8">
      <c r="A245" s="5">
        <v>45839</v>
      </c>
      <c r="B245" s="3" t="s">
        <v>49</v>
      </c>
      <c r="C245" s="3" t="s">
        <v>53</v>
      </c>
      <c r="D245" s="7">
        <v>141625</v>
      </c>
      <c r="E245" s="9">
        <v>699</v>
      </c>
      <c r="F245" s="9">
        <v>98995875</v>
      </c>
      <c r="G245" s="9">
        <v>61377442.5</v>
      </c>
      <c r="H245" s="13">
        <f t="shared" si="3"/>
        <v>0.62</v>
      </c>
    </row>
    <row r="246" spans="1:8">
      <c r="A246" s="5">
        <v>45839</v>
      </c>
      <c r="B246" s="3" t="s">
        <v>54</v>
      </c>
      <c r="C246" s="3" t="s">
        <v>50</v>
      </c>
      <c r="D246" s="7">
        <v>123600</v>
      </c>
      <c r="E246" s="9">
        <v>999</v>
      </c>
      <c r="F246" s="9">
        <v>123476400</v>
      </c>
      <c r="G246" s="9">
        <v>71616312</v>
      </c>
      <c r="H246" s="13">
        <f t="shared" si="3"/>
        <v>0.57999999999999996</v>
      </c>
    </row>
    <row r="247" spans="1:8">
      <c r="A247" s="5">
        <v>45839</v>
      </c>
      <c r="B247" s="3" t="s">
        <v>54</v>
      </c>
      <c r="C247" s="3" t="s">
        <v>51</v>
      </c>
      <c r="D247" s="7">
        <v>105060</v>
      </c>
      <c r="E247" s="9">
        <v>999</v>
      </c>
      <c r="F247" s="9">
        <v>104954940</v>
      </c>
      <c r="G247" s="9">
        <v>60873865.200000003</v>
      </c>
      <c r="H247" s="13">
        <f t="shared" si="3"/>
        <v>0.58000000000000007</v>
      </c>
    </row>
    <row r="248" spans="1:8">
      <c r="A248" s="5">
        <v>45839</v>
      </c>
      <c r="B248" s="3" t="s">
        <v>54</v>
      </c>
      <c r="C248" s="3" t="s">
        <v>52</v>
      </c>
      <c r="D248" s="7">
        <v>117420</v>
      </c>
      <c r="E248" s="9">
        <v>999</v>
      </c>
      <c r="F248" s="9">
        <v>117302580</v>
      </c>
      <c r="G248" s="9">
        <v>68035496.400000006</v>
      </c>
      <c r="H248" s="13">
        <f t="shared" si="3"/>
        <v>0.58000000000000007</v>
      </c>
    </row>
    <row r="249" spans="1:8">
      <c r="A249" s="5">
        <v>45839</v>
      </c>
      <c r="B249" s="3" t="s">
        <v>54</v>
      </c>
      <c r="C249" s="3" t="s">
        <v>53</v>
      </c>
      <c r="D249" s="7">
        <v>67980</v>
      </c>
      <c r="E249" s="9">
        <v>999</v>
      </c>
      <c r="F249" s="9">
        <v>67912020</v>
      </c>
      <c r="G249" s="9">
        <v>39388971.600000001</v>
      </c>
      <c r="H249" s="13">
        <f t="shared" si="3"/>
        <v>0.58000000000000007</v>
      </c>
    </row>
    <row r="250" spans="1:8">
      <c r="A250" s="5">
        <v>45839</v>
      </c>
      <c r="B250" s="3" t="s">
        <v>55</v>
      </c>
      <c r="C250" s="3" t="s">
        <v>50</v>
      </c>
      <c r="D250" s="7">
        <v>144200</v>
      </c>
      <c r="E250" s="9">
        <v>549</v>
      </c>
      <c r="F250" s="9">
        <v>79165800</v>
      </c>
      <c r="G250" s="9">
        <v>47499480</v>
      </c>
      <c r="H250" s="13">
        <f t="shared" si="3"/>
        <v>0.6</v>
      </c>
    </row>
    <row r="251" spans="1:8">
      <c r="A251" s="5">
        <v>45839</v>
      </c>
      <c r="B251" s="3" t="s">
        <v>55</v>
      </c>
      <c r="C251" s="3" t="s">
        <v>51</v>
      </c>
      <c r="D251" s="7">
        <v>122570</v>
      </c>
      <c r="E251" s="9">
        <v>549</v>
      </c>
      <c r="F251" s="9">
        <v>67290930</v>
      </c>
      <c r="G251" s="9">
        <v>40374558</v>
      </c>
      <c r="H251" s="13">
        <f t="shared" si="3"/>
        <v>0.6</v>
      </c>
    </row>
    <row r="252" spans="1:8">
      <c r="A252" s="5">
        <v>45839</v>
      </c>
      <c r="B252" s="3" t="s">
        <v>55</v>
      </c>
      <c r="C252" s="3" t="s">
        <v>52</v>
      </c>
      <c r="D252" s="7">
        <v>136990</v>
      </c>
      <c r="E252" s="9">
        <v>549</v>
      </c>
      <c r="F252" s="9">
        <v>75207510</v>
      </c>
      <c r="G252" s="9">
        <v>45124506</v>
      </c>
      <c r="H252" s="13">
        <f t="shared" si="3"/>
        <v>0.6</v>
      </c>
    </row>
    <row r="253" spans="1:8">
      <c r="A253" s="5">
        <v>45839</v>
      </c>
      <c r="B253" s="3" t="s">
        <v>55</v>
      </c>
      <c r="C253" s="3" t="s">
        <v>53</v>
      </c>
      <c r="D253" s="7">
        <v>79310</v>
      </c>
      <c r="E253" s="9">
        <v>549</v>
      </c>
      <c r="F253" s="9">
        <v>43541190</v>
      </c>
      <c r="G253" s="9">
        <v>26124714</v>
      </c>
      <c r="H253" s="13">
        <f t="shared" si="3"/>
        <v>0.6</v>
      </c>
    </row>
    <row r="254" spans="1:8">
      <c r="A254" s="5">
        <v>45839</v>
      </c>
      <c r="B254" s="3" t="s">
        <v>56</v>
      </c>
      <c r="C254" s="3" t="s">
        <v>50</v>
      </c>
      <c r="D254" s="7">
        <v>72100</v>
      </c>
      <c r="E254" s="9">
        <v>1199</v>
      </c>
      <c r="F254" s="9">
        <v>86447900</v>
      </c>
      <c r="G254" s="9">
        <v>47546345</v>
      </c>
      <c r="H254" s="13">
        <f t="shared" si="3"/>
        <v>0.55000000000000004</v>
      </c>
    </row>
    <row r="255" spans="1:8">
      <c r="A255" s="5">
        <v>45839</v>
      </c>
      <c r="B255" s="3" t="s">
        <v>56</v>
      </c>
      <c r="C255" s="3" t="s">
        <v>51</v>
      </c>
      <c r="D255" s="7">
        <v>61285</v>
      </c>
      <c r="E255" s="9">
        <v>1199</v>
      </c>
      <c r="F255" s="9">
        <v>73480715</v>
      </c>
      <c r="G255" s="9">
        <v>40414393.25</v>
      </c>
      <c r="H255" s="13">
        <f t="shared" si="3"/>
        <v>0.55000000000000004</v>
      </c>
    </row>
    <row r="256" spans="1:8">
      <c r="A256" s="5">
        <v>45839</v>
      </c>
      <c r="B256" s="3" t="s">
        <v>56</v>
      </c>
      <c r="C256" s="3" t="s">
        <v>52</v>
      </c>
      <c r="D256" s="7">
        <v>68495</v>
      </c>
      <c r="E256" s="9">
        <v>1199</v>
      </c>
      <c r="F256" s="9">
        <v>82125505</v>
      </c>
      <c r="G256" s="9">
        <v>45169027.75</v>
      </c>
      <c r="H256" s="13">
        <f t="shared" si="3"/>
        <v>0.55000000000000004</v>
      </c>
    </row>
    <row r="257" spans="1:8">
      <c r="A257" s="5">
        <v>45839</v>
      </c>
      <c r="B257" s="3" t="s">
        <v>56</v>
      </c>
      <c r="C257" s="3" t="s">
        <v>53</v>
      </c>
      <c r="D257" s="7">
        <v>39655</v>
      </c>
      <c r="E257" s="9">
        <v>1199</v>
      </c>
      <c r="F257" s="9">
        <v>47546345</v>
      </c>
      <c r="G257" s="9">
        <v>26150489.75</v>
      </c>
      <c r="H257" s="13">
        <f t="shared" si="3"/>
        <v>0.55000000000000004</v>
      </c>
    </row>
    <row r="258" spans="1:8">
      <c r="A258" s="5">
        <v>45839</v>
      </c>
      <c r="B258" s="3" t="s">
        <v>57</v>
      </c>
      <c r="C258" s="3" t="s">
        <v>50</v>
      </c>
      <c r="D258" s="7">
        <v>185400</v>
      </c>
      <c r="E258" s="9">
        <v>299</v>
      </c>
      <c r="F258" s="9">
        <v>55434600</v>
      </c>
      <c r="G258" s="9">
        <v>27717300</v>
      </c>
      <c r="H258" s="13">
        <f t="shared" ref="H258:H321" si="4">G258/F258</f>
        <v>0.5</v>
      </c>
    </row>
    <row r="259" spans="1:8">
      <c r="A259" s="5">
        <v>45839</v>
      </c>
      <c r="B259" s="3" t="s">
        <v>57</v>
      </c>
      <c r="C259" s="3" t="s">
        <v>51</v>
      </c>
      <c r="D259" s="7">
        <v>157590</v>
      </c>
      <c r="E259" s="9">
        <v>299</v>
      </c>
      <c r="F259" s="9">
        <v>47119410</v>
      </c>
      <c r="G259" s="9">
        <v>23559705</v>
      </c>
      <c r="H259" s="13">
        <f t="shared" si="4"/>
        <v>0.5</v>
      </c>
    </row>
    <row r="260" spans="1:8">
      <c r="A260" s="5">
        <v>45839</v>
      </c>
      <c r="B260" s="3" t="s">
        <v>57</v>
      </c>
      <c r="C260" s="3" t="s">
        <v>52</v>
      </c>
      <c r="D260" s="7">
        <v>176130</v>
      </c>
      <c r="E260" s="9">
        <v>299</v>
      </c>
      <c r="F260" s="9">
        <v>52662870</v>
      </c>
      <c r="G260" s="9">
        <v>26331435</v>
      </c>
      <c r="H260" s="13">
        <f t="shared" si="4"/>
        <v>0.5</v>
      </c>
    </row>
    <row r="261" spans="1:8">
      <c r="A261" s="5">
        <v>45839</v>
      </c>
      <c r="B261" s="3" t="s">
        <v>57</v>
      </c>
      <c r="C261" s="3" t="s">
        <v>53</v>
      </c>
      <c r="D261" s="7">
        <v>101970</v>
      </c>
      <c r="E261" s="9">
        <v>299</v>
      </c>
      <c r="F261" s="9">
        <v>30489030</v>
      </c>
      <c r="G261" s="9">
        <v>15244515</v>
      </c>
      <c r="H261" s="13">
        <f t="shared" si="4"/>
        <v>0.5</v>
      </c>
    </row>
    <row r="262" spans="1:8">
      <c r="A262" s="5">
        <v>45839</v>
      </c>
      <c r="B262" s="3" t="s">
        <v>58</v>
      </c>
      <c r="C262" s="3" t="s">
        <v>50</v>
      </c>
      <c r="D262" s="7">
        <v>618000</v>
      </c>
      <c r="E262" s="9">
        <v>39</v>
      </c>
      <c r="F262" s="9">
        <v>24102000</v>
      </c>
      <c r="G262" s="9">
        <v>6025500</v>
      </c>
      <c r="H262" s="13">
        <f t="shared" si="4"/>
        <v>0.25</v>
      </c>
    </row>
    <row r="263" spans="1:8">
      <c r="A263" s="5">
        <v>45839</v>
      </c>
      <c r="B263" s="3" t="s">
        <v>58</v>
      </c>
      <c r="C263" s="3" t="s">
        <v>51</v>
      </c>
      <c r="D263" s="7">
        <v>525300</v>
      </c>
      <c r="E263" s="9">
        <v>39</v>
      </c>
      <c r="F263" s="9">
        <v>20486700</v>
      </c>
      <c r="G263" s="9">
        <v>5121675</v>
      </c>
      <c r="H263" s="13">
        <f t="shared" si="4"/>
        <v>0.25</v>
      </c>
    </row>
    <row r="264" spans="1:8">
      <c r="A264" s="5">
        <v>45839</v>
      </c>
      <c r="B264" s="3" t="s">
        <v>58</v>
      </c>
      <c r="C264" s="3" t="s">
        <v>52</v>
      </c>
      <c r="D264" s="7">
        <v>587100</v>
      </c>
      <c r="E264" s="9">
        <v>39</v>
      </c>
      <c r="F264" s="9">
        <v>22896900</v>
      </c>
      <c r="G264" s="9">
        <v>5724225</v>
      </c>
      <c r="H264" s="13">
        <f t="shared" si="4"/>
        <v>0.25</v>
      </c>
    </row>
    <row r="265" spans="1:8">
      <c r="A265" s="5">
        <v>45839</v>
      </c>
      <c r="B265" s="3" t="s">
        <v>58</v>
      </c>
      <c r="C265" s="3" t="s">
        <v>53</v>
      </c>
      <c r="D265" s="7">
        <v>339900</v>
      </c>
      <c r="E265" s="9">
        <v>39</v>
      </c>
      <c r="F265" s="9">
        <v>13256100</v>
      </c>
      <c r="G265" s="9">
        <v>3314025</v>
      </c>
      <c r="H265" s="13">
        <f t="shared" si="4"/>
        <v>0.25</v>
      </c>
    </row>
    <row r="266" spans="1:8">
      <c r="A266" s="5">
        <v>45839</v>
      </c>
      <c r="B266" s="3" t="s">
        <v>59</v>
      </c>
      <c r="C266" s="3" t="s">
        <v>50</v>
      </c>
      <c r="D266" s="7">
        <v>412000</v>
      </c>
      <c r="E266" s="9">
        <v>24</v>
      </c>
      <c r="F266" s="9">
        <v>9888000</v>
      </c>
      <c r="G266" s="9">
        <v>1977600</v>
      </c>
      <c r="H266" s="13">
        <f t="shared" si="4"/>
        <v>0.2</v>
      </c>
    </row>
    <row r="267" spans="1:8">
      <c r="A267" s="5">
        <v>45839</v>
      </c>
      <c r="B267" s="3" t="s">
        <v>59</v>
      </c>
      <c r="C267" s="3" t="s">
        <v>51</v>
      </c>
      <c r="D267" s="7">
        <v>350200</v>
      </c>
      <c r="E267" s="9">
        <v>24</v>
      </c>
      <c r="F267" s="9">
        <v>8404800</v>
      </c>
      <c r="G267" s="9">
        <v>1680960</v>
      </c>
      <c r="H267" s="13">
        <f t="shared" si="4"/>
        <v>0.2</v>
      </c>
    </row>
    <row r="268" spans="1:8">
      <c r="A268" s="5">
        <v>45839</v>
      </c>
      <c r="B268" s="3" t="s">
        <v>59</v>
      </c>
      <c r="C268" s="3" t="s">
        <v>52</v>
      </c>
      <c r="D268" s="7">
        <v>391400</v>
      </c>
      <c r="E268" s="9">
        <v>24</v>
      </c>
      <c r="F268" s="9">
        <v>9393600</v>
      </c>
      <c r="G268" s="9">
        <v>1878720</v>
      </c>
      <c r="H268" s="13">
        <f t="shared" si="4"/>
        <v>0.2</v>
      </c>
    </row>
    <row r="269" spans="1:8">
      <c r="A269" s="5">
        <v>45839</v>
      </c>
      <c r="B269" s="3" t="s">
        <v>59</v>
      </c>
      <c r="C269" s="3" t="s">
        <v>53</v>
      </c>
      <c r="D269" s="7">
        <v>226600</v>
      </c>
      <c r="E269" s="9">
        <v>24</v>
      </c>
      <c r="F269" s="9">
        <v>5438400</v>
      </c>
      <c r="G269" s="9">
        <v>1087680</v>
      </c>
      <c r="H269" s="13">
        <f t="shared" si="4"/>
        <v>0.2</v>
      </c>
    </row>
    <row r="270" spans="1:8">
      <c r="A270" s="5">
        <v>45839</v>
      </c>
      <c r="B270" s="3" t="s">
        <v>60</v>
      </c>
      <c r="C270" s="3" t="s">
        <v>50</v>
      </c>
      <c r="D270" s="7">
        <v>1236000</v>
      </c>
      <c r="E270" s="9">
        <v>12</v>
      </c>
      <c r="F270" s="9">
        <v>14832000</v>
      </c>
      <c r="G270" s="9">
        <v>4449600</v>
      </c>
      <c r="H270" s="13">
        <f t="shared" si="4"/>
        <v>0.3</v>
      </c>
    </row>
    <row r="271" spans="1:8">
      <c r="A271" s="5">
        <v>45839</v>
      </c>
      <c r="B271" s="3" t="s">
        <v>60</v>
      </c>
      <c r="C271" s="3" t="s">
        <v>51</v>
      </c>
      <c r="D271" s="7">
        <v>1050600</v>
      </c>
      <c r="E271" s="9">
        <v>12</v>
      </c>
      <c r="F271" s="9">
        <v>12607200</v>
      </c>
      <c r="G271" s="9">
        <v>3782160</v>
      </c>
      <c r="H271" s="13">
        <f t="shared" si="4"/>
        <v>0.3</v>
      </c>
    </row>
    <row r="272" spans="1:8">
      <c r="A272" s="5">
        <v>45839</v>
      </c>
      <c r="B272" s="3" t="s">
        <v>60</v>
      </c>
      <c r="C272" s="3" t="s">
        <v>52</v>
      </c>
      <c r="D272" s="7">
        <v>1174200</v>
      </c>
      <c r="E272" s="9">
        <v>12</v>
      </c>
      <c r="F272" s="9">
        <v>14090400</v>
      </c>
      <c r="G272" s="9">
        <v>4227120</v>
      </c>
      <c r="H272" s="13">
        <f t="shared" si="4"/>
        <v>0.3</v>
      </c>
    </row>
    <row r="273" spans="1:8">
      <c r="A273" s="5">
        <v>45839</v>
      </c>
      <c r="B273" s="3" t="s">
        <v>60</v>
      </c>
      <c r="C273" s="3" t="s">
        <v>53</v>
      </c>
      <c r="D273" s="7">
        <v>679800</v>
      </c>
      <c r="E273" s="9">
        <v>12</v>
      </c>
      <c r="F273" s="9">
        <v>8157600</v>
      </c>
      <c r="G273" s="9">
        <v>2447280</v>
      </c>
      <c r="H273" s="13">
        <f t="shared" si="4"/>
        <v>0.3</v>
      </c>
    </row>
    <row r="274" spans="1:8">
      <c r="A274" s="5">
        <v>45839</v>
      </c>
      <c r="B274" s="3" t="s">
        <v>61</v>
      </c>
      <c r="C274" s="3" t="s">
        <v>50</v>
      </c>
      <c r="D274" s="7">
        <v>824000</v>
      </c>
      <c r="E274" s="9">
        <v>15</v>
      </c>
      <c r="F274" s="9">
        <v>12360000</v>
      </c>
      <c r="G274" s="9">
        <v>4326000</v>
      </c>
      <c r="H274" s="13">
        <f t="shared" si="4"/>
        <v>0.35</v>
      </c>
    </row>
    <row r="275" spans="1:8">
      <c r="A275" s="5">
        <v>45839</v>
      </c>
      <c r="B275" s="3" t="s">
        <v>61</v>
      </c>
      <c r="C275" s="3" t="s">
        <v>51</v>
      </c>
      <c r="D275" s="7">
        <v>700400</v>
      </c>
      <c r="E275" s="9">
        <v>15</v>
      </c>
      <c r="F275" s="9">
        <v>10506000</v>
      </c>
      <c r="G275" s="9">
        <v>3677100</v>
      </c>
      <c r="H275" s="13">
        <f t="shared" si="4"/>
        <v>0.35</v>
      </c>
    </row>
    <row r="276" spans="1:8">
      <c r="A276" s="5">
        <v>45839</v>
      </c>
      <c r="B276" s="3" t="s">
        <v>61</v>
      </c>
      <c r="C276" s="3" t="s">
        <v>52</v>
      </c>
      <c r="D276" s="7">
        <v>782800</v>
      </c>
      <c r="E276" s="9">
        <v>15</v>
      </c>
      <c r="F276" s="9">
        <v>11742000</v>
      </c>
      <c r="G276" s="9">
        <v>4109700</v>
      </c>
      <c r="H276" s="13">
        <f t="shared" si="4"/>
        <v>0.35</v>
      </c>
    </row>
    <row r="277" spans="1:8">
      <c r="A277" s="5">
        <v>45839</v>
      </c>
      <c r="B277" s="3" t="s">
        <v>61</v>
      </c>
      <c r="C277" s="3" t="s">
        <v>53</v>
      </c>
      <c r="D277" s="7">
        <v>453200</v>
      </c>
      <c r="E277" s="9">
        <v>15</v>
      </c>
      <c r="F277" s="9">
        <v>6798000</v>
      </c>
      <c r="G277" s="9">
        <v>2379300</v>
      </c>
      <c r="H277" s="13">
        <f t="shared" si="4"/>
        <v>0.35</v>
      </c>
    </row>
    <row r="278" spans="1:8">
      <c r="A278" s="5">
        <v>45839</v>
      </c>
      <c r="B278" s="3" t="s">
        <v>62</v>
      </c>
      <c r="C278" s="3" t="s">
        <v>50</v>
      </c>
      <c r="D278" s="7">
        <v>927000</v>
      </c>
      <c r="E278" s="9">
        <v>8</v>
      </c>
      <c r="F278" s="9">
        <v>7416000</v>
      </c>
      <c r="G278" s="9">
        <v>1112400</v>
      </c>
      <c r="H278" s="13">
        <f t="shared" si="4"/>
        <v>0.15</v>
      </c>
    </row>
    <row r="279" spans="1:8">
      <c r="A279" s="5">
        <v>45839</v>
      </c>
      <c r="B279" s="3" t="s">
        <v>62</v>
      </c>
      <c r="C279" s="3" t="s">
        <v>51</v>
      </c>
      <c r="D279" s="7">
        <v>787950</v>
      </c>
      <c r="E279" s="9">
        <v>8</v>
      </c>
      <c r="F279" s="9">
        <v>6303600</v>
      </c>
      <c r="G279" s="9">
        <v>945540</v>
      </c>
      <c r="H279" s="13">
        <f t="shared" si="4"/>
        <v>0.15</v>
      </c>
    </row>
    <row r="280" spans="1:8">
      <c r="A280" s="5">
        <v>45839</v>
      </c>
      <c r="B280" s="3" t="s">
        <v>62</v>
      </c>
      <c r="C280" s="3" t="s">
        <v>52</v>
      </c>
      <c r="D280" s="7">
        <v>880650</v>
      </c>
      <c r="E280" s="9">
        <v>8</v>
      </c>
      <c r="F280" s="9">
        <v>7045200</v>
      </c>
      <c r="G280" s="9">
        <v>1056780</v>
      </c>
      <c r="H280" s="13">
        <f t="shared" si="4"/>
        <v>0.15</v>
      </c>
    </row>
    <row r="281" spans="1:8">
      <c r="A281" s="5">
        <v>45839</v>
      </c>
      <c r="B281" s="3" t="s">
        <v>62</v>
      </c>
      <c r="C281" s="3" t="s">
        <v>53</v>
      </c>
      <c r="D281" s="7">
        <v>509850</v>
      </c>
      <c r="E281" s="9">
        <v>8</v>
      </c>
      <c r="F281" s="9">
        <v>4078800</v>
      </c>
      <c r="G281" s="9">
        <v>611820</v>
      </c>
      <c r="H281" s="13">
        <f t="shared" si="4"/>
        <v>0.15</v>
      </c>
    </row>
    <row r="282" spans="1:8">
      <c r="A282" s="5">
        <v>45870</v>
      </c>
      <c r="B282" s="3" t="s">
        <v>49</v>
      </c>
      <c r="C282" s="3" t="s">
        <v>50</v>
      </c>
      <c r="D282" s="7">
        <v>255000</v>
      </c>
      <c r="E282" s="9">
        <v>699</v>
      </c>
      <c r="F282" s="9">
        <v>178245000</v>
      </c>
      <c r="G282" s="9">
        <v>110511900</v>
      </c>
      <c r="H282" s="13">
        <f t="shared" si="4"/>
        <v>0.62</v>
      </c>
    </row>
    <row r="283" spans="1:8">
      <c r="A283" s="5">
        <v>45870</v>
      </c>
      <c r="B283" s="3" t="s">
        <v>49</v>
      </c>
      <c r="C283" s="3" t="s">
        <v>51</v>
      </c>
      <c r="D283" s="7">
        <v>216750</v>
      </c>
      <c r="E283" s="9">
        <v>699</v>
      </c>
      <c r="F283" s="9">
        <v>151508250</v>
      </c>
      <c r="G283" s="9">
        <v>93935115</v>
      </c>
      <c r="H283" s="13">
        <f t="shared" si="4"/>
        <v>0.62</v>
      </c>
    </row>
    <row r="284" spans="1:8">
      <c r="A284" s="5">
        <v>45870</v>
      </c>
      <c r="B284" s="3" t="s">
        <v>49</v>
      </c>
      <c r="C284" s="3" t="s">
        <v>52</v>
      </c>
      <c r="D284" s="7">
        <v>242250</v>
      </c>
      <c r="E284" s="9">
        <v>699</v>
      </c>
      <c r="F284" s="9">
        <v>169332750</v>
      </c>
      <c r="G284" s="9">
        <v>104986305</v>
      </c>
      <c r="H284" s="13">
        <f t="shared" si="4"/>
        <v>0.62</v>
      </c>
    </row>
    <row r="285" spans="1:8">
      <c r="A285" s="5">
        <v>45870</v>
      </c>
      <c r="B285" s="3" t="s">
        <v>49</v>
      </c>
      <c r="C285" s="3" t="s">
        <v>53</v>
      </c>
      <c r="D285" s="7">
        <v>140250</v>
      </c>
      <c r="E285" s="9">
        <v>699</v>
      </c>
      <c r="F285" s="9">
        <v>98034750</v>
      </c>
      <c r="G285" s="9">
        <v>60781545</v>
      </c>
      <c r="H285" s="13">
        <f t="shared" si="4"/>
        <v>0.62</v>
      </c>
    </row>
    <row r="286" spans="1:8">
      <c r="A286" s="5">
        <v>45870</v>
      </c>
      <c r="B286" s="3" t="s">
        <v>54</v>
      </c>
      <c r="C286" s="3" t="s">
        <v>50</v>
      </c>
      <c r="D286" s="7">
        <v>122400</v>
      </c>
      <c r="E286" s="9">
        <v>999</v>
      </c>
      <c r="F286" s="9">
        <v>122277600</v>
      </c>
      <c r="G286" s="9">
        <v>70921008</v>
      </c>
      <c r="H286" s="13">
        <f t="shared" si="4"/>
        <v>0.57999999999999996</v>
      </c>
    </row>
    <row r="287" spans="1:8">
      <c r="A287" s="5">
        <v>45870</v>
      </c>
      <c r="B287" s="3" t="s">
        <v>54</v>
      </c>
      <c r="C287" s="3" t="s">
        <v>51</v>
      </c>
      <c r="D287" s="7">
        <v>104040</v>
      </c>
      <c r="E287" s="9">
        <v>999</v>
      </c>
      <c r="F287" s="9">
        <v>103935960</v>
      </c>
      <c r="G287" s="9">
        <v>60282856.799999997</v>
      </c>
      <c r="H287" s="13">
        <f t="shared" si="4"/>
        <v>0.57999999999999996</v>
      </c>
    </row>
    <row r="288" spans="1:8">
      <c r="A288" s="5">
        <v>45870</v>
      </c>
      <c r="B288" s="3" t="s">
        <v>54</v>
      </c>
      <c r="C288" s="3" t="s">
        <v>52</v>
      </c>
      <c r="D288" s="7">
        <v>116280</v>
      </c>
      <c r="E288" s="9">
        <v>999</v>
      </c>
      <c r="F288" s="9">
        <v>116163720</v>
      </c>
      <c r="G288" s="9">
        <v>67374957.599999994</v>
      </c>
      <c r="H288" s="13">
        <f t="shared" si="4"/>
        <v>0.57999999999999996</v>
      </c>
    </row>
    <row r="289" spans="1:8">
      <c r="A289" s="5">
        <v>45870</v>
      </c>
      <c r="B289" s="3" t="s">
        <v>54</v>
      </c>
      <c r="C289" s="3" t="s">
        <v>53</v>
      </c>
      <c r="D289" s="7">
        <v>67320</v>
      </c>
      <c r="E289" s="9">
        <v>999</v>
      </c>
      <c r="F289" s="9">
        <v>67252680</v>
      </c>
      <c r="G289" s="9">
        <v>39006554.399999999</v>
      </c>
      <c r="H289" s="13">
        <f t="shared" si="4"/>
        <v>0.57999999999999996</v>
      </c>
    </row>
    <row r="290" spans="1:8">
      <c r="A290" s="5">
        <v>45870</v>
      </c>
      <c r="B290" s="3" t="s">
        <v>55</v>
      </c>
      <c r="C290" s="3" t="s">
        <v>50</v>
      </c>
      <c r="D290" s="7">
        <v>142800</v>
      </c>
      <c r="E290" s="9">
        <v>549</v>
      </c>
      <c r="F290" s="9">
        <v>78397200</v>
      </c>
      <c r="G290" s="9">
        <v>47038320</v>
      </c>
      <c r="H290" s="13">
        <f t="shared" si="4"/>
        <v>0.6</v>
      </c>
    </row>
    <row r="291" spans="1:8">
      <c r="A291" s="5">
        <v>45870</v>
      </c>
      <c r="B291" s="3" t="s">
        <v>55</v>
      </c>
      <c r="C291" s="3" t="s">
        <v>51</v>
      </c>
      <c r="D291" s="7">
        <v>121380</v>
      </c>
      <c r="E291" s="9">
        <v>549</v>
      </c>
      <c r="F291" s="9">
        <v>66637620</v>
      </c>
      <c r="G291" s="9">
        <v>39982572</v>
      </c>
      <c r="H291" s="13">
        <f t="shared" si="4"/>
        <v>0.6</v>
      </c>
    </row>
    <row r="292" spans="1:8">
      <c r="A292" s="5">
        <v>45870</v>
      </c>
      <c r="B292" s="3" t="s">
        <v>55</v>
      </c>
      <c r="C292" s="3" t="s">
        <v>52</v>
      </c>
      <c r="D292" s="7">
        <v>135660</v>
      </c>
      <c r="E292" s="9">
        <v>549</v>
      </c>
      <c r="F292" s="9">
        <v>74477340</v>
      </c>
      <c r="G292" s="9">
        <v>44686404</v>
      </c>
      <c r="H292" s="13">
        <f t="shared" si="4"/>
        <v>0.6</v>
      </c>
    </row>
    <row r="293" spans="1:8">
      <c r="A293" s="5">
        <v>45870</v>
      </c>
      <c r="B293" s="3" t="s">
        <v>55</v>
      </c>
      <c r="C293" s="3" t="s">
        <v>53</v>
      </c>
      <c r="D293" s="7">
        <v>78540</v>
      </c>
      <c r="E293" s="9">
        <v>549</v>
      </c>
      <c r="F293" s="9">
        <v>43118460</v>
      </c>
      <c r="G293" s="9">
        <v>25871076</v>
      </c>
      <c r="H293" s="13">
        <f t="shared" si="4"/>
        <v>0.6</v>
      </c>
    </row>
    <row r="294" spans="1:8">
      <c r="A294" s="5">
        <v>45870</v>
      </c>
      <c r="B294" s="3" t="s">
        <v>56</v>
      </c>
      <c r="C294" s="3" t="s">
        <v>50</v>
      </c>
      <c r="D294" s="7">
        <v>71400</v>
      </c>
      <c r="E294" s="9">
        <v>1199</v>
      </c>
      <c r="F294" s="9">
        <v>85608600</v>
      </c>
      <c r="G294" s="9">
        <v>47084730</v>
      </c>
      <c r="H294" s="13">
        <f t="shared" si="4"/>
        <v>0.55000000000000004</v>
      </c>
    </row>
    <row r="295" spans="1:8">
      <c r="A295" s="5">
        <v>45870</v>
      </c>
      <c r="B295" s="3" t="s">
        <v>56</v>
      </c>
      <c r="C295" s="3" t="s">
        <v>51</v>
      </c>
      <c r="D295" s="7">
        <v>60690</v>
      </c>
      <c r="E295" s="9">
        <v>1199</v>
      </c>
      <c r="F295" s="9">
        <v>72767310</v>
      </c>
      <c r="G295" s="9">
        <v>40022020.5</v>
      </c>
      <c r="H295" s="13">
        <f t="shared" si="4"/>
        <v>0.55000000000000004</v>
      </c>
    </row>
    <row r="296" spans="1:8">
      <c r="A296" s="5">
        <v>45870</v>
      </c>
      <c r="B296" s="3" t="s">
        <v>56</v>
      </c>
      <c r="C296" s="3" t="s">
        <v>52</v>
      </c>
      <c r="D296" s="7">
        <v>67830</v>
      </c>
      <c r="E296" s="9">
        <v>1199</v>
      </c>
      <c r="F296" s="9">
        <v>81328170</v>
      </c>
      <c r="G296" s="9">
        <v>44730493.5</v>
      </c>
      <c r="H296" s="13">
        <f t="shared" si="4"/>
        <v>0.55000000000000004</v>
      </c>
    </row>
    <row r="297" spans="1:8">
      <c r="A297" s="5">
        <v>45870</v>
      </c>
      <c r="B297" s="3" t="s">
        <v>56</v>
      </c>
      <c r="C297" s="3" t="s">
        <v>53</v>
      </c>
      <c r="D297" s="7">
        <v>39270</v>
      </c>
      <c r="E297" s="9">
        <v>1199</v>
      </c>
      <c r="F297" s="9">
        <v>47084730</v>
      </c>
      <c r="G297" s="9">
        <v>25896601.5</v>
      </c>
      <c r="H297" s="13">
        <f t="shared" si="4"/>
        <v>0.55000000000000004</v>
      </c>
    </row>
    <row r="298" spans="1:8">
      <c r="A298" s="5">
        <v>45870</v>
      </c>
      <c r="B298" s="3" t="s">
        <v>57</v>
      </c>
      <c r="C298" s="3" t="s">
        <v>50</v>
      </c>
      <c r="D298" s="7">
        <v>183600</v>
      </c>
      <c r="E298" s="9">
        <v>299</v>
      </c>
      <c r="F298" s="9">
        <v>54896400</v>
      </c>
      <c r="G298" s="9">
        <v>27448200</v>
      </c>
      <c r="H298" s="13">
        <f t="shared" si="4"/>
        <v>0.5</v>
      </c>
    </row>
    <row r="299" spans="1:8">
      <c r="A299" s="5">
        <v>45870</v>
      </c>
      <c r="B299" s="3" t="s">
        <v>57</v>
      </c>
      <c r="C299" s="3" t="s">
        <v>51</v>
      </c>
      <c r="D299" s="7">
        <v>156060</v>
      </c>
      <c r="E299" s="9">
        <v>299</v>
      </c>
      <c r="F299" s="9">
        <v>46661940</v>
      </c>
      <c r="G299" s="9">
        <v>23330970</v>
      </c>
      <c r="H299" s="13">
        <f t="shared" si="4"/>
        <v>0.5</v>
      </c>
    </row>
    <row r="300" spans="1:8">
      <c r="A300" s="5">
        <v>45870</v>
      </c>
      <c r="B300" s="3" t="s">
        <v>57</v>
      </c>
      <c r="C300" s="3" t="s">
        <v>52</v>
      </c>
      <c r="D300" s="7">
        <v>174420</v>
      </c>
      <c r="E300" s="9">
        <v>299</v>
      </c>
      <c r="F300" s="9">
        <v>52151580</v>
      </c>
      <c r="G300" s="9">
        <v>26075790</v>
      </c>
      <c r="H300" s="13">
        <f t="shared" si="4"/>
        <v>0.5</v>
      </c>
    </row>
    <row r="301" spans="1:8">
      <c r="A301" s="5">
        <v>45870</v>
      </c>
      <c r="B301" s="3" t="s">
        <v>57</v>
      </c>
      <c r="C301" s="3" t="s">
        <v>53</v>
      </c>
      <c r="D301" s="7">
        <v>100980</v>
      </c>
      <c r="E301" s="9">
        <v>299</v>
      </c>
      <c r="F301" s="9">
        <v>30193020</v>
      </c>
      <c r="G301" s="9">
        <v>15096510</v>
      </c>
      <c r="H301" s="13">
        <f t="shared" si="4"/>
        <v>0.5</v>
      </c>
    </row>
    <row r="302" spans="1:8">
      <c r="A302" s="5">
        <v>45870</v>
      </c>
      <c r="B302" s="3" t="s">
        <v>58</v>
      </c>
      <c r="C302" s="3" t="s">
        <v>50</v>
      </c>
      <c r="D302" s="7">
        <v>612000</v>
      </c>
      <c r="E302" s="9">
        <v>39</v>
      </c>
      <c r="F302" s="9">
        <v>23868000</v>
      </c>
      <c r="G302" s="9">
        <v>5967000</v>
      </c>
      <c r="H302" s="13">
        <f t="shared" si="4"/>
        <v>0.25</v>
      </c>
    </row>
    <row r="303" spans="1:8">
      <c r="A303" s="5">
        <v>45870</v>
      </c>
      <c r="B303" s="3" t="s">
        <v>58</v>
      </c>
      <c r="C303" s="3" t="s">
        <v>51</v>
      </c>
      <c r="D303" s="7">
        <v>520200</v>
      </c>
      <c r="E303" s="9">
        <v>39</v>
      </c>
      <c r="F303" s="9">
        <v>20287800</v>
      </c>
      <c r="G303" s="9">
        <v>5071950</v>
      </c>
      <c r="H303" s="13">
        <f t="shared" si="4"/>
        <v>0.25</v>
      </c>
    </row>
    <row r="304" spans="1:8">
      <c r="A304" s="5">
        <v>45870</v>
      </c>
      <c r="B304" s="3" t="s">
        <v>58</v>
      </c>
      <c r="C304" s="3" t="s">
        <v>52</v>
      </c>
      <c r="D304" s="7">
        <v>581400</v>
      </c>
      <c r="E304" s="9">
        <v>39</v>
      </c>
      <c r="F304" s="9">
        <v>22674600</v>
      </c>
      <c r="G304" s="9">
        <v>5668650</v>
      </c>
      <c r="H304" s="13">
        <f t="shared" si="4"/>
        <v>0.25</v>
      </c>
    </row>
    <row r="305" spans="1:8">
      <c r="A305" s="5">
        <v>45870</v>
      </c>
      <c r="B305" s="3" t="s">
        <v>58</v>
      </c>
      <c r="C305" s="3" t="s">
        <v>53</v>
      </c>
      <c r="D305" s="7">
        <v>336600</v>
      </c>
      <c r="E305" s="9">
        <v>39</v>
      </c>
      <c r="F305" s="9">
        <v>13127400</v>
      </c>
      <c r="G305" s="9">
        <v>3281850</v>
      </c>
      <c r="H305" s="13">
        <f t="shared" si="4"/>
        <v>0.25</v>
      </c>
    </row>
    <row r="306" spans="1:8">
      <c r="A306" s="5">
        <v>45870</v>
      </c>
      <c r="B306" s="3" t="s">
        <v>59</v>
      </c>
      <c r="C306" s="3" t="s">
        <v>50</v>
      </c>
      <c r="D306" s="7">
        <v>408000</v>
      </c>
      <c r="E306" s="9">
        <v>24</v>
      </c>
      <c r="F306" s="9">
        <v>9792000</v>
      </c>
      <c r="G306" s="9">
        <v>1958400</v>
      </c>
      <c r="H306" s="13">
        <f t="shared" si="4"/>
        <v>0.2</v>
      </c>
    </row>
    <row r="307" spans="1:8">
      <c r="A307" s="5">
        <v>45870</v>
      </c>
      <c r="B307" s="3" t="s">
        <v>59</v>
      </c>
      <c r="C307" s="3" t="s">
        <v>51</v>
      </c>
      <c r="D307" s="7">
        <v>346800</v>
      </c>
      <c r="E307" s="9">
        <v>24</v>
      </c>
      <c r="F307" s="9">
        <v>8323200</v>
      </c>
      <c r="G307" s="9">
        <v>1664640</v>
      </c>
      <c r="H307" s="13">
        <f t="shared" si="4"/>
        <v>0.2</v>
      </c>
    </row>
    <row r="308" spans="1:8">
      <c r="A308" s="5">
        <v>45870</v>
      </c>
      <c r="B308" s="3" t="s">
        <v>59</v>
      </c>
      <c r="C308" s="3" t="s">
        <v>52</v>
      </c>
      <c r="D308" s="7">
        <v>387600</v>
      </c>
      <c r="E308" s="9">
        <v>24</v>
      </c>
      <c r="F308" s="9">
        <v>9302400</v>
      </c>
      <c r="G308" s="9">
        <v>1860480</v>
      </c>
      <c r="H308" s="13">
        <f t="shared" si="4"/>
        <v>0.2</v>
      </c>
    </row>
    <row r="309" spans="1:8">
      <c r="A309" s="5">
        <v>45870</v>
      </c>
      <c r="B309" s="3" t="s">
        <v>59</v>
      </c>
      <c r="C309" s="3" t="s">
        <v>53</v>
      </c>
      <c r="D309" s="7">
        <v>224400</v>
      </c>
      <c r="E309" s="9">
        <v>24</v>
      </c>
      <c r="F309" s="9">
        <v>5385600</v>
      </c>
      <c r="G309" s="9">
        <v>1077120</v>
      </c>
      <c r="H309" s="13">
        <f t="shared" si="4"/>
        <v>0.2</v>
      </c>
    </row>
    <row r="310" spans="1:8">
      <c r="A310" s="5">
        <v>45870</v>
      </c>
      <c r="B310" s="3" t="s">
        <v>60</v>
      </c>
      <c r="C310" s="3" t="s">
        <v>50</v>
      </c>
      <c r="D310" s="7">
        <v>1224000</v>
      </c>
      <c r="E310" s="9">
        <v>12</v>
      </c>
      <c r="F310" s="9">
        <v>14688000</v>
      </c>
      <c r="G310" s="9">
        <v>4406400</v>
      </c>
      <c r="H310" s="13">
        <f t="shared" si="4"/>
        <v>0.3</v>
      </c>
    </row>
    <row r="311" spans="1:8">
      <c r="A311" s="5">
        <v>45870</v>
      </c>
      <c r="B311" s="3" t="s">
        <v>60</v>
      </c>
      <c r="C311" s="3" t="s">
        <v>51</v>
      </c>
      <c r="D311" s="7">
        <v>1040400</v>
      </c>
      <c r="E311" s="9">
        <v>12</v>
      </c>
      <c r="F311" s="9">
        <v>12484800</v>
      </c>
      <c r="G311" s="9">
        <v>3745440</v>
      </c>
      <c r="H311" s="13">
        <f t="shared" si="4"/>
        <v>0.3</v>
      </c>
    </row>
    <row r="312" spans="1:8">
      <c r="A312" s="5">
        <v>45870</v>
      </c>
      <c r="B312" s="3" t="s">
        <v>60</v>
      </c>
      <c r="C312" s="3" t="s">
        <v>52</v>
      </c>
      <c r="D312" s="7">
        <v>1162800</v>
      </c>
      <c r="E312" s="9">
        <v>12</v>
      </c>
      <c r="F312" s="9">
        <v>13953600</v>
      </c>
      <c r="G312" s="9">
        <v>4186080</v>
      </c>
      <c r="H312" s="13">
        <f t="shared" si="4"/>
        <v>0.3</v>
      </c>
    </row>
    <row r="313" spans="1:8">
      <c r="A313" s="5">
        <v>45870</v>
      </c>
      <c r="B313" s="3" t="s">
        <v>60</v>
      </c>
      <c r="C313" s="3" t="s">
        <v>53</v>
      </c>
      <c r="D313" s="7">
        <v>673200</v>
      </c>
      <c r="E313" s="9">
        <v>12</v>
      </c>
      <c r="F313" s="9">
        <v>8078400</v>
      </c>
      <c r="G313" s="9">
        <v>2423520</v>
      </c>
      <c r="H313" s="13">
        <f t="shared" si="4"/>
        <v>0.3</v>
      </c>
    </row>
    <row r="314" spans="1:8">
      <c r="A314" s="5">
        <v>45870</v>
      </c>
      <c r="B314" s="3" t="s">
        <v>61</v>
      </c>
      <c r="C314" s="3" t="s">
        <v>50</v>
      </c>
      <c r="D314" s="7">
        <v>816000</v>
      </c>
      <c r="E314" s="9">
        <v>15</v>
      </c>
      <c r="F314" s="9">
        <v>12240000</v>
      </c>
      <c r="G314" s="9">
        <v>4284000</v>
      </c>
      <c r="H314" s="13">
        <f t="shared" si="4"/>
        <v>0.35</v>
      </c>
    </row>
    <row r="315" spans="1:8">
      <c r="A315" s="5">
        <v>45870</v>
      </c>
      <c r="B315" s="3" t="s">
        <v>61</v>
      </c>
      <c r="C315" s="3" t="s">
        <v>51</v>
      </c>
      <c r="D315" s="7">
        <v>693600</v>
      </c>
      <c r="E315" s="9">
        <v>15</v>
      </c>
      <c r="F315" s="9">
        <v>10404000</v>
      </c>
      <c r="G315" s="9">
        <v>3641400</v>
      </c>
      <c r="H315" s="13">
        <f t="shared" si="4"/>
        <v>0.35</v>
      </c>
    </row>
    <row r="316" spans="1:8">
      <c r="A316" s="5">
        <v>45870</v>
      </c>
      <c r="B316" s="3" t="s">
        <v>61</v>
      </c>
      <c r="C316" s="3" t="s">
        <v>52</v>
      </c>
      <c r="D316" s="7">
        <v>775200</v>
      </c>
      <c r="E316" s="9">
        <v>15</v>
      </c>
      <c r="F316" s="9">
        <v>11628000</v>
      </c>
      <c r="G316" s="9">
        <v>4069800</v>
      </c>
      <c r="H316" s="13">
        <f t="shared" si="4"/>
        <v>0.35</v>
      </c>
    </row>
    <row r="317" spans="1:8">
      <c r="A317" s="5">
        <v>45870</v>
      </c>
      <c r="B317" s="3" t="s">
        <v>61</v>
      </c>
      <c r="C317" s="3" t="s">
        <v>53</v>
      </c>
      <c r="D317" s="7">
        <v>448800</v>
      </c>
      <c r="E317" s="9">
        <v>15</v>
      </c>
      <c r="F317" s="9">
        <v>6732000</v>
      </c>
      <c r="G317" s="9">
        <v>2356200</v>
      </c>
      <c r="H317" s="13">
        <f t="shared" si="4"/>
        <v>0.35</v>
      </c>
    </row>
    <row r="318" spans="1:8">
      <c r="A318" s="5">
        <v>45870</v>
      </c>
      <c r="B318" s="3" t="s">
        <v>62</v>
      </c>
      <c r="C318" s="3" t="s">
        <v>50</v>
      </c>
      <c r="D318" s="7">
        <v>918000</v>
      </c>
      <c r="E318" s="9">
        <v>8</v>
      </c>
      <c r="F318" s="9">
        <v>7344000</v>
      </c>
      <c r="G318" s="9">
        <v>1101600</v>
      </c>
      <c r="H318" s="13">
        <f t="shared" si="4"/>
        <v>0.15</v>
      </c>
    </row>
    <row r="319" spans="1:8">
      <c r="A319" s="5">
        <v>45870</v>
      </c>
      <c r="B319" s="3" t="s">
        <v>62</v>
      </c>
      <c r="C319" s="3" t="s">
        <v>51</v>
      </c>
      <c r="D319" s="7">
        <v>780300</v>
      </c>
      <c r="E319" s="9">
        <v>8</v>
      </c>
      <c r="F319" s="9">
        <v>6242400</v>
      </c>
      <c r="G319" s="9">
        <v>936360</v>
      </c>
      <c r="H319" s="13">
        <f t="shared" si="4"/>
        <v>0.15</v>
      </c>
    </row>
    <row r="320" spans="1:8">
      <c r="A320" s="5">
        <v>45870</v>
      </c>
      <c r="B320" s="3" t="s">
        <v>62</v>
      </c>
      <c r="C320" s="3" t="s">
        <v>52</v>
      </c>
      <c r="D320" s="7">
        <v>872100</v>
      </c>
      <c r="E320" s="9">
        <v>8</v>
      </c>
      <c r="F320" s="9">
        <v>6976800</v>
      </c>
      <c r="G320" s="9">
        <v>1046520</v>
      </c>
      <c r="H320" s="13">
        <f t="shared" si="4"/>
        <v>0.15</v>
      </c>
    </row>
    <row r="321" spans="1:8">
      <c r="A321" s="5">
        <v>45870</v>
      </c>
      <c r="B321" s="3" t="s">
        <v>62</v>
      </c>
      <c r="C321" s="3" t="s">
        <v>53</v>
      </c>
      <c r="D321" s="7">
        <v>504900</v>
      </c>
      <c r="E321" s="9">
        <v>8</v>
      </c>
      <c r="F321" s="9">
        <v>4039200</v>
      </c>
      <c r="G321" s="9">
        <v>605880</v>
      </c>
      <c r="H321" s="13">
        <f t="shared" si="4"/>
        <v>0.15</v>
      </c>
    </row>
    <row r="322" spans="1:8">
      <c r="A322" s="5">
        <v>45901</v>
      </c>
      <c r="B322" s="3" t="s">
        <v>49</v>
      </c>
      <c r="C322" s="3" t="s">
        <v>50</v>
      </c>
      <c r="D322" s="7">
        <v>250000</v>
      </c>
      <c r="E322" s="9">
        <v>699</v>
      </c>
      <c r="F322" s="9">
        <v>174750000</v>
      </c>
      <c r="G322" s="9">
        <v>108345000</v>
      </c>
      <c r="H322" s="13">
        <f t="shared" ref="H322:H385" si="5">G322/F322</f>
        <v>0.62</v>
      </c>
    </row>
    <row r="323" spans="1:8">
      <c r="A323" s="5">
        <v>45901</v>
      </c>
      <c r="B323" s="3" t="s">
        <v>49</v>
      </c>
      <c r="C323" s="3" t="s">
        <v>51</v>
      </c>
      <c r="D323" s="7">
        <v>212500</v>
      </c>
      <c r="E323" s="9">
        <v>699</v>
      </c>
      <c r="F323" s="9">
        <v>148537500</v>
      </c>
      <c r="G323" s="9">
        <v>92093250</v>
      </c>
      <c r="H323" s="13">
        <f t="shared" si="5"/>
        <v>0.62</v>
      </c>
    </row>
    <row r="324" spans="1:8">
      <c r="A324" s="5">
        <v>45901</v>
      </c>
      <c r="B324" s="3" t="s">
        <v>49</v>
      </c>
      <c r="C324" s="3" t="s">
        <v>52</v>
      </c>
      <c r="D324" s="7">
        <v>237500</v>
      </c>
      <c r="E324" s="9">
        <v>699</v>
      </c>
      <c r="F324" s="9">
        <v>166012500</v>
      </c>
      <c r="G324" s="9">
        <v>102927750</v>
      </c>
      <c r="H324" s="13">
        <f t="shared" si="5"/>
        <v>0.62</v>
      </c>
    </row>
    <row r="325" spans="1:8">
      <c r="A325" s="5">
        <v>45901</v>
      </c>
      <c r="B325" s="3" t="s">
        <v>49</v>
      </c>
      <c r="C325" s="3" t="s">
        <v>53</v>
      </c>
      <c r="D325" s="7">
        <v>137500</v>
      </c>
      <c r="E325" s="9">
        <v>699</v>
      </c>
      <c r="F325" s="9">
        <v>96112500</v>
      </c>
      <c r="G325" s="9">
        <v>59589750</v>
      </c>
      <c r="H325" s="13">
        <f t="shared" si="5"/>
        <v>0.62</v>
      </c>
    </row>
    <row r="326" spans="1:8">
      <c r="A326" s="5">
        <v>45901</v>
      </c>
      <c r="B326" s="3" t="s">
        <v>54</v>
      </c>
      <c r="C326" s="3" t="s">
        <v>50</v>
      </c>
      <c r="D326" s="7">
        <v>120000</v>
      </c>
      <c r="E326" s="9">
        <v>999</v>
      </c>
      <c r="F326" s="9">
        <v>119880000</v>
      </c>
      <c r="G326" s="9">
        <v>69530400</v>
      </c>
      <c r="H326" s="13">
        <f t="shared" si="5"/>
        <v>0.57999999999999996</v>
      </c>
    </row>
    <row r="327" spans="1:8">
      <c r="A327" s="5">
        <v>45901</v>
      </c>
      <c r="B327" s="3" t="s">
        <v>54</v>
      </c>
      <c r="C327" s="3" t="s">
        <v>51</v>
      </c>
      <c r="D327" s="7">
        <v>102000</v>
      </c>
      <c r="E327" s="9">
        <v>999</v>
      </c>
      <c r="F327" s="9">
        <v>101898000</v>
      </c>
      <c r="G327" s="9">
        <v>59100840</v>
      </c>
      <c r="H327" s="13">
        <f t="shared" si="5"/>
        <v>0.57999999999999996</v>
      </c>
    </row>
    <row r="328" spans="1:8">
      <c r="A328" s="5">
        <v>45901</v>
      </c>
      <c r="B328" s="3" t="s">
        <v>54</v>
      </c>
      <c r="C328" s="3" t="s">
        <v>52</v>
      </c>
      <c r="D328" s="7">
        <v>114000</v>
      </c>
      <c r="E328" s="9">
        <v>999</v>
      </c>
      <c r="F328" s="9">
        <v>113886000</v>
      </c>
      <c r="G328" s="9">
        <v>66053880</v>
      </c>
      <c r="H328" s="13">
        <f t="shared" si="5"/>
        <v>0.57999999999999996</v>
      </c>
    </row>
    <row r="329" spans="1:8">
      <c r="A329" s="5">
        <v>45901</v>
      </c>
      <c r="B329" s="3" t="s">
        <v>54</v>
      </c>
      <c r="C329" s="3" t="s">
        <v>53</v>
      </c>
      <c r="D329" s="7">
        <v>66000</v>
      </c>
      <c r="E329" s="9">
        <v>999</v>
      </c>
      <c r="F329" s="9">
        <v>65934000</v>
      </c>
      <c r="G329" s="9">
        <v>38241720</v>
      </c>
      <c r="H329" s="13">
        <f t="shared" si="5"/>
        <v>0.57999999999999996</v>
      </c>
    </row>
    <row r="330" spans="1:8">
      <c r="A330" s="5">
        <v>45901</v>
      </c>
      <c r="B330" s="3" t="s">
        <v>55</v>
      </c>
      <c r="C330" s="3" t="s">
        <v>50</v>
      </c>
      <c r="D330" s="7">
        <v>140000</v>
      </c>
      <c r="E330" s="9">
        <v>549</v>
      </c>
      <c r="F330" s="9">
        <v>76860000</v>
      </c>
      <c r="G330" s="9">
        <v>46116000</v>
      </c>
      <c r="H330" s="13">
        <f t="shared" si="5"/>
        <v>0.6</v>
      </c>
    </row>
    <row r="331" spans="1:8">
      <c r="A331" s="5">
        <v>45901</v>
      </c>
      <c r="B331" s="3" t="s">
        <v>55</v>
      </c>
      <c r="C331" s="3" t="s">
        <v>51</v>
      </c>
      <c r="D331" s="7">
        <v>119000</v>
      </c>
      <c r="E331" s="9">
        <v>549</v>
      </c>
      <c r="F331" s="9">
        <v>65331000</v>
      </c>
      <c r="G331" s="9">
        <v>39198600</v>
      </c>
      <c r="H331" s="13">
        <f t="shared" si="5"/>
        <v>0.6</v>
      </c>
    </row>
    <row r="332" spans="1:8">
      <c r="A332" s="5">
        <v>45901</v>
      </c>
      <c r="B332" s="3" t="s">
        <v>55</v>
      </c>
      <c r="C332" s="3" t="s">
        <v>52</v>
      </c>
      <c r="D332" s="7">
        <v>133000</v>
      </c>
      <c r="E332" s="9">
        <v>549</v>
      </c>
      <c r="F332" s="9">
        <v>73017000</v>
      </c>
      <c r="G332" s="9">
        <v>43810200</v>
      </c>
      <c r="H332" s="13">
        <f t="shared" si="5"/>
        <v>0.6</v>
      </c>
    </row>
    <row r="333" spans="1:8">
      <c r="A333" s="5">
        <v>45901</v>
      </c>
      <c r="B333" s="3" t="s">
        <v>55</v>
      </c>
      <c r="C333" s="3" t="s">
        <v>53</v>
      </c>
      <c r="D333" s="7">
        <v>77000</v>
      </c>
      <c r="E333" s="9">
        <v>549</v>
      </c>
      <c r="F333" s="9">
        <v>42273000</v>
      </c>
      <c r="G333" s="9">
        <v>25363800</v>
      </c>
      <c r="H333" s="13">
        <f t="shared" si="5"/>
        <v>0.6</v>
      </c>
    </row>
    <row r="334" spans="1:8">
      <c r="A334" s="5">
        <v>45901</v>
      </c>
      <c r="B334" s="3" t="s">
        <v>56</v>
      </c>
      <c r="C334" s="3" t="s">
        <v>50</v>
      </c>
      <c r="D334" s="7">
        <v>70000</v>
      </c>
      <c r="E334" s="9">
        <v>1199</v>
      </c>
      <c r="F334" s="9">
        <v>83930000</v>
      </c>
      <c r="G334" s="9">
        <v>46161500</v>
      </c>
      <c r="H334" s="13">
        <f t="shared" si="5"/>
        <v>0.55000000000000004</v>
      </c>
    </row>
    <row r="335" spans="1:8">
      <c r="A335" s="5">
        <v>45901</v>
      </c>
      <c r="B335" s="3" t="s">
        <v>56</v>
      </c>
      <c r="C335" s="3" t="s">
        <v>51</v>
      </c>
      <c r="D335" s="7">
        <v>59500</v>
      </c>
      <c r="E335" s="9">
        <v>1199</v>
      </c>
      <c r="F335" s="9">
        <v>71340500</v>
      </c>
      <c r="G335" s="9">
        <v>39237275</v>
      </c>
      <c r="H335" s="13">
        <f t="shared" si="5"/>
        <v>0.55000000000000004</v>
      </c>
    </row>
    <row r="336" spans="1:8">
      <c r="A336" s="5">
        <v>45901</v>
      </c>
      <c r="B336" s="3" t="s">
        <v>56</v>
      </c>
      <c r="C336" s="3" t="s">
        <v>52</v>
      </c>
      <c r="D336" s="7">
        <v>66500</v>
      </c>
      <c r="E336" s="9">
        <v>1199</v>
      </c>
      <c r="F336" s="9">
        <v>79733500</v>
      </c>
      <c r="G336" s="9">
        <v>43853425</v>
      </c>
      <c r="H336" s="13">
        <f t="shared" si="5"/>
        <v>0.55000000000000004</v>
      </c>
    </row>
    <row r="337" spans="1:8">
      <c r="A337" s="5">
        <v>45901</v>
      </c>
      <c r="B337" s="3" t="s">
        <v>56</v>
      </c>
      <c r="C337" s="3" t="s">
        <v>53</v>
      </c>
      <c r="D337" s="7">
        <v>38500</v>
      </c>
      <c r="E337" s="9">
        <v>1199</v>
      </c>
      <c r="F337" s="9">
        <v>46161500</v>
      </c>
      <c r="G337" s="9">
        <v>25388825</v>
      </c>
      <c r="H337" s="13">
        <f t="shared" si="5"/>
        <v>0.55000000000000004</v>
      </c>
    </row>
    <row r="338" spans="1:8">
      <c r="A338" s="5">
        <v>45901</v>
      </c>
      <c r="B338" s="3" t="s">
        <v>57</v>
      </c>
      <c r="C338" s="3" t="s">
        <v>50</v>
      </c>
      <c r="D338" s="7">
        <v>180000</v>
      </c>
      <c r="E338" s="9">
        <v>299</v>
      </c>
      <c r="F338" s="9">
        <v>53820000</v>
      </c>
      <c r="G338" s="9">
        <v>26910000</v>
      </c>
      <c r="H338" s="13">
        <f t="shared" si="5"/>
        <v>0.5</v>
      </c>
    </row>
    <row r="339" spans="1:8">
      <c r="A339" s="5">
        <v>45901</v>
      </c>
      <c r="B339" s="3" t="s">
        <v>57</v>
      </c>
      <c r="C339" s="3" t="s">
        <v>51</v>
      </c>
      <c r="D339" s="7">
        <v>153000</v>
      </c>
      <c r="E339" s="9">
        <v>299</v>
      </c>
      <c r="F339" s="9">
        <v>45747000</v>
      </c>
      <c r="G339" s="9">
        <v>22873500</v>
      </c>
      <c r="H339" s="13">
        <f t="shared" si="5"/>
        <v>0.5</v>
      </c>
    </row>
    <row r="340" spans="1:8">
      <c r="A340" s="5">
        <v>45901</v>
      </c>
      <c r="B340" s="3" t="s">
        <v>57</v>
      </c>
      <c r="C340" s="3" t="s">
        <v>52</v>
      </c>
      <c r="D340" s="7">
        <v>171000</v>
      </c>
      <c r="E340" s="9">
        <v>299</v>
      </c>
      <c r="F340" s="9">
        <v>51129000</v>
      </c>
      <c r="G340" s="9">
        <v>25564500</v>
      </c>
      <c r="H340" s="13">
        <f t="shared" si="5"/>
        <v>0.5</v>
      </c>
    </row>
    <row r="341" spans="1:8">
      <c r="A341" s="5">
        <v>45901</v>
      </c>
      <c r="B341" s="3" t="s">
        <v>57</v>
      </c>
      <c r="C341" s="3" t="s">
        <v>53</v>
      </c>
      <c r="D341" s="7">
        <v>99000</v>
      </c>
      <c r="E341" s="9">
        <v>299</v>
      </c>
      <c r="F341" s="9">
        <v>29601000</v>
      </c>
      <c r="G341" s="9">
        <v>14800500</v>
      </c>
      <c r="H341" s="13">
        <f t="shared" si="5"/>
        <v>0.5</v>
      </c>
    </row>
    <row r="342" spans="1:8">
      <c r="A342" s="5">
        <v>45901</v>
      </c>
      <c r="B342" s="3" t="s">
        <v>58</v>
      </c>
      <c r="C342" s="3" t="s">
        <v>50</v>
      </c>
      <c r="D342" s="7">
        <v>600000</v>
      </c>
      <c r="E342" s="9">
        <v>39</v>
      </c>
      <c r="F342" s="9">
        <v>23400000</v>
      </c>
      <c r="G342" s="9">
        <v>5850000</v>
      </c>
      <c r="H342" s="13">
        <f t="shared" si="5"/>
        <v>0.25</v>
      </c>
    </row>
    <row r="343" spans="1:8">
      <c r="A343" s="5">
        <v>45901</v>
      </c>
      <c r="B343" s="3" t="s">
        <v>58</v>
      </c>
      <c r="C343" s="3" t="s">
        <v>51</v>
      </c>
      <c r="D343" s="7">
        <v>510000</v>
      </c>
      <c r="E343" s="9">
        <v>39</v>
      </c>
      <c r="F343" s="9">
        <v>19890000</v>
      </c>
      <c r="G343" s="9">
        <v>4972500</v>
      </c>
      <c r="H343" s="13">
        <f t="shared" si="5"/>
        <v>0.25</v>
      </c>
    </row>
    <row r="344" spans="1:8">
      <c r="A344" s="5">
        <v>45901</v>
      </c>
      <c r="B344" s="3" t="s">
        <v>58</v>
      </c>
      <c r="C344" s="3" t="s">
        <v>52</v>
      </c>
      <c r="D344" s="7">
        <v>570000</v>
      </c>
      <c r="E344" s="9">
        <v>39</v>
      </c>
      <c r="F344" s="9">
        <v>22230000</v>
      </c>
      <c r="G344" s="9">
        <v>5557500</v>
      </c>
      <c r="H344" s="13">
        <f t="shared" si="5"/>
        <v>0.25</v>
      </c>
    </row>
    <row r="345" spans="1:8">
      <c r="A345" s="5">
        <v>45901</v>
      </c>
      <c r="B345" s="3" t="s">
        <v>58</v>
      </c>
      <c r="C345" s="3" t="s">
        <v>53</v>
      </c>
      <c r="D345" s="7">
        <v>330000</v>
      </c>
      <c r="E345" s="9">
        <v>39</v>
      </c>
      <c r="F345" s="9">
        <v>12870000</v>
      </c>
      <c r="G345" s="9">
        <v>3217500</v>
      </c>
      <c r="H345" s="13">
        <f t="shared" si="5"/>
        <v>0.25</v>
      </c>
    </row>
    <row r="346" spans="1:8">
      <c r="A346" s="5">
        <v>45901</v>
      </c>
      <c r="B346" s="3" t="s">
        <v>59</v>
      </c>
      <c r="C346" s="3" t="s">
        <v>50</v>
      </c>
      <c r="D346" s="7">
        <v>400000</v>
      </c>
      <c r="E346" s="9">
        <v>24</v>
      </c>
      <c r="F346" s="9">
        <v>9600000</v>
      </c>
      <c r="G346" s="9">
        <v>1920000</v>
      </c>
      <c r="H346" s="13">
        <f t="shared" si="5"/>
        <v>0.2</v>
      </c>
    </row>
    <row r="347" spans="1:8">
      <c r="A347" s="5">
        <v>45901</v>
      </c>
      <c r="B347" s="3" t="s">
        <v>59</v>
      </c>
      <c r="C347" s="3" t="s">
        <v>51</v>
      </c>
      <c r="D347" s="7">
        <v>340000</v>
      </c>
      <c r="E347" s="9">
        <v>24</v>
      </c>
      <c r="F347" s="9">
        <v>8160000</v>
      </c>
      <c r="G347" s="9">
        <v>1632000</v>
      </c>
      <c r="H347" s="13">
        <f t="shared" si="5"/>
        <v>0.2</v>
      </c>
    </row>
    <row r="348" spans="1:8">
      <c r="A348" s="5">
        <v>45901</v>
      </c>
      <c r="B348" s="3" t="s">
        <v>59</v>
      </c>
      <c r="C348" s="3" t="s">
        <v>52</v>
      </c>
      <c r="D348" s="7">
        <v>380000</v>
      </c>
      <c r="E348" s="9">
        <v>24</v>
      </c>
      <c r="F348" s="9">
        <v>9120000</v>
      </c>
      <c r="G348" s="9">
        <v>1824000</v>
      </c>
      <c r="H348" s="13">
        <f t="shared" si="5"/>
        <v>0.2</v>
      </c>
    </row>
    <row r="349" spans="1:8">
      <c r="A349" s="5">
        <v>45901</v>
      </c>
      <c r="B349" s="3" t="s">
        <v>59</v>
      </c>
      <c r="C349" s="3" t="s">
        <v>53</v>
      </c>
      <c r="D349" s="7">
        <v>220000</v>
      </c>
      <c r="E349" s="9">
        <v>24</v>
      </c>
      <c r="F349" s="9">
        <v>5280000</v>
      </c>
      <c r="G349" s="9">
        <v>1056000</v>
      </c>
      <c r="H349" s="13">
        <f t="shared" si="5"/>
        <v>0.2</v>
      </c>
    </row>
    <row r="350" spans="1:8">
      <c r="A350" s="5">
        <v>45901</v>
      </c>
      <c r="B350" s="3" t="s">
        <v>60</v>
      </c>
      <c r="C350" s="3" t="s">
        <v>50</v>
      </c>
      <c r="D350" s="7">
        <v>1200000</v>
      </c>
      <c r="E350" s="9">
        <v>12</v>
      </c>
      <c r="F350" s="9">
        <v>14400000</v>
      </c>
      <c r="G350" s="9">
        <v>4320000</v>
      </c>
      <c r="H350" s="13">
        <f t="shared" si="5"/>
        <v>0.3</v>
      </c>
    </row>
    <row r="351" spans="1:8">
      <c r="A351" s="5">
        <v>45901</v>
      </c>
      <c r="B351" s="3" t="s">
        <v>60</v>
      </c>
      <c r="C351" s="3" t="s">
        <v>51</v>
      </c>
      <c r="D351" s="7">
        <v>1020000</v>
      </c>
      <c r="E351" s="9">
        <v>12</v>
      </c>
      <c r="F351" s="9">
        <v>12240000</v>
      </c>
      <c r="G351" s="9">
        <v>3672000</v>
      </c>
      <c r="H351" s="13">
        <f t="shared" si="5"/>
        <v>0.3</v>
      </c>
    </row>
    <row r="352" spans="1:8">
      <c r="A352" s="5">
        <v>45901</v>
      </c>
      <c r="B352" s="3" t="s">
        <v>60</v>
      </c>
      <c r="C352" s="3" t="s">
        <v>52</v>
      </c>
      <c r="D352" s="7">
        <v>1140000</v>
      </c>
      <c r="E352" s="9">
        <v>12</v>
      </c>
      <c r="F352" s="9">
        <v>13680000</v>
      </c>
      <c r="G352" s="9">
        <v>4104000</v>
      </c>
      <c r="H352" s="13">
        <f t="shared" si="5"/>
        <v>0.3</v>
      </c>
    </row>
    <row r="353" spans="1:8">
      <c r="A353" s="5">
        <v>45901</v>
      </c>
      <c r="B353" s="3" t="s">
        <v>60</v>
      </c>
      <c r="C353" s="3" t="s">
        <v>53</v>
      </c>
      <c r="D353" s="7">
        <v>660000</v>
      </c>
      <c r="E353" s="9">
        <v>12</v>
      </c>
      <c r="F353" s="9">
        <v>7920000</v>
      </c>
      <c r="G353" s="9">
        <v>2376000</v>
      </c>
      <c r="H353" s="13">
        <f t="shared" si="5"/>
        <v>0.3</v>
      </c>
    </row>
    <row r="354" spans="1:8">
      <c r="A354" s="5">
        <v>45901</v>
      </c>
      <c r="B354" s="3" t="s">
        <v>61</v>
      </c>
      <c r="C354" s="3" t="s">
        <v>50</v>
      </c>
      <c r="D354" s="7">
        <v>800000</v>
      </c>
      <c r="E354" s="9">
        <v>15</v>
      </c>
      <c r="F354" s="9">
        <v>12000000</v>
      </c>
      <c r="G354" s="9">
        <v>4200000</v>
      </c>
      <c r="H354" s="13">
        <f t="shared" si="5"/>
        <v>0.35</v>
      </c>
    </row>
    <row r="355" spans="1:8">
      <c r="A355" s="5">
        <v>45901</v>
      </c>
      <c r="B355" s="3" t="s">
        <v>61</v>
      </c>
      <c r="C355" s="3" t="s">
        <v>51</v>
      </c>
      <c r="D355" s="7">
        <v>680000</v>
      </c>
      <c r="E355" s="9">
        <v>15</v>
      </c>
      <c r="F355" s="9">
        <v>10200000</v>
      </c>
      <c r="G355" s="9">
        <v>3570000</v>
      </c>
      <c r="H355" s="13">
        <f t="shared" si="5"/>
        <v>0.35</v>
      </c>
    </row>
    <row r="356" spans="1:8">
      <c r="A356" s="5">
        <v>45901</v>
      </c>
      <c r="B356" s="3" t="s">
        <v>61</v>
      </c>
      <c r="C356" s="3" t="s">
        <v>52</v>
      </c>
      <c r="D356" s="7">
        <v>760000</v>
      </c>
      <c r="E356" s="9">
        <v>15</v>
      </c>
      <c r="F356" s="9">
        <v>11400000</v>
      </c>
      <c r="G356" s="9">
        <v>3990000</v>
      </c>
      <c r="H356" s="13">
        <f t="shared" si="5"/>
        <v>0.35</v>
      </c>
    </row>
    <row r="357" spans="1:8">
      <c r="A357" s="5">
        <v>45901</v>
      </c>
      <c r="B357" s="3" t="s">
        <v>61</v>
      </c>
      <c r="C357" s="3" t="s">
        <v>53</v>
      </c>
      <c r="D357" s="7">
        <v>440000</v>
      </c>
      <c r="E357" s="9">
        <v>15</v>
      </c>
      <c r="F357" s="9">
        <v>6600000</v>
      </c>
      <c r="G357" s="9">
        <v>2310000</v>
      </c>
      <c r="H357" s="13">
        <f t="shared" si="5"/>
        <v>0.35</v>
      </c>
    </row>
    <row r="358" spans="1:8">
      <c r="A358" s="5">
        <v>45901</v>
      </c>
      <c r="B358" s="3" t="s">
        <v>62</v>
      </c>
      <c r="C358" s="3" t="s">
        <v>50</v>
      </c>
      <c r="D358" s="7">
        <v>900000</v>
      </c>
      <c r="E358" s="9">
        <v>8</v>
      </c>
      <c r="F358" s="9">
        <v>7200000</v>
      </c>
      <c r="G358" s="9">
        <v>1080000</v>
      </c>
      <c r="H358" s="13">
        <f t="shared" si="5"/>
        <v>0.15</v>
      </c>
    </row>
    <row r="359" spans="1:8">
      <c r="A359" s="5">
        <v>45901</v>
      </c>
      <c r="B359" s="3" t="s">
        <v>62</v>
      </c>
      <c r="C359" s="3" t="s">
        <v>51</v>
      </c>
      <c r="D359" s="7">
        <v>765000</v>
      </c>
      <c r="E359" s="9">
        <v>8</v>
      </c>
      <c r="F359" s="9">
        <v>6120000</v>
      </c>
      <c r="G359" s="9">
        <v>918000</v>
      </c>
      <c r="H359" s="13">
        <f t="shared" si="5"/>
        <v>0.15</v>
      </c>
    </row>
    <row r="360" spans="1:8">
      <c r="A360" s="5">
        <v>45901</v>
      </c>
      <c r="B360" s="3" t="s">
        <v>62</v>
      </c>
      <c r="C360" s="3" t="s">
        <v>52</v>
      </c>
      <c r="D360" s="7">
        <v>855000</v>
      </c>
      <c r="E360" s="9">
        <v>8</v>
      </c>
      <c r="F360" s="9">
        <v>6840000</v>
      </c>
      <c r="G360" s="9">
        <v>1026000</v>
      </c>
      <c r="H360" s="13">
        <f t="shared" si="5"/>
        <v>0.15</v>
      </c>
    </row>
    <row r="361" spans="1:8">
      <c r="A361" s="5">
        <v>45901</v>
      </c>
      <c r="B361" s="3" t="s">
        <v>62</v>
      </c>
      <c r="C361" s="3" t="s">
        <v>53</v>
      </c>
      <c r="D361" s="7">
        <v>495000</v>
      </c>
      <c r="E361" s="9">
        <v>8</v>
      </c>
      <c r="F361" s="9">
        <v>3960000</v>
      </c>
      <c r="G361" s="9">
        <v>594000</v>
      </c>
      <c r="H361" s="13">
        <f t="shared" si="5"/>
        <v>0.15</v>
      </c>
    </row>
    <row r="362" spans="1:8">
      <c r="A362" s="5">
        <v>45931</v>
      </c>
      <c r="B362" s="3" t="s">
        <v>49</v>
      </c>
      <c r="C362" s="3" t="s">
        <v>50</v>
      </c>
      <c r="D362" s="7">
        <v>262500</v>
      </c>
      <c r="E362" s="9">
        <v>699</v>
      </c>
      <c r="F362" s="9">
        <v>183487500</v>
      </c>
      <c r="G362" s="9">
        <v>113762250</v>
      </c>
      <c r="H362" s="13">
        <f t="shared" si="5"/>
        <v>0.62</v>
      </c>
    </row>
    <row r="363" spans="1:8">
      <c r="A363" s="5">
        <v>45931</v>
      </c>
      <c r="B363" s="3" t="s">
        <v>49</v>
      </c>
      <c r="C363" s="3" t="s">
        <v>51</v>
      </c>
      <c r="D363" s="7">
        <v>223125</v>
      </c>
      <c r="E363" s="9">
        <v>699</v>
      </c>
      <c r="F363" s="9">
        <v>155964375</v>
      </c>
      <c r="G363" s="9">
        <v>96697912.5</v>
      </c>
      <c r="H363" s="13">
        <f t="shared" si="5"/>
        <v>0.62</v>
      </c>
    </row>
    <row r="364" spans="1:8">
      <c r="A364" s="5">
        <v>45931</v>
      </c>
      <c r="B364" s="3" t="s">
        <v>49</v>
      </c>
      <c r="C364" s="3" t="s">
        <v>52</v>
      </c>
      <c r="D364" s="7">
        <v>249375</v>
      </c>
      <c r="E364" s="9">
        <v>699</v>
      </c>
      <c r="F364" s="9">
        <v>174313125</v>
      </c>
      <c r="G364" s="9">
        <v>108074137.5</v>
      </c>
      <c r="H364" s="13">
        <f t="shared" si="5"/>
        <v>0.62</v>
      </c>
    </row>
    <row r="365" spans="1:8">
      <c r="A365" s="5">
        <v>45931</v>
      </c>
      <c r="B365" s="3" t="s">
        <v>49</v>
      </c>
      <c r="C365" s="3" t="s">
        <v>53</v>
      </c>
      <c r="D365" s="7">
        <v>144375</v>
      </c>
      <c r="E365" s="9">
        <v>699</v>
      </c>
      <c r="F365" s="9">
        <v>100918125</v>
      </c>
      <c r="G365" s="9">
        <v>62569237.5</v>
      </c>
      <c r="H365" s="13">
        <f t="shared" si="5"/>
        <v>0.62</v>
      </c>
    </row>
    <row r="366" spans="1:8">
      <c r="A366" s="5">
        <v>45931</v>
      </c>
      <c r="B366" s="3" t="s">
        <v>54</v>
      </c>
      <c r="C366" s="3" t="s">
        <v>50</v>
      </c>
      <c r="D366" s="7">
        <v>126000</v>
      </c>
      <c r="E366" s="9">
        <v>999</v>
      </c>
      <c r="F366" s="9">
        <v>125874000</v>
      </c>
      <c r="G366" s="9">
        <v>73006920</v>
      </c>
      <c r="H366" s="13">
        <f t="shared" si="5"/>
        <v>0.57999999999999996</v>
      </c>
    </row>
    <row r="367" spans="1:8">
      <c r="A367" s="5">
        <v>45931</v>
      </c>
      <c r="B367" s="3" t="s">
        <v>54</v>
      </c>
      <c r="C367" s="3" t="s">
        <v>51</v>
      </c>
      <c r="D367" s="7">
        <v>107100</v>
      </c>
      <c r="E367" s="9">
        <v>999</v>
      </c>
      <c r="F367" s="9">
        <v>106992900</v>
      </c>
      <c r="G367" s="9">
        <v>62055882</v>
      </c>
      <c r="H367" s="13">
        <f t="shared" si="5"/>
        <v>0.57999999999999996</v>
      </c>
    </row>
    <row r="368" spans="1:8">
      <c r="A368" s="5">
        <v>45931</v>
      </c>
      <c r="B368" s="3" t="s">
        <v>54</v>
      </c>
      <c r="C368" s="3" t="s">
        <v>52</v>
      </c>
      <c r="D368" s="7">
        <v>119700</v>
      </c>
      <c r="E368" s="9">
        <v>999</v>
      </c>
      <c r="F368" s="9">
        <v>119580300</v>
      </c>
      <c r="G368" s="9">
        <v>69356574</v>
      </c>
      <c r="H368" s="13">
        <f t="shared" si="5"/>
        <v>0.57999999999999996</v>
      </c>
    </row>
    <row r="369" spans="1:8">
      <c r="A369" s="5">
        <v>45931</v>
      </c>
      <c r="B369" s="3" t="s">
        <v>54</v>
      </c>
      <c r="C369" s="3" t="s">
        <v>53</v>
      </c>
      <c r="D369" s="7">
        <v>69300</v>
      </c>
      <c r="E369" s="9">
        <v>999</v>
      </c>
      <c r="F369" s="9">
        <v>69230700</v>
      </c>
      <c r="G369" s="9">
        <v>40153806</v>
      </c>
      <c r="H369" s="13">
        <f t="shared" si="5"/>
        <v>0.57999999999999996</v>
      </c>
    </row>
    <row r="370" spans="1:8">
      <c r="A370" s="5">
        <v>45931</v>
      </c>
      <c r="B370" s="3" t="s">
        <v>55</v>
      </c>
      <c r="C370" s="3" t="s">
        <v>50</v>
      </c>
      <c r="D370" s="7">
        <v>147000</v>
      </c>
      <c r="E370" s="9">
        <v>549</v>
      </c>
      <c r="F370" s="9">
        <v>80703000</v>
      </c>
      <c r="G370" s="9">
        <v>48421800</v>
      </c>
      <c r="H370" s="13">
        <f t="shared" si="5"/>
        <v>0.6</v>
      </c>
    </row>
    <row r="371" spans="1:8">
      <c r="A371" s="5">
        <v>45931</v>
      </c>
      <c r="B371" s="3" t="s">
        <v>55</v>
      </c>
      <c r="C371" s="3" t="s">
        <v>51</v>
      </c>
      <c r="D371" s="7">
        <v>124950</v>
      </c>
      <c r="E371" s="9">
        <v>549</v>
      </c>
      <c r="F371" s="9">
        <v>68597550</v>
      </c>
      <c r="G371" s="9">
        <v>41158530</v>
      </c>
      <c r="H371" s="13">
        <f t="shared" si="5"/>
        <v>0.6</v>
      </c>
    </row>
    <row r="372" spans="1:8">
      <c r="A372" s="5">
        <v>45931</v>
      </c>
      <c r="B372" s="3" t="s">
        <v>55</v>
      </c>
      <c r="C372" s="3" t="s">
        <v>52</v>
      </c>
      <c r="D372" s="7">
        <v>139650</v>
      </c>
      <c r="E372" s="9">
        <v>549</v>
      </c>
      <c r="F372" s="9">
        <v>76667850</v>
      </c>
      <c r="G372" s="9">
        <v>46000710</v>
      </c>
      <c r="H372" s="13">
        <f t="shared" si="5"/>
        <v>0.6</v>
      </c>
    </row>
    <row r="373" spans="1:8">
      <c r="A373" s="5">
        <v>45931</v>
      </c>
      <c r="B373" s="3" t="s">
        <v>55</v>
      </c>
      <c r="C373" s="3" t="s">
        <v>53</v>
      </c>
      <c r="D373" s="7">
        <v>80850</v>
      </c>
      <c r="E373" s="9">
        <v>549</v>
      </c>
      <c r="F373" s="9">
        <v>44386650</v>
      </c>
      <c r="G373" s="9">
        <v>26631990</v>
      </c>
      <c r="H373" s="13">
        <f t="shared" si="5"/>
        <v>0.6</v>
      </c>
    </row>
    <row r="374" spans="1:8">
      <c r="A374" s="5">
        <v>45931</v>
      </c>
      <c r="B374" s="3" t="s">
        <v>56</v>
      </c>
      <c r="C374" s="3" t="s">
        <v>50</v>
      </c>
      <c r="D374" s="7">
        <v>73500</v>
      </c>
      <c r="E374" s="9">
        <v>1199</v>
      </c>
      <c r="F374" s="9">
        <v>88126500</v>
      </c>
      <c r="G374" s="9">
        <v>48469575</v>
      </c>
      <c r="H374" s="13">
        <f t="shared" si="5"/>
        <v>0.55000000000000004</v>
      </c>
    </row>
    <row r="375" spans="1:8">
      <c r="A375" s="5">
        <v>45931</v>
      </c>
      <c r="B375" s="3" t="s">
        <v>56</v>
      </c>
      <c r="C375" s="3" t="s">
        <v>51</v>
      </c>
      <c r="D375" s="7">
        <v>62475</v>
      </c>
      <c r="E375" s="9">
        <v>1199</v>
      </c>
      <c r="F375" s="9">
        <v>74907525</v>
      </c>
      <c r="G375" s="9">
        <v>41199138.75</v>
      </c>
      <c r="H375" s="13">
        <f t="shared" si="5"/>
        <v>0.55000000000000004</v>
      </c>
    </row>
    <row r="376" spans="1:8">
      <c r="A376" s="5">
        <v>45931</v>
      </c>
      <c r="B376" s="3" t="s">
        <v>56</v>
      </c>
      <c r="C376" s="3" t="s">
        <v>52</v>
      </c>
      <c r="D376" s="7">
        <v>69825</v>
      </c>
      <c r="E376" s="9">
        <v>1199</v>
      </c>
      <c r="F376" s="9">
        <v>83720175</v>
      </c>
      <c r="G376" s="9">
        <v>46046096.25</v>
      </c>
      <c r="H376" s="13">
        <f t="shared" si="5"/>
        <v>0.55000000000000004</v>
      </c>
    </row>
    <row r="377" spans="1:8">
      <c r="A377" s="5">
        <v>45931</v>
      </c>
      <c r="B377" s="3" t="s">
        <v>56</v>
      </c>
      <c r="C377" s="3" t="s">
        <v>53</v>
      </c>
      <c r="D377" s="7">
        <v>40425</v>
      </c>
      <c r="E377" s="9">
        <v>1199</v>
      </c>
      <c r="F377" s="9">
        <v>48469575</v>
      </c>
      <c r="G377" s="9">
        <v>26658266.25</v>
      </c>
      <c r="H377" s="13">
        <f t="shared" si="5"/>
        <v>0.55000000000000004</v>
      </c>
    </row>
    <row r="378" spans="1:8">
      <c r="A378" s="5">
        <v>45931</v>
      </c>
      <c r="B378" s="3" t="s">
        <v>57</v>
      </c>
      <c r="C378" s="3" t="s">
        <v>50</v>
      </c>
      <c r="D378" s="7">
        <v>189000</v>
      </c>
      <c r="E378" s="9">
        <v>299</v>
      </c>
      <c r="F378" s="9">
        <v>56511000</v>
      </c>
      <c r="G378" s="9">
        <v>28255500</v>
      </c>
      <c r="H378" s="13">
        <f t="shared" si="5"/>
        <v>0.5</v>
      </c>
    </row>
    <row r="379" spans="1:8">
      <c r="A379" s="5">
        <v>45931</v>
      </c>
      <c r="B379" s="3" t="s">
        <v>57</v>
      </c>
      <c r="C379" s="3" t="s">
        <v>51</v>
      </c>
      <c r="D379" s="7">
        <v>160650</v>
      </c>
      <c r="E379" s="9">
        <v>299</v>
      </c>
      <c r="F379" s="9">
        <v>48034350</v>
      </c>
      <c r="G379" s="9">
        <v>24017175</v>
      </c>
      <c r="H379" s="13">
        <f t="shared" si="5"/>
        <v>0.5</v>
      </c>
    </row>
    <row r="380" spans="1:8">
      <c r="A380" s="5">
        <v>45931</v>
      </c>
      <c r="B380" s="3" t="s">
        <v>57</v>
      </c>
      <c r="C380" s="3" t="s">
        <v>52</v>
      </c>
      <c r="D380" s="7">
        <v>179550</v>
      </c>
      <c r="E380" s="9">
        <v>299</v>
      </c>
      <c r="F380" s="9">
        <v>53685450</v>
      </c>
      <c r="G380" s="9">
        <v>26842725</v>
      </c>
      <c r="H380" s="13">
        <f t="shared" si="5"/>
        <v>0.5</v>
      </c>
    </row>
    <row r="381" spans="1:8">
      <c r="A381" s="5">
        <v>45931</v>
      </c>
      <c r="B381" s="3" t="s">
        <v>57</v>
      </c>
      <c r="C381" s="3" t="s">
        <v>53</v>
      </c>
      <c r="D381" s="7">
        <v>103950</v>
      </c>
      <c r="E381" s="9">
        <v>299</v>
      </c>
      <c r="F381" s="9">
        <v>31081050</v>
      </c>
      <c r="G381" s="9">
        <v>15540525</v>
      </c>
      <c r="H381" s="13">
        <f t="shared" si="5"/>
        <v>0.5</v>
      </c>
    </row>
    <row r="382" spans="1:8">
      <c r="A382" s="5">
        <v>45931</v>
      </c>
      <c r="B382" s="3" t="s">
        <v>58</v>
      </c>
      <c r="C382" s="3" t="s">
        <v>50</v>
      </c>
      <c r="D382" s="7">
        <v>630000</v>
      </c>
      <c r="E382" s="9">
        <v>39</v>
      </c>
      <c r="F382" s="9">
        <v>24570000</v>
      </c>
      <c r="G382" s="9">
        <v>6142500</v>
      </c>
      <c r="H382" s="13">
        <f t="shared" si="5"/>
        <v>0.25</v>
      </c>
    </row>
    <row r="383" spans="1:8">
      <c r="A383" s="5">
        <v>45931</v>
      </c>
      <c r="B383" s="3" t="s">
        <v>58</v>
      </c>
      <c r="C383" s="3" t="s">
        <v>51</v>
      </c>
      <c r="D383" s="7">
        <v>535500</v>
      </c>
      <c r="E383" s="9">
        <v>39</v>
      </c>
      <c r="F383" s="9">
        <v>20884500</v>
      </c>
      <c r="G383" s="9">
        <v>5221125</v>
      </c>
      <c r="H383" s="13">
        <f t="shared" si="5"/>
        <v>0.25</v>
      </c>
    </row>
    <row r="384" spans="1:8">
      <c r="A384" s="5">
        <v>45931</v>
      </c>
      <c r="B384" s="3" t="s">
        <v>58</v>
      </c>
      <c r="C384" s="3" t="s">
        <v>52</v>
      </c>
      <c r="D384" s="7">
        <v>598500</v>
      </c>
      <c r="E384" s="9">
        <v>39</v>
      </c>
      <c r="F384" s="9">
        <v>23341500</v>
      </c>
      <c r="G384" s="9">
        <v>5835375</v>
      </c>
      <c r="H384" s="13">
        <f t="shared" si="5"/>
        <v>0.25</v>
      </c>
    </row>
    <row r="385" spans="1:8">
      <c r="A385" s="5">
        <v>45931</v>
      </c>
      <c r="B385" s="3" t="s">
        <v>58</v>
      </c>
      <c r="C385" s="3" t="s">
        <v>53</v>
      </c>
      <c r="D385" s="7">
        <v>346500</v>
      </c>
      <c r="E385" s="9">
        <v>39</v>
      </c>
      <c r="F385" s="9">
        <v>13513500</v>
      </c>
      <c r="G385" s="9">
        <v>3378375</v>
      </c>
      <c r="H385" s="13">
        <f t="shared" si="5"/>
        <v>0.25</v>
      </c>
    </row>
    <row r="386" spans="1:8">
      <c r="A386" s="5">
        <v>45931</v>
      </c>
      <c r="B386" s="3" t="s">
        <v>59</v>
      </c>
      <c r="C386" s="3" t="s">
        <v>50</v>
      </c>
      <c r="D386" s="7">
        <v>420000</v>
      </c>
      <c r="E386" s="9">
        <v>24</v>
      </c>
      <c r="F386" s="9">
        <v>10080000</v>
      </c>
      <c r="G386" s="9">
        <v>2016000</v>
      </c>
      <c r="H386" s="13">
        <f t="shared" ref="H386:H449" si="6">G386/F386</f>
        <v>0.2</v>
      </c>
    </row>
    <row r="387" spans="1:8">
      <c r="A387" s="5">
        <v>45931</v>
      </c>
      <c r="B387" s="3" t="s">
        <v>59</v>
      </c>
      <c r="C387" s="3" t="s">
        <v>51</v>
      </c>
      <c r="D387" s="7">
        <v>357000</v>
      </c>
      <c r="E387" s="9">
        <v>24</v>
      </c>
      <c r="F387" s="9">
        <v>8568000</v>
      </c>
      <c r="G387" s="9">
        <v>1713600</v>
      </c>
      <c r="H387" s="13">
        <f t="shared" si="6"/>
        <v>0.2</v>
      </c>
    </row>
    <row r="388" spans="1:8">
      <c r="A388" s="5">
        <v>45931</v>
      </c>
      <c r="B388" s="3" t="s">
        <v>59</v>
      </c>
      <c r="C388" s="3" t="s">
        <v>52</v>
      </c>
      <c r="D388" s="7">
        <v>399000</v>
      </c>
      <c r="E388" s="9">
        <v>24</v>
      </c>
      <c r="F388" s="9">
        <v>9576000</v>
      </c>
      <c r="G388" s="9">
        <v>1915200</v>
      </c>
      <c r="H388" s="13">
        <f t="shared" si="6"/>
        <v>0.2</v>
      </c>
    </row>
    <row r="389" spans="1:8">
      <c r="A389" s="5">
        <v>45931</v>
      </c>
      <c r="B389" s="3" t="s">
        <v>59</v>
      </c>
      <c r="C389" s="3" t="s">
        <v>53</v>
      </c>
      <c r="D389" s="7">
        <v>231000</v>
      </c>
      <c r="E389" s="9">
        <v>24</v>
      </c>
      <c r="F389" s="9">
        <v>5544000</v>
      </c>
      <c r="G389" s="9">
        <v>1108800</v>
      </c>
      <c r="H389" s="13">
        <f t="shared" si="6"/>
        <v>0.2</v>
      </c>
    </row>
    <row r="390" spans="1:8">
      <c r="A390" s="5">
        <v>45931</v>
      </c>
      <c r="B390" s="3" t="s">
        <v>60</v>
      </c>
      <c r="C390" s="3" t="s">
        <v>50</v>
      </c>
      <c r="D390" s="7">
        <v>1260000</v>
      </c>
      <c r="E390" s="9">
        <v>12</v>
      </c>
      <c r="F390" s="9">
        <v>15120000</v>
      </c>
      <c r="G390" s="9">
        <v>4536000</v>
      </c>
      <c r="H390" s="13">
        <f t="shared" si="6"/>
        <v>0.3</v>
      </c>
    </row>
    <row r="391" spans="1:8">
      <c r="A391" s="5">
        <v>45931</v>
      </c>
      <c r="B391" s="3" t="s">
        <v>60</v>
      </c>
      <c r="C391" s="3" t="s">
        <v>51</v>
      </c>
      <c r="D391" s="7">
        <v>1071000</v>
      </c>
      <c r="E391" s="9">
        <v>12</v>
      </c>
      <c r="F391" s="9">
        <v>12852000</v>
      </c>
      <c r="G391" s="9">
        <v>3855600</v>
      </c>
      <c r="H391" s="13">
        <f t="shared" si="6"/>
        <v>0.3</v>
      </c>
    </row>
    <row r="392" spans="1:8">
      <c r="A392" s="5">
        <v>45931</v>
      </c>
      <c r="B392" s="3" t="s">
        <v>60</v>
      </c>
      <c r="C392" s="3" t="s">
        <v>52</v>
      </c>
      <c r="D392" s="7">
        <v>1197000</v>
      </c>
      <c r="E392" s="9">
        <v>12</v>
      </c>
      <c r="F392" s="9">
        <v>14364000</v>
      </c>
      <c r="G392" s="9">
        <v>4309200</v>
      </c>
      <c r="H392" s="13">
        <f t="shared" si="6"/>
        <v>0.3</v>
      </c>
    </row>
    <row r="393" spans="1:8">
      <c r="A393" s="5">
        <v>45931</v>
      </c>
      <c r="B393" s="3" t="s">
        <v>60</v>
      </c>
      <c r="C393" s="3" t="s">
        <v>53</v>
      </c>
      <c r="D393" s="7">
        <v>693000</v>
      </c>
      <c r="E393" s="9">
        <v>12</v>
      </c>
      <c r="F393" s="9">
        <v>8316000</v>
      </c>
      <c r="G393" s="9">
        <v>2494800</v>
      </c>
      <c r="H393" s="13">
        <f t="shared" si="6"/>
        <v>0.3</v>
      </c>
    </row>
    <row r="394" spans="1:8">
      <c r="A394" s="5">
        <v>45931</v>
      </c>
      <c r="B394" s="3" t="s">
        <v>61</v>
      </c>
      <c r="C394" s="3" t="s">
        <v>50</v>
      </c>
      <c r="D394" s="7">
        <v>840000</v>
      </c>
      <c r="E394" s="9">
        <v>15</v>
      </c>
      <c r="F394" s="9">
        <v>12600000</v>
      </c>
      <c r="G394" s="9">
        <v>4410000</v>
      </c>
      <c r="H394" s="13">
        <f t="shared" si="6"/>
        <v>0.35</v>
      </c>
    </row>
    <row r="395" spans="1:8">
      <c r="A395" s="5">
        <v>45931</v>
      </c>
      <c r="B395" s="3" t="s">
        <v>61</v>
      </c>
      <c r="C395" s="3" t="s">
        <v>51</v>
      </c>
      <c r="D395" s="7">
        <v>714000</v>
      </c>
      <c r="E395" s="9">
        <v>15</v>
      </c>
      <c r="F395" s="9">
        <v>10710000</v>
      </c>
      <c r="G395" s="9">
        <v>3748500</v>
      </c>
      <c r="H395" s="13">
        <f t="shared" si="6"/>
        <v>0.35</v>
      </c>
    </row>
    <row r="396" spans="1:8">
      <c r="A396" s="5">
        <v>45931</v>
      </c>
      <c r="B396" s="3" t="s">
        <v>61</v>
      </c>
      <c r="C396" s="3" t="s">
        <v>52</v>
      </c>
      <c r="D396" s="7">
        <v>798000</v>
      </c>
      <c r="E396" s="9">
        <v>15</v>
      </c>
      <c r="F396" s="9">
        <v>11970000</v>
      </c>
      <c r="G396" s="9">
        <v>4189500</v>
      </c>
      <c r="H396" s="13">
        <f t="shared" si="6"/>
        <v>0.35</v>
      </c>
    </row>
    <row r="397" spans="1:8">
      <c r="A397" s="5">
        <v>45931</v>
      </c>
      <c r="B397" s="3" t="s">
        <v>61</v>
      </c>
      <c r="C397" s="3" t="s">
        <v>53</v>
      </c>
      <c r="D397" s="7">
        <v>462000</v>
      </c>
      <c r="E397" s="9">
        <v>15</v>
      </c>
      <c r="F397" s="9">
        <v>6930000</v>
      </c>
      <c r="G397" s="9">
        <v>2425500</v>
      </c>
      <c r="H397" s="13">
        <f t="shared" si="6"/>
        <v>0.35</v>
      </c>
    </row>
    <row r="398" spans="1:8">
      <c r="A398" s="5">
        <v>45931</v>
      </c>
      <c r="B398" s="3" t="s">
        <v>62</v>
      </c>
      <c r="C398" s="3" t="s">
        <v>50</v>
      </c>
      <c r="D398" s="7">
        <v>945000</v>
      </c>
      <c r="E398" s="9">
        <v>8</v>
      </c>
      <c r="F398" s="9">
        <v>7560000</v>
      </c>
      <c r="G398" s="9">
        <v>1134000</v>
      </c>
      <c r="H398" s="13">
        <f t="shared" si="6"/>
        <v>0.15</v>
      </c>
    </row>
    <row r="399" spans="1:8">
      <c r="A399" s="5">
        <v>45931</v>
      </c>
      <c r="B399" s="3" t="s">
        <v>62</v>
      </c>
      <c r="C399" s="3" t="s">
        <v>51</v>
      </c>
      <c r="D399" s="7">
        <v>803250</v>
      </c>
      <c r="E399" s="9">
        <v>8</v>
      </c>
      <c r="F399" s="9">
        <v>6426000</v>
      </c>
      <c r="G399" s="9">
        <v>963900</v>
      </c>
      <c r="H399" s="13">
        <f t="shared" si="6"/>
        <v>0.15</v>
      </c>
    </row>
    <row r="400" spans="1:8">
      <c r="A400" s="5">
        <v>45931</v>
      </c>
      <c r="B400" s="3" t="s">
        <v>62</v>
      </c>
      <c r="C400" s="3" t="s">
        <v>52</v>
      </c>
      <c r="D400" s="7">
        <v>897750</v>
      </c>
      <c r="E400" s="9">
        <v>8</v>
      </c>
      <c r="F400" s="9">
        <v>7182000</v>
      </c>
      <c r="G400" s="9">
        <v>1077300</v>
      </c>
      <c r="H400" s="13">
        <f t="shared" si="6"/>
        <v>0.15</v>
      </c>
    </row>
    <row r="401" spans="1:8">
      <c r="A401" s="5">
        <v>45931</v>
      </c>
      <c r="B401" s="3" t="s">
        <v>62</v>
      </c>
      <c r="C401" s="3" t="s">
        <v>53</v>
      </c>
      <c r="D401" s="7">
        <v>519750</v>
      </c>
      <c r="E401" s="9">
        <v>8</v>
      </c>
      <c r="F401" s="9">
        <v>4158000</v>
      </c>
      <c r="G401" s="9">
        <v>623700</v>
      </c>
      <c r="H401" s="13">
        <f t="shared" si="6"/>
        <v>0.15</v>
      </c>
    </row>
    <row r="402" spans="1:8">
      <c r="A402" s="5">
        <v>45962</v>
      </c>
      <c r="B402" s="3" t="s">
        <v>49</v>
      </c>
      <c r="C402" s="3" t="s">
        <v>50</v>
      </c>
      <c r="D402" s="7">
        <v>280000</v>
      </c>
      <c r="E402" s="9">
        <v>699</v>
      </c>
      <c r="F402" s="9">
        <v>195720000</v>
      </c>
      <c r="G402" s="9">
        <v>121346400</v>
      </c>
      <c r="H402" s="13">
        <f t="shared" si="6"/>
        <v>0.62</v>
      </c>
    </row>
    <row r="403" spans="1:8">
      <c r="A403" s="5">
        <v>45962</v>
      </c>
      <c r="B403" s="3" t="s">
        <v>49</v>
      </c>
      <c r="C403" s="3" t="s">
        <v>51</v>
      </c>
      <c r="D403" s="7">
        <v>238000</v>
      </c>
      <c r="E403" s="9">
        <v>699</v>
      </c>
      <c r="F403" s="9">
        <v>166362000</v>
      </c>
      <c r="G403" s="9">
        <v>103144440</v>
      </c>
      <c r="H403" s="13">
        <f t="shared" si="6"/>
        <v>0.62</v>
      </c>
    </row>
    <row r="404" spans="1:8">
      <c r="A404" s="5">
        <v>45962</v>
      </c>
      <c r="B404" s="3" t="s">
        <v>49</v>
      </c>
      <c r="C404" s="3" t="s">
        <v>52</v>
      </c>
      <c r="D404" s="7">
        <v>266000</v>
      </c>
      <c r="E404" s="9">
        <v>699</v>
      </c>
      <c r="F404" s="9">
        <v>185934000</v>
      </c>
      <c r="G404" s="9">
        <v>115279080</v>
      </c>
      <c r="H404" s="13">
        <f t="shared" si="6"/>
        <v>0.62</v>
      </c>
    </row>
    <row r="405" spans="1:8">
      <c r="A405" s="5">
        <v>45962</v>
      </c>
      <c r="B405" s="3" t="s">
        <v>49</v>
      </c>
      <c r="C405" s="3" t="s">
        <v>53</v>
      </c>
      <c r="D405" s="7">
        <v>154000</v>
      </c>
      <c r="E405" s="9">
        <v>699</v>
      </c>
      <c r="F405" s="9">
        <v>107646000</v>
      </c>
      <c r="G405" s="9">
        <v>66740520</v>
      </c>
      <c r="H405" s="13">
        <f t="shared" si="6"/>
        <v>0.62</v>
      </c>
    </row>
    <row r="406" spans="1:8">
      <c r="A406" s="5">
        <v>45962</v>
      </c>
      <c r="B406" s="3" t="s">
        <v>54</v>
      </c>
      <c r="C406" s="3" t="s">
        <v>50</v>
      </c>
      <c r="D406" s="7">
        <v>134400</v>
      </c>
      <c r="E406" s="9">
        <v>999</v>
      </c>
      <c r="F406" s="9">
        <v>134265600</v>
      </c>
      <c r="G406" s="9">
        <v>77874048</v>
      </c>
      <c r="H406" s="13">
        <f t="shared" si="6"/>
        <v>0.57999999999999996</v>
      </c>
    </row>
    <row r="407" spans="1:8">
      <c r="A407" s="5">
        <v>45962</v>
      </c>
      <c r="B407" s="3" t="s">
        <v>54</v>
      </c>
      <c r="C407" s="3" t="s">
        <v>51</v>
      </c>
      <c r="D407" s="7">
        <v>114240</v>
      </c>
      <c r="E407" s="9">
        <v>999</v>
      </c>
      <c r="F407" s="9">
        <v>114125760</v>
      </c>
      <c r="G407" s="9">
        <v>66192940.799999997</v>
      </c>
      <c r="H407" s="13">
        <f t="shared" si="6"/>
        <v>0.57999999999999996</v>
      </c>
    </row>
    <row r="408" spans="1:8">
      <c r="A408" s="5">
        <v>45962</v>
      </c>
      <c r="B408" s="3" t="s">
        <v>54</v>
      </c>
      <c r="C408" s="3" t="s">
        <v>52</v>
      </c>
      <c r="D408" s="7">
        <v>127680</v>
      </c>
      <c r="E408" s="9">
        <v>999</v>
      </c>
      <c r="F408" s="9">
        <v>127552320</v>
      </c>
      <c r="G408" s="9">
        <v>73980345.599999994</v>
      </c>
      <c r="H408" s="13">
        <f t="shared" si="6"/>
        <v>0.57999999999999996</v>
      </c>
    </row>
    <row r="409" spans="1:8">
      <c r="A409" s="5">
        <v>45962</v>
      </c>
      <c r="B409" s="3" t="s">
        <v>54</v>
      </c>
      <c r="C409" s="3" t="s">
        <v>53</v>
      </c>
      <c r="D409" s="7">
        <v>73920</v>
      </c>
      <c r="E409" s="9">
        <v>999</v>
      </c>
      <c r="F409" s="9">
        <v>73846080</v>
      </c>
      <c r="G409" s="9">
        <v>42830726.399999999</v>
      </c>
      <c r="H409" s="13">
        <f t="shared" si="6"/>
        <v>0.57999999999999996</v>
      </c>
    </row>
    <row r="410" spans="1:8">
      <c r="A410" s="5">
        <v>45962</v>
      </c>
      <c r="B410" s="3" t="s">
        <v>55</v>
      </c>
      <c r="C410" s="3" t="s">
        <v>50</v>
      </c>
      <c r="D410" s="7">
        <v>156800</v>
      </c>
      <c r="E410" s="9">
        <v>549</v>
      </c>
      <c r="F410" s="9">
        <v>86083200</v>
      </c>
      <c r="G410" s="9">
        <v>51649920</v>
      </c>
      <c r="H410" s="13">
        <f t="shared" si="6"/>
        <v>0.6</v>
      </c>
    </row>
    <row r="411" spans="1:8">
      <c r="A411" s="5">
        <v>45962</v>
      </c>
      <c r="B411" s="3" t="s">
        <v>55</v>
      </c>
      <c r="C411" s="3" t="s">
        <v>51</v>
      </c>
      <c r="D411" s="7">
        <v>133280</v>
      </c>
      <c r="E411" s="9">
        <v>549</v>
      </c>
      <c r="F411" s="9">
        <v>73170720</v>
      </c>
      <c r="G411" s="9">
        <v>43902432</v>
      </c>
      <c r="H411" s="13">
        <f t="shared" si="6"/>
        <v>0.6</v>
      </c>
    </row>
    <row r="412" spans="1:8">
      <c r="A412" s="5">
        <v>45962</v>
      </c>
      <c r="B412" s="3" t="s">
        <v>55</v>
      </c>
      <c r="C412" s="3" t="s">
        <v>52</v>
      </c>
      <c r="D412" s="7">
        <v>148960</v>
      </c>
      <c r="E412" s="9">
        <v>549</v>
      </c>
      <c r="F412" s="9">
        <v>81779040</v>
      </c>
      <c r="G412" s="9">
        <v>49067424</v>
      </c>
      <c r="H412" s="13">
        <f t="shared" si="6"/>
        <v>0.6</v>
      </c>
    </row>
    <row r="413" spans="1:8">
      <c r="A413" s="5">
        <v>45962</v>
      </c>
      <c r="B413" s="3" t="s">
        <v>55</v>
      </c>
      <c r="C413" s="3" t="s">
        <v>53</v>
      </c>
      <c r="D413" s="7">
        <v>86240</v>
      </c>
      <c r="E413" s="9">
        <v>549</v>
      </c>
      <c r="F413" s="9">
        <v>47345760</v>
      </c>
      <c r="G413" s="9">
        <v>28407456</v>
      </c>
      <c r="H413" s="13">
        <f t="shared" si="6"/>
        <v>0.6</v>
      </c>
    </row>
    <row r="414" spans="1:8">
      <c r="A414" s="5">
        <v>45962</v>
      </c>
      <c r="B414" s="3" t="s">
        <v>56</v>
      </c>
      <c r="C414" s="3" t="s">
        <v>50</v>
      </c>
      <c r="D414" s="7">
        <v>78400</v>
      </c>
      <c r="E414" s="9">
        <v>1199</v>
      </c>
      <c r="F414" s="9">
        <v>94001600</v>
      </c>
      <c r="G414" s="9">
        <v>51700880</v>
      </c>
      <c r="H414" s="13">
        <f t="shared" si="6"/>
        <v>0.55000000000000004</v>
      </c>
    </row>
    <row r="415" spans="1:8">
      <c r="A415" s="5">
        <v>45962</v>
      </c>
      <c r="B415" s="3" t="s">
        <v>56</v>
      </c>
      <c r="C415" s="3" t="s">
        <v>51</v>
      </c>
      <c r="D415" s="7">
        <v>66640</v>
      </c>
      <c r="E415" s="9">
        <v>1199</v>
      </c>
      <c r="F415" s="9">
        <v>79901360</v>
      </c>
      <c r="G415" s="9">
        <v>43945748</v>
      </c>
      <c r="H415" s="13">
        <f t="shared" si="6"/>
        <v>0.55000000000000004</v>
      </c>
    </row>
    <row r="416" spans="1:8">
      <c r="A416" s="5">
        <v>45962</v>
      </c>
      <c r="B416" s="3" t="s">
        <v>56</v>
      </c>
      <c r="C416" s="3" t="s">
        <v>52</v>
      </c>
      <c r="D416" s="7">
        <v>74480</v>
      </c>
      <c r="E416" s="9">
        <v>1199</v>
      </c>
      <c r="F416" s="9">
        <v>89301520</v>
      </c>
      <c r="G416" s="9">
        <v>49115836</v>
      </c>
      <c r="H416" s="13">
        <f t="shared" si="6"/>
        <v>0.55000000000000004</v>
      </c>
    </row>
    <row r="417" spans="1:8">
      <c r="A417" s="5">
        <v>45962</v>
      </c>
      <c r="B417" s="3" t="s">
        <v>56</v>
      </c>
      <c r="C417" s="3" t="s">
        <v>53</v>
      </c>
      <c r="D417" s="7">
        <v>43120</v>
      </c>
      <c r="E417" s="9">
        <v>1199</v>
      </c>
      <c r="F417" s="9">
        <v>51700880</v>
      </c>
      <c r="G417" s="9">
        <v>28435484</v>
      </c>
      <c r="H417" s="13">
        <f t="shared" si="6"/>
        <v>0.55000000000000004</v>
      </c>
    </row>
    <row r="418" spans="1:8">
      <c r="A418" s="5">
        <v>45962</v>
      </c>
      <c r="B418" s="3" t="s">
        <v>57</v>
      </c>
      <c r="C418" s="3" t="s">
        <v>50</v>
      </c>
      <c r="D418" s="7">
        <v>201600</v>
      </c>
      <c r="E418" s="9">
        <v>299</v>
      </c>
      <c r="F418" s="9">
        <v>60278400</v>
      </c>
      <c r="G418" s="9">
        <v>30139200</v>
      </c>
      <c r="H418" s="13">
        <f t="shared" si="6"/>
        <v>0.5</v>
      </c>
    </row>
    <row r="419" spans="1:8">
      <c r="A419" s="5">
        <v>45962</v>
      </c>
      <c r="B419" s="3" t="s">
        <v>57</v>
      </c>
      <c r="C419" s="3" t="s">
        <v>51</v>
      </c>
      <c r="D419" s="7">
        <v>171360</v>
      </c>
      <c r="E419" s="9">
        <v>299</v>
      </c>
      <c r="F419" s="9">
        <v>51236640</v>
      </c>
      <c r="G419" s="9">
        <v>25618320</v>
      </c>
      <c r="H419" s="13">
        <f t="shared" si="6"/>
        <v>0.5</v>
      </c>
    </row>
    <row r="420" spans="1:8">
      <c r="A420" s="5">
        <v>45962</v>
      </c>
      <c r="B420" s="3" t="s">
        <v>57</v>
      </c>
      <c r="C420" s="3" t="s">
        <v>52</v>
      </c>
      <c r="D420" s="7">
        <v>191520</v>
      </c>
      <c r="E420" s="9">
        <v>299</v>
      </c>
      <c r="F420" s="9">
        <v>57264480</v>
      </c>
      <c r="G420" s="9">
        <v>28632240</v>
      </c>
      <c r="H420" s="13">
        <f t="shared" si="6"/>
        <v>0.5</v>
      </c>
    </row>
    <row r="421" spans="1:8">
      <c r="A421" s="5">
        <v>45962</v>
      </c>
      <c r="B421" s="3" t="s">
        <v>57</v>
      </c>
      <c r="C421" s="3" t="s">
        <v>53</v>
      </c>
      <c r="D421" s="7">
        <v>110880</v>
      </c>
      <c r="E421" s="9">
        <v>299</v>
      </c>
      <c r="F421" s="9">
        <v>33153120</v>
      </c>
      <c r="G421" s="9">
        <v>16576560</v>
      </c>
      <c r="H421" s="13">
        <f t="shared" si="6"/>
        <v>0.5</v>
      </c>
    </row>
    <row r="422" spans="1:8">
      <c r="A422" s="5">
        <v>45962</v>
      </c>
      <c r="B422" s="3" t="s">
        <v>58</v>
      </c>
      <c r="C422" s="3" t="s">
        <v>50</v>
      </c>
      <c r="D422" s="7">
        <v>672000</v>
      </c>
      <c r="E422" s="9">
        <v>39</v>
      </c>
      <c r="F422" s="9">
        <v>26208000</v>
      </c>
      <c r="G422" s="9">
        <v>6552000</v>
      </c>
      <c r="H422" s="13">
        <f t="shared" si="6"/>
        <v>0.25</v>
      </c>
    </row>
    <row r="423" spans="1:8">
      <c r="A423" s="5">
        <v>45962</v>
      </c>
      <c r="B423" s="3" t="s">
        <v>58</v>
      </c>
      <c r="C423" s="3" t="s">
        <v>51</v>
      </c>
      <c r="D423" s="7">
        <v>571200</v>
      </c>
      <c r="E423" s="9">
        <v>39</v>
      </c>
      <c r="F423" s="9">
        <v>22276800</v>
      </c>
      <c r="G423" s="9">
        <v>5569200</v>
      </c>
      <c r="H423" s="13">
        <f t="shared" si="6"/>
        <v>0.25</v>
      </c>
    </row>
    <row r="424" spans="1:8">
      <c r="A424" s="5">
        <v>45962</v>
      </c>
      <c r="B424" s="3" t="s">
        <v>58</v>
      </c>
      <c r="C424" s="3" t="s">
        <v>52</v>
      </c>
      <c r="D424" s="7">
        <v>638400</v>
      </c>
      <c r="E424" s="9">
        <v>39</v>
      </c>
      <c r="F424" s="9">
        <v>24897600</v>
      </c>
      <c r="G424" s="9">
        <v>6224400</v>
      </c>
      <c r="H424" s="13">
        <f t="shared" si="6"/>
        <v>0.25</v>
      </c>
    </row>
    <row r="425" spans="1:8">
      <c r="A425" s="5">
        <v>45962</v>
      </c>
      <c r="B425" s="3" t="s">
        <v>58</v>
      </c>
      <c r="C425" s="3" t="s">
        <v>53</v>
      </c>
      <c r="D425" s="7">
        <v>369600</v>
      </c>
      <c r="E425" s="9">
        <v>39</v>
      </c>
      <c r="F425" s="9">
        <v>14414400</v>
      </c>
      <c r="G425" s="9">
        <v>3603600</v>
      </c>
      <c r="H425" s="13">
        <f t="shared" si="6"/>
        <v>0.25</v>
      </c>
    </row>
    <row r="426" spans="1:8">
      <c r="A426" s="5">
        <v>45962</v>
      </c>
      <c r="B426" s="3" t="s">
        <v>59</v>
      </c>
      <c r="C426" s="3" t="s">
        <v>50</v>
      </c>
      <c r="D426" s="7">
        <v>448000</v>
      </c>
      <c r="E426" s="9">
        <v>24</v>
      </c>
      <c r="F426" s="9">
        <v>10752000</v>
      </c>
      <c r="G426" s="9">
        <v>2150400</v>
      </c>
      <c r="H426" s="13">
        <f t="shared" si="6"/>
        <v>0.2</v>
      </c>
    </row>
    <row r="427" spans="1:8">
      <c r="A427" s="5">
        <v>45962</v>
      </c>
      <c r="B427" s="3" t="s">
        <v>59</v>
      </c>
      <c r="C427" s="3" t="s">
        <v>51</v>
      </c>
      <c r="D427" s="7">
        <v>380800</v>
      </c>
      <c r="E427" s="9">
        <v>24</v>
      </c>
      <c r="F427" s="9">
        <v>9139200</v>
      </c>
      <c r="G427" s="9">
        <v>1827840</v>
      </c>
      <c r="H427" s="13">
        <f t="shared" si="6"/>
        <v>0.2</v>
      </c>
    </row>
    <row r="428" spans="1:8">
      <c r="A428" s="5">
        <v>45962</v>
      </c>
      <c r="B428" s="3" t="s">
        <v>59</v>
      </c>
      <c r="C428" s="3" t="s">
        <v>52</v>
      </c>
      <c r="D428" s="7">
        <v>425600</v>
      </c>
      <c r="E428" s="9">
        <v>24</v>
      </c>
      <c r="F428" s="9">
        <v>10214400</v>
      </c>
      <c r="G428" s="9">
        <v>2042880</v>
      </c>
      <c r="H428" s="13">
        <f t="shared" si="6"/>
        <v>0.2</v>
      </c>
    </row>
    <row r="429" spans="1:8">
      <c r="A429" s="5">
        <v>45962</v>
      </c>
      <c r="B429" s="3" t="s">
        <v>59</v>
      </c>
      <c r="C429" s="3" t="s">
        <v>53</v>
      </c>
      <c r="D429" s="7">
        <v>246400</v>
      </c>
      <c r="E429" s="9">
        <v>24</v>
      </c>
      <c r="F429" s="9">
        <v>5913600</v>
      </c>
      <c r="G429" s="9">
        <v>1182720</v>
      </c>
      <c r="H429" s="13">
        <f t="shared" si="6"/>
        <v>0.2</v>
      </c>
    </row>
    <row r="430" spans="1:8">
      <c r="A430" s="5">
        <v>45962</v>
      </c>
      <c r="B430" s="3" t="s">
        <v>60</v>
      </c>
      <c r="C430" s="3" t="s">
        <v>50</v>
      </c>
      <c r="D430" s="7">
        <v>1344000</v>
      </c>
      <c r="E430" s="9">
        <v>12</v>
      </c>
      <c r="F430" s="9">
        <v>16128000</v>
      </c>
      <c r="G430" s="9">
        <v>4838400</v>
      </c>
      <c r="H430" s="13">
        <f t="shared" si="6"/>
        <v>0.3</v>
      </c>
    </row>
    <row r="431" spans="1:8">
      <c r="A431" s="5">
        <v>45962</v>
      </c>
      <c r="B431" s="3" t="s">
        <v>60</v>
      </c>
      <c r="C431" s="3" t="s">
        <v>51</v>
      </c>
      <c r="D431" s="7">
        <v>1142400</v>
      </c>
      <c r="E431" s="9">
        <v>12</v>
      </c>
      <c r="F431" s="9">
        <v>13708800</v>
      </c>
      <c r="G431" s="9">
        <v>4112640</v>
      </c>
      <c r="H431" s="13">
        <f t="shared" si="6"/>
        <v>0.3</v>
      </c>
    </row>
    <row r="432" spans="1:8">
      <c r="A432" s="5">
        <v>45962</v>
      </c>
      <c r="B432" s="3" t="s">
        <v>60</v>
      </c>
      <c r="C432" s="3" t="s">
        <v>52</v>
      </c>
      <c r="D432" s="7">
        <v>1276800</v>
      </c>
      <c r="E432" s="9">
        <v>12</v>
      </c>
      <c r="F432" s="9">
        <v>15321600</v>
      </c>
      <c r="G432" s="9">
        <v>4596480</v>
      </c>
      <c r="H432" s="13">
        <f t="shared" si="6"/>
        <v>0.3</v>
      </c>
    </row>
    <row r="433" spans="1:8">
      <c r="A433" s="5">
        <v>45962</v>
      </c>
      <c r="B433" s="3" t="s">
        <v>60</v>
      </c>
      <c r="C433" s="3" t="s">
        <v>53</v>
      </c>
      <c r="D433" s="7">
        <v>739200</v>
      </c>
      <c r="E433" s="9">
        <v>12</v>
      </c>
      <c r="F433" s="9">
        <v>8870400</v>
      </c>
      <c r="G433" s="9">
        <v>2661120</v>
      </c>
      <c r="H433" s="13">
        <f t="shared" si="6"/>
        <v>0.3</v>
      </c>
    </row>
    <row r="434" spans="1:8">
      <c r="A434" s="5">
        <v>45962</v>
      </c>
      <c r="B434" s="3" t="s">
        <v>61</v>
      </c>
      <c r="C434" s="3" t="s">
        <v>50</v>
      </c>
      <c r="D434" s="7">
        <v>896000</v>
      </c>
      <c r="E434" s="9">
        <v>15</v>
      </c>
      <c r="F434" s="9">
        <v>13440000</v>
      </c>
      <c r="G434" s="9">
        <v>4704000</v>
      </c>
      <c r="H434" s="13">
        <f t="shared" si="6"/>
        <v>0.35</v>
      </c>
    </row>
    <row r="435" spans="1:8">
      <c r="A435" s="5">
        <v>45962</v>
      </c>
      <c r="B435" s="3" t="s">
        <v>61</v>
      </c>
      <c r="C435" s="3" t="s">
        <v>51</v>
      </c>
      <c r="D435" s="7">
        <v>761600</v>
      </c>
      <c r="E435" s="9">
        <v>15</v>
      </c>
      <c r="F435" s="9">
        <v>11424000</v>
      </c>
      <c r="G435" s="9">
        <v>3998400</v>
      </c>
      <c r="H435" s="13">
        <f t="shared" si="6"/>
        <v>0.35</v>
      </c>
    </row>
    <row r="436" spans="1:8">
      <c r="A436" s="5">
        <v>45962</v>
      </c>
      <c r="B436" s="3" t="s">
        <v>61</v>
      </c>
      <c r="C436" s="3" t="s">
        <v>52</v>
      </c>
      <c r="D436" s="7">
        <v>851200</v>
      </c>
      <c r="E436" s="9">
        <v>15</v>
      </c>
      <c r="F436" s="9">
        <v>12768000</v>
      </c>
      <c r="G436" s="9">
        <v>4468800</v>
      </c>
      <c r="H436" s="13">
        <f t="shared" si="6"/>
        <v>0.35</v>
      </c>
    </row>
    <row r="437" spans="1:8">
      <c r="A437" s="5">
        <v>45962</v>
      </c>
      <c r="B437" s="3" t="s">
        <v>61</v>
      </c>
      <c r="C437" s="3" t="s">
        <v>53</v>
      </c>
      <c r="D437" s="7">
        <v>492800</v>
      </c>
      <c r="E437" s="9">
        <v>15</v>
      </c>
      <c r="F437" s="9">
        <v>7392000</v>
      </c>
      <c r="G437" s="9">
        <v>2587200</v>
      </c>
      <c r="H437" s="13">
        <f t="shared" si="6"/>
        <v>0.35</v>
      </c>
    </row>
    <row r="438" spans="1:8">
      <c r="A438" s="5">
        <v>45962</v>
      </c>
      <c r="B438" s="3" t="s">
        <v>62</v>
      </c>
      <c r="C438" s="3" t="s">
        <v>50</v>
      </c>
      <c r="D438" s="7">
        <v>1008000</v>
      </c>
      <c r="E438" s="9">
        <v>8</v>
      </c>
      <c r="F438" s="9">
        <v>8064000</v>
      </c>
      <c r="G438" s="9">
        <v>1209600</v>
      </c>
      <c r="H438" s="13">
        <f t="shared" si="6"/>
        <v>0.15</v>
      </c>
    </row>
    <row r="439" spans="1:8">
      <c r="A439" s="5">
        <v>45962</v>
      </c>
      <c r="B439" s="3" t="s">
        <v>62</v>
      </c>
      <c r="C439" s="3" t="s">
        <v>51</v>
      </c>
      <c r="D439" s="7">
        <v>856800</v>
      </c>
      <c r="E439" s="9">
        <v>8</v>
      </c>
      <c r="F439" s="9">
        <v>6854400</v>
      </c>
      <c r="G439" s="9">
        <v>1028160</v>
      </c>
      <c r="H439" s="13">
        <f t="shared" si="6"/>
        <v>0.15</v>
      </c>
    </row>
    <row r="440" spans="1:8">
      <c r="A440" s="5">
        <v>45962</v>
      </c>
      <c r="B440" s="3" t="s">
        <v>62</v>
      </c>
      <c r="C440" s="3" t="s">
        <v>52</v>
      </c>
      <c r="D440" s="7">
        <v>957600</v>
      </c>
      <c r="E440" s="9">
        <v>8</v>
      </c>
      <c r="F440" s="9">
        <v>7660800</v>
      </c>
      <c r="G440" s="9">
        <v>1149120</v>
      </c>
      <c r="H440" s="13">
        <f t="shared" si="6"/>
        <v>0.15</v>
      </c>
    </row>
    <row r="441" spans="1:8">
      <c r="A441" s="5">
        <v>45962</v>
      </c>
      <c r="B441" s="3" t="s">
        <v>62</v>
      </c>
      <c r="C441" s="3" t="s">
        <v>53</v>
      </c>
      <c r="D441" s="7">
        <v>554400</v>
      </c>
      <c r="E441" s="9">
        <v>8</v>
      </c>
      <c r="F441" s="9">
        <v>4435200</v>
      </c>
      <c r="G441" s="9">
        <v>665280</v>
      </c>
      <c r="H441" s="13">
        <f t="shared" si="6"/>
        <v>0.15</v>
      </c>
    </row>
    <row r="442" spans="1:8">
      <c r="A442" s="5">
        <v>45992</v>
      </c>
      <c r="B442" s="3" t="s">
        <v>49</v>
      </c>
      <c r="C442" s="3" t="s">
        <v>50</v>
      </c>
      <c r="D442" s="7">
        <v>295000</v>
      </c>
      <c r="E442" s="9">
        <v>699</v>
      </c>
      <c r="F442" s="9">
        <v>206205000</v>
      </c>
      <c r="G442" s="9">
        <v>127847100</v>
      </c>
      <c r="H442" s="13">
        <f t="shared" si="6"/>
        <v>0.62</v>
      </c>
    </row>
    <row r="443" spans="1:8">
      <c r="A443" s="5">
        <v>45992</v>
      </c>
      <c r="B443" s="3" t="s">
        <v>49</v>
      </c>
      <c r="C443" s="3" t="s">
        <v>51</v>
      </c>
      <c r="D443" s="7">
        <v>250750</v>
      </c>
      <c r="E443" s="9">
        <v>699</v>
      </c>
      <c r="F443" s="9">
        <v>175274250</v>
      </c>
      <c r="G443" s="9">
        <v>108670035</v>
      </c>
      <c r="H443" s="13">
        <f t="shared" si="6"/>
        <v>0.62</v>
      </c>
    </row>
    <row r="444" spans="1:8">
      <c r="A444" s="5">
        <v>45992</v>
      </c>
      <c r="B444" s="3" t="s">
        <v>49</v>
      </c>
      <c r="C444" s="3" t="s">
        <v>52</v>
      </c>
      <c r="D444" s="7">
        <v>280250</v>
      </c>
      <c r="E444" s="9">
        <v>699</v>
      </c>
      <c r="F444" s="9">
        <v>195894750</v>
      </c>
      <c r="G444" s="9">
        <v>121454745</v>
      </c>
      <c r="H444" s="13">
        <f t="shared" si="6"/>
        <v>0.62</v>
      </c>
    </row>
    <row r="445" spans="1:8">
      <c r="A445" s="5">
        <v>45992</v>
      </c>
      <c r="B445" s="3" t="s">
        <v>49</v>
      </c>
      <c r="C445" s="3" t="s">
        <v>53</v>
      </c>
      <c r="D445" s="7">
        <v>162250</v>
      </c>
      <c r="E445" s="9">
        <v>699</v>
      </c>
      <c r="F445" s="9">
        <v>113412750</v>
      </c>
      <c r="G445" s="9">
        <v>70315905</v>
      </c>
      <c r="H445" s="13">
        <f t="shared" si="6"/>
        <v>0.62</v>
      </c>
    </row>
    <row r="446" spans="1:8">
      <c r="A446" s="5">
        <v>45992</v>
      </c>
      <c r="B446" s="3" t="s">
        <v>54</v>
      </c>
      <c r="C446" s="3" t="s">
        <v>50</v>
      </c>
      <c r="D446" s="7">
        <v>141600</v>
      </c>
      <c r="E446" s="9">
        <v>999</v>
      </c>
      <c r="F446" s="9">
        <v>141458400</v>
      </c>
      <c r="G446" s="9">
        <v>82045872</v>
      </c>
      <c r="H446" s="13">
        <f t="shared" si="6"/>
        <v>0.57999999999999996</v>
      </c>
    </row>
    <row r="447" spans="1:8">
      <c r="A447" s="5">
        <v>45992</v>
      </c>
      <c r="B447" s="3" t="s">
        <v>54</v>
      </c>
      <c r="C447" s="3" t="s">
        <v>51</v>
      </c>
      <c r="D447" s="7">
        <v>120360</v>
      </c>
      <c r="E447" s="9">
        <v>999</v>
      </c>
      <c r="F447" s="9">
        <v>120239640</v>
      </c>
      <c r="G447" s="9">
        <v>69738991.200000003</v>
      </c>
      <c r="H447" s="13">
        <f t="shared" si="6"/>
        <v>0.58000000000000007</v>
      </c>
    </row>
    <row r="448" spans="1:8">
      <c r="A448" s="5">
        <v>45992</v>
      </c>
      <c r="B448" s="3" t="s">
        <v>54</v>
      </c>
      <c r="C448" s="3" t="s">
        <v>52</v>
      </c>
      <c r="D448" s="7">
        <v>134520</v>
      </c>
      <c r="E448" s="9">
        <v>999</v>
      </c>
      <c r="F448" s="9">
        <v>134385480</v>
      </c>
      <c r="G448" s="9">
        <v>77943578.400000006</v>
      </c>
      <c r="H448" s="13">
        <f t="shared" si="6"/>
        <v>0.58000000000000007</v>
      </c>
    </row>
    <row r="449" spans="1:8">
      <c r="A449" s="5">
        <v>45992</v>
      </c>
      <c r="B449" s="3" t="s">
        <v>54</v>
      </c>
      <c r="C449" s="3" t="s">
        <v>53</v>
      </c>
      <c r="D449" s="7">
        <v>77880</v>
      </c>
      <c r="E449" s="9">
        <v>999</v>
      </c>
      <c r="F449" s="9">
        <v>77802120</v>
      </c>
      <c r="G449" s="9">
        <v>45125229.600000001</v>
      </c>
      <c r="H449" s="13">
        <f t="shared" si="6"/>
        <v>0.58000000000000007</v>
      </c>
    </row>
    <row r="450" spans="1:8">
      <c r="A450" s="5">
        <v>45992</v>
      </c>
      <c r="B450" s="3" t="s">
        <v>55</v>
      </c>
      <c r="C450" s="3" t="s">
        <v>50</v>
      </c>
      <c r="D450" s="7">
        <v>165200</v>
      </c>
      <c r="E450" s="9">
        <v>549</v>
      </c>
      <c r="F450" s="9">
        <v>90694800</v>
      </c>
      <c r="G450" s="9">
        <v>54416880</v>
      </c>
      <c r="H450" s="13">
        <f t="shared" ref="H450:H513" si="7">G450/F450</f>
        <v>0.6</v>
      </c>
    </row>
    <row r="451" spans="1:8">
      <c r="A451" s="5">
        <v>45992</v>
      </c>
      <c r="B451" s="3" t="s">
        <v>55</v>
      </c>
      <c r="C451" s="3" t="s">
        <v>51</v>
      </c>
      <c r="D451" s="7">
        <v>140420</v>
      </c>
      <c r="E451" s="9">
        <v>549</v>
      </c>
      <c r="F451" s="9">
        <v>77090580</v>
      </c>
      <c r="G451" s="9">
        <v>46254348</v>
      </c>
      <c r="H451" s="13">
        <f t="shared" si="7"/>
        <v>0.6</v>
      </c>
    </row>
    <row r="452" spans="1:8">
      <c r="A452" s="5">
        <v>45992</v>
      </c>
      <c r="B452" s="3" t="s">
        <v>55</v>
      </c>
      <c r="C452" s="3" t="s">
        <v>52</v>
      </c>
      <c r="D452" s="7">
        <v>156940</v>
      </c>
      <c r="E452" s="9">
        <v>549</v>
      </c>
      <c r="F452" s="9">
        <v>86160060</v>
      </c>
      <c r="G452" s="9">
        <v>51696036</v>
      </c>
      <c r="H452" s="13">
        <f t="shared" si="7"/>
        <v>0.6</v>
      </c>
    </row>
    <row r="453" spans="1:8">
      <c r="A453" s="5">
        <v>45992</v>
      </c>
      <c r="B453" s="3" t="s">
        <v>55</v>
      </c>
      <c r="C453" s="3" t="s">
        <v>53</v>
      </c>
      <c r="D453" s="7">
        <v>90860</v>
      </c>
      <c r="E453" s="9">
        <v>549</v>
      </c>
      <c r="F453" s="9">
        <v>49882140</v>
      </c>
      <c r="G453" s="9">
        <v>29929284</v>
      </c>
      <c r="H453" s="13">
        <f t="shared" si="7"/>
        <v>0.6</v>
      </c>
    </row>
    <row r="454" spans="1:8">
      <c r="A454" s="5">
        <v>45992</v>
      </c>
      <c r="B454" s="3" t="s">
        <v>56</v>
      </c>
      <c r="C454" s="3" t="s">
        <v>50</v>
      </c>
      <c r="D454" s="7">
        <v>82600</v>
      </c>
      <c r="E454" s="9">
        <v>1199</v>
      </c>
      <c r="F454" s="9">
        <v>99037400</v>
      </c>
      <c r="G454" s="9">
        <v>54470570</v>
      </c>
      <c r="H454" s="13">
        <f t="shared" si="7"/>
        <v>0.55000000000000004</v>
      </c>
    </row>
    <row r="455" spans="1:8">
      <c r="A455" s="5">
        <v>45992</v>
      </c>
      <c r="B455" s="3" t="s">
        <v>56</v>
      </c>
      <c r="C455" s="3" t="s">
        <v>51</v>
      </c>
      <c r="D455" s="7">
        <v>70210</v>
      </c>
      <c r="E455" s="9">
        <v>1199</v>
      </c>
      <c r="F455" s="9">
        <v>84181790</v>
      </c>
      <c r="G455" s="9">
        <v>46299984.5</v>
      </c>
      <c r="H455" s="13">
        <f t="shared" si="7"/>
        <v>0.55000000000000004</v>
      </c>
    </row>
    <row r="456" spans="1:8">
      <c r="A456" s="5">
        <v>45992</v>
      </c>
      <c r="B456" s="3" t="s">
        <v>56</v>
      </c>
      <c r="C456" s="3" t="s">
        <v>52</v>
      </c>
      <c r="D456" s="7">
        <v>78470</v>
      </c>
      <c r="E456" s="9">
        <v>1199</v>
      </c>
      <c r="F456" s="9">
        <v>94085530</v>
      </c>
      <c r="G456" s="9">
        <v>51747041.5</v>
      </c>
      <c r="H456" s="13">
        <f t="shared" si="7"/>
        <v>0.55000000000000004</v>
      </c>
    </row>
    <row r="457" spans="1:8">
      <c r="A457" s="5">
        <v>45992</v>
      </c>
      <c r="B457" s="3" t="s">
        <v>56</v>
      </c>
      <c r="C457" s="3" t="s">
        <v>53</v>
      </c>
      <c r="D457" s="7">
        <v>45430</v>
      </c>
      <c r="E457" s="9">
        <v>1199</v>
      </c>
      <c r="F457" s="9">
        <v>54470570</v>
      </c>
      <c r="G457" s="9">
        <v>29958813.5</v>
      </c>
      <c r="H457" s="13">
        <f t="shared" si="7"/>
        <v>0.55000000000000004</v>
      </c>
    </row>
    <row r="458" spans="1:8">
      <c r="A458" s="5">
        <v>45992</v>
      </c>
      <c r="B458" s="3" t="s">
        <v>57</v>
      </c>
      <c r="C458" s="3" t="s">
        <v>50</v>
      </c>
      <c r="D458" s="7">
        <v>212400</v>
      </c>
      <c r="E458" s="9">
        <v>299</v>
      </c>
      <c r="F458" s="9">
        <v>63507600</v>
      </c>
      <c r="G458" s="9">
        <v>31753800</v>
      </c>
      <c r="H458" s="13">
        <f t="shared" si="7"/>
        <v>0.5</v>
      </c>
    </row>
    <row r="459" spans="1:8">
      <c r="A459" s="5">
        <v>45992</v>
      </c>
      <c r="B459" s="3" t="s">
        <v>57</v>
      </c>
      <c r="C459" s="3" t="s">
        <v>51</v>
      </c>
      <c r="D459" s="7">
        <v>180540</v>
      </c>
      <c r="E459" s="9">
        <v>299</v>
      </c>
      <c r="F459" s="9">
        <v>53981460</v>
      </c>
      <c r="G459" s="9">
        <v>26990730</v>
      </c>
      <c r="H459" s="13">
        <f t="shared" si="7"/>
        <v>0.5</v>
      </c>
    </row>
    <row r="460" spans="1:8">
      <c r="A460" s="5">
        <v>45992</v>
      </c>
      <c r="B460" s="3" t="s">
        <v>57</v>
      </c>
      <c r="C460" s="3" t="s">
        <v>52</v>
      </c>
      <c r="D460" s="7">
        <v>201780</v>
      </c>
      <c r="E460" s="9">
        <v>299</v>
      </c>
      <c r="F460" s="9">
        <v>60332220</v>
      </c>
      <c r="G460" s="9">
        <v>30166110</v>
      </c>
      <c r="H460" s="13">
        <f t="shared" si="7"/>
        <v>0.5</v>
      </c>
    </row>
    <row r="461" spans="1:8">
      <c r="A461" s="5">
        <v>45992</v>
      </c>
      <c r="B461" s="3" t="s">
        <v>57</v>
      </c>
      <c r="C461" s="3" t="s">
        <v>53</v>
      </c>
      <c r="D461" s="7">
        <v>116820</v>
      </c>
      <c r="E461" s="9">
        <v>299</v>
      </c>
      <c r="F461" s="9">
        <v>34929180</v>
      </c>
      <c r="G461" s="9">
        <v>17464590</v>
      </c>
      <c r="H461" s="13">
        <f t="shared" si="7"/>
        <v>0.5</v>
      </c>
    </row>
    <row r="462" spans="1:8">
      <c r="A462" s="5">
        <v>45992</v>
      </c>
      <c r="B462" s="3" t="s">
        <v>58</v>
      </c>
      <c r="C462" s="3" t="s">
        <v>50</v>
      </c>
      <c r="D462" s="7">
        <v>708000</v>
      </c>
      <c r="E462" s="9">
        <v>39</v>
      </c>
      <c r="F462" s="9">
        <v>27612000</v>
      </c>
      <c r="G462" s="9">
        <v>6903000</v>
      </c>
      <c r="H462" s="13">
        <f t="shared" si="7"/>
        <v>0.25</v>
      </c>
    </row>
    <row r="463" spans="1:8">
      <c r="A463" s="5">
        <v>45992</v>
      </c>
      <c r="B463" s="3" t="s">
        <v>58</v>
      </c>
      <c r="C463" s="3" t="s">
        <v>51</v>
      </c>
      <c r="D463" s="7">
        <v>601800</v>
      </c>
      <c r="E463" s="9">
        <v>39</v>
      </c>
      <c r="F463" s="9">
        <v>23470200</v>
      </c>
      <c r="G463" s="9">
        <v>5867550</v>
      </c>
      <c r="H463" s="13">
        <f t="shared" si="7"/>
        <v>0.25</v>
      </c>
    </row>
    <row r="464" spans="1:8">
      <c r="A464" s="5">
        <v>45992</v>
      </c>
      <c r="B464" s="3" t="s">
        <v>58</v>
      </c>
      <c r="C464" s="3" t="s">
        <v>52</v>
      </c>
      <c r="D464" s="7">
        <v>672600</v>
      </c>
      <c r="E464" s="9">
        <v>39</v>
      </c>
      <c r="F464" s="9">
        <v>26231400</v>
      </c>
      <c r="G464" s="9">
        <v>6557850</v>
      </c>
      <c r="H464" s="13">
        <f t="shared" si="7"/>
        <v>0.25</v>
      </c>
    </row>
    <row r="465" spans="1:8">
      <c r="A465" s="5">
        <v>45992</v>
      </c>
      <c r="B465" s="3" t="s">
        <v>58</v>
      </c>
      <c r="C465" s="3" t="s">
        <v>53</v>
      </c>
      <c r="D465" s="7">
        <v>389400</v>
      </c>
      <c r="E465" s="9">
        <v>39</v>
      </c>
      <c r="F465" s="9">
        <v>15186600</v>
      </c>
      <c r="G465" s="9">
        <v>3796650</v>
      </c>
      <c r="H465" s="13">
        <f t="shared" si="7"/>
        <v>0.25</v>
      </c>
    </row>
    <row r="466" spans="1:8">
      <c r="A466" s="5">
        <v>45992</v>
      </c>
      <c r="B466" s="3" t="s">
        <v>59</v>
      </c>
      <c r="C466" s="3" t="s">
        <v>50</v>
      </c>
      <c r="D466" s="7">
        <v>472000</v>
      </c>
      <c r="E466" s="9">
        <v>24</v>
      </c>
      <c r="F466" s="9">
        <v>11328000</v>
      </c>
      <c r="G466" s="9">
        <v>2265600</v>
      </c>
      <c r="H466" s="13">
        <f t="shared" si="7"/>
        <v>0.2</v>
      </c>
    </row>
    <row r="467" spans="1:8">
      <c r="A467" s="5">
        <v>45992</v>
      </c>
      <c r="B467" s="3" t="s">
        <v>59</v>
      </c>
      <c r="C467" s="3" t="s">
        <v>51</v>
      </c>
      <c r="D467" s="7">
        <v>401200</v>
      </c>
      <c r="E467" s="9">
        <v>24</v>
      </c>
      <c r="F467" s="9">
        <v>9628800</v>
      </c>
      <c r="G467" s="9">
        <v>1925760</v>
      </c>
      <c r="H467" s="13">
        <f t="shared" si="7"/>
        <v>0.2</v>
      </c>
    </row>
    <row r="468" spans="1:8">
      <c r="A468" s="5">
        <v>45992</v>
      </c>
      <c r="B468" s="3" t="s">
        <v>59</v>
      </c>
      <c r="C468" s="3" t="s">
        <v>52</v>
      </c>
      <c r="D468" s="7">
        <v>448400</v>
      </c>
      <c r="E468" s="9">
        <v>24</v>
      </c>
      <c r="F468" s="9">
        <v>10761600</v>
      </c>
      <c r="G468" s="9">
        <v>2152320</v>
      </c>
      <c r="H468" s="13">
        <f t="shared" si="7"/>
        <v>0.2</v>
      </c>
    </row>
    <row r="469" spans="1:8">
      <c r="A469" s="5">
        <v>45992</v>
      </c>
      <c r="B469" s="3" t="s">
        <v>59</v>
      </c>
      <c r="C469" s="3" t="s">
        <v>53</v>
      </c>
      <c r="D469" s="7">
        <v>259600</v>
      </c>
      <c r="E469" s="9">
        <v>24</v>
      </c>
      <c r="F469" s="9">
        <v>6230400</v>
      </c>
      <c r="G469" s="9">
        <v>1246080</v>
      </c>
      <c r="H469" s="13">
        <f t="shared" si="7"/>
        <v>0.2</v>
      </c>
    </row>
    <row r="470" spans="1:8">
      <c r="A470" s="5">
        <v>45992</v>
      </c>
      <c r="B470" s="3" t="s">
        <v>60</v>
      </c>
      <c r="C470" s="3" t="s">
        <v>50</v>
      </c>
      <c r="D470" s="7">
        <v>1416000</v>
      </c>
      <c r="E470" s="9">
        <v>12</v>
      </c>
      <c r="F470" s="9">
        <v>16992000</v>
      </c>
      <c r="G470" s="9">
        <v>5097600</v>
      </c>
      <c r="H470" s="13">
        <f t="shared" si="7"/>
        <v>0.3</v>
      </c>
    </row>
    <row r="471" spans="1:8">
      <c r="A471" s="5">
        <v>45992</v>
      </c>
      <c r="B471" s="3" t="s">
        <v>60</v>
      </c>
      <c r="C471" s="3" t="s">
        <v>51</v>
      </c>
      <c r="D471" s="7">
        <v>1203600</v>
      </c>
      <c r="E471" s="9">
        <v>12</v>
      </c>
      <c r="F471" s="9">
        <v>14443200</v>
      </c>
      <c r="G471" s="9">
        <v>4332960</v>
      </c>
      <c r="H471" s="13">
        <f t="shared" si="7"/>
        <v>0.3</v>
      </c>
    </row>
    <row r="472" spans="1:8">
      <c r="A472" s="5">
        <v>45992</v>
      </c>
      <c r="B472" s="3" t="s">
        <v>60</v>
      </c>
      <c r="C472" s="3" t="s">
        <v>52</v>
      </c>
      <c r="D472" s="7">
        <v>1345200</v>
      </c>
      <c r="E472" s="9">
        <v>12</v>
      </c>
      <c r="F472" s="9">
        <v>16142400</v>
      </c>
      <c r="G472" s="9">
        <v>4842720</v>
      </c>
      <c r="H472" s="13">
        <f t="shared" si="7"/>
        <v>0.3</v>
      </c>
    </row>
    <row r="473" spans="1:8">
      <c r="A473" s="5">
        <v>45992</v>
      </c>
      <c r="B473" s="3" t="s">
        <v>60</v>
      </c>
      <c r="C473" s="3" t="s">
        <v>53</v>
      </c>
      <c r="D473" s="7">
        <v>778800</v>
      </c>
      <c r="E473" s="9">
        <v>12</v>
      </c>
      <c r="F473" s="9">
        <v>9345600</v>
      </c>
      <c r="G473" s="9">
        <v>2803680</v>
      </c>
      <c r="H473" s="13">
        <f t="shared" si="7"/>
        <v>0.3</v>
      </c>
    </row>
    <row r="474" spans="1:8">
      <c r="A474" s="5">
        <v>45992</v>
      </c>
      <c r="B474" s="3" t="s">
        <v>61</v>
      </c>
      <c r="C474" s="3" t="s">
        <v>50</v>
      </c>
      <c r="D474" s="7">
        <v>944000</v>
      </c>
      <c r="E474" s="9">
        <v>15</v>
      </c>
      <c r="F474" s="9">
        <v>14160000</v>
      </c>
      <c r="G474" s="9">
        <v>4956000</v>
      </c>
      <c r="H474" s="13">
        <f t="shared" si="7"/>
        <v>0.35</v>
      </c>
    </row>
    <row r="475" spans="1:8">
      <c r="A475" s="5">
        <v>45992</v>
      </c>
      <c r="B475" s="3" t="s">
        <v>61</v>
      </c>
      <c r="C475" s="3" t="s">
        <v>51</v>
      </c>
      <c r="D475" s="7">
        <v>802400</v>
      </c>
      <c r="E475" s="9">
        <v>15</v>
      </c>
      <c r="F475" s="9">
        <v>12036000</v>
      </c>
      <c r="G475" s="9">
        <v>4212600</v>
      </c>
      <c r="H475" s="13">
        <f t="shared" si="7"/>
        <v>0.35</v>
      </c>
    </row>
    <row r="476" spans="1:8">
      <c r="A476" s="5">
        <v>45992</v>
      </c>
      <c r="B476" s="3" t="s">
        <v>61</v>
      </c>
      <c r="C476" s="3" t="s">
        <v>52</v>
      </c>
      <c r="D476" s="7">
        <v>896800</v>
      </c>
      <c r="E476" s="9">
        <v>15</v>
      </c>
      <c r="F476" s="9">
        <v>13452000</v>
      </c>
      <c r="G476" s="9">
        <v>4708200</v>
      </c>
      <c r="H476" s="13">
        <f t="shared" si="7"/>
        <v>0.35</v>
      </c>
    </row>
    <row r="477" spans="1:8">
      <c r="A477" s="5">
        <v>45992</v>
      </c>
      <c r="B477" s="3" t="s">
        <v>61</v>
      </c>
      <c r="C477" s="3" t="s">
        <v>53</v>
      </c>
      <c r="D477" s="7">
        <v>519200</v>
      </c>
      <c r="E477" s="9">
        <v>15</v>
      </c>
      <c r="F477" s="9">
        <v>7788000</v>
      </c>
      <c r="G477" s="9">
        <v>2725800</v>
      </c>
      <c r="H477" s="13">
        <f t="shared" si="7"/>
        <v>0.35</v>
      </c>
    </row>
    <row r="478" spans="1:8">
      <c r="A478" s="5">
        <v>45992</v>
      </c>
      <c r="B478" s="3" t="s">
        <v>62</v>
      </c>
      <c r="C478" s="3" t="s">
        <v>50</v>
      </c>
      <c r="D478" s="7">
        <v>1062000</v>
      </c>
      <c r="E478" s="9">
        <v>8</v>
      </c>
      <c r="F478" s="9">
        <v>8496000</v>
      </c>
      <c r="G478" s="9">
        <v>1274400</v>
      </c>
      <c r="H478" s="13">
        <f t="shared" si="7"/>
        <v>0.15</v>
      </c>
    </row>
    <row r="479" spans="1:8">
      <c r="A479" s="5">
        <v>45992</v>
      </c>
      <c r="B479" s="3" t="s">
        <v>62</v>
      </c>
      <c r="C479" s="3" t="s">
        <v>51</v>
      </c>
      <c r="D479" s="7">
        <v>902700</v>
      </c>
      <c r="E479" s="9">
        <v>8</v>
      </c>
      <c r="F479" s="9">
        <v>7221600</v>
      </c>
      <c r="G479" s="9">
        <v>1083240</v>
      </c>
      <c r="H479" s="13">
        <f t="shared" si="7"/>
        <v>0.15</v>
      </c>
    </row>
    <row r="480" spans="1:8">
      <c r="A480" s="5">
        <v>45992</v>
      </c>
      <c r="B480" s="3" t="s">
        <v>62</v>
      </c>
      <c r="C480" s="3" t="s">
        <v>52</v>
      </c>
      <c r="D480" s="7">
        <v>1008900</v>
      </c>
      <c r="E480" s="9">
        <v>8</v>
      </c>
      <c r="F480" s="9">
        <v>8071200</v>
      </c>
      <c r="G480" s="9">
        <v>1210680</v>
      </c>
      <c r="H480" s="13">
        <f t="shared" si="7"/>
        <v>0.15</v>
      </c>
    </row>
    <row r="481" spans="1:8">
      <c r="A481" s="5">
        <v>45992</v>
      </c>
      <c r="B481" s="3" t="s">
        <v>62</v>
      </c>
      <c r="C481" s="3" t="s">
        <v>53</v>
      </c>
      <c r="D481" s="7">
        <v>584100</v>
      </c>
      <c r="E481" s="9">
        <v>8</v>
      </c>
      <c r="F481" s="9">
        <v>4672800</v>
      </c>
      <c r="G481" s="9">
        <v>700920</v>
      </c>
      <c r="H481" s="13">
        <f t="shared" si="7"/>
        <v>0.15</v>
      </c>
    </row>
    <row r="482" spans="1:8">
      <c r="A482" s="5">
        <v>46023</v>
      </c>
      <c r="B482" s="3" t="s">
        <v>49</v>
      </c>
      <c r="C482" s="3" t="s">
        <v>50</v>
      </c>
      <c r="D482" s="7">
        <v>230000</v>
      </c>
      <c r="E482" s="9">
        <v>699</v>
      </c>
      <c r="F482" s="9">
        <v>160770000</v>
      </c>
      <c r="G482" s="9">
        <v>99677400</v>
      </c>
      <c r="H482" s="13">
        <f t="shared" si="7"/>
        <v>0.62</v>
      </c>
    </row>
    <row r="483" spans="1:8">
      <c r="A483" s="5">
        <v>46023</v>
      </c>
      <c r="B483" s="3" t="s">
        <v>49</v>
      </c>
      <c r="C483" s="3" t="s">
        <v>51</v>
      </c>
      <c r="D483" s="7">
        <v>195500</v>
      </c>
      <c r="E483" s="9">
        <v>699</v>
      </c>
      <c r="F483" s="9">
        <v>136654500</v>
      </c>
      <c r="G483" s="9">
        <v>84725790</v>
      </c>
      <c r="H483" s="13">
        <f t="shared" si="7"/>
        <v>0.62</v>
      </c>
    </row>
    <row r="484" spans="1:8">
      <c r="A484" s="5">
        <v>46023</v>
      </c>
      <c r="B484" s="3" t="s">
        <v>49</v>
      </c>
      <c r="C484" s="3" t="s">
        <v>52</v>
      </c>
      <c r="D484" s="7">
        <v>218500</v>
      </c>
      <c r="E484" s="9">
        <v>699</v>
      </c>
      <c r="F484" s="9">
        <v>152731500</v>
      </c>
      <c r="G484" s="9">
        <v>94693530</v>
      </c>
      <c r="H484" s="13">
        <f t="shared" si="7"/>
        <v>0.62</v>
      </c>
    </row>
    <row r="485" spans="1:8">
      <c r="A485" s="5">
        <v>46023</v>
      </c>
      <c r="B485" s="3" t="s">
        <v>49</v>
      </c>
      <c r="C485" s="3" t="s">
        <v>53</v>
      </c>
      <c r="D485" s="7">
        <v>126500</v>
      </c>
      <c r="E485" s="9">
        <v>699</v>
      </c>
      <c r="F485" s="9">
        <v>88423500</v>
      </c>
      <c r="G485" s="9">
        <v>54822570</v>
      </c>
      <c r="H485" s="13">
        <f t="shared" si="7"/>
        <v>0.62</v>
      </c>
    </row>
    <row r="486" spans="1:8">
      <c r="A486" s="5">
        <v>46023</v>
      </c>
      <c r="B486" s="3" t="s">
        <v>54</v>
      </c>
      <c r="C486" s="3" t="s">
        <v>50</v>
      </c>
      <c r="D486" s="7">
        <v>110400</v>
      </c>
      <c r="E486" s="9">
        <v>999</v>
      </c>
      <c r="F486" s="9">
        <v>110289600</v>
      </c>
      <c r="G486" s="9">
        <v>63967968</v>
      </c>
      <c r="H486" s="13">
        <f t="shared" si="7"/>
        <v>0.57999999999999996</v>
      </c>
    </row>
    <row r="487" spans="1:8">
      <c r="A487" s="5">
        <v>46023</v>
      </c>
      <c r="B487" s="3" t="s">
        <v>54</v>
      </c>
      <c r="C487" s="3" t="s">
        <v>51</v>
      </c>
      <c r="D487" s="7">
        <v>93840</v>
      </c>
      <c r="E487" s="9">
        <v>999</v>
      </c>
      <c r="F487" s="9">
        <v>93746160</v>
      </c>
      <c r="G487" s="9">
        <v>54372772.799999997</v>
      </c>
      <c r="H487" s="13">
        <f t="shared" si="7"/>
        <v>0.57999999999999996</v>
      </c>
    </row>
    <row r="488" spans="1:8">
      <c r="A488" s="5">
        <v>46023</v>
      </c>
      <c r="B488" s="3" t="s">
        <v>54</v>
      </c>
      <c r="C488" s="3" t="s">
        <v>52</v>
      </c>
      <c r="D488" s="7">
        <v>104880</v>
      </c>
      <c r="E488" s="9">
        <v>999</v>
      </c>
      <c r="F488" s="9">
        <v>104775120</v>
      </c>
      <c r="G488" s="9">
        <v>60769569.600000001</v>
      </c>
      <c r="H488" s="13">
        <f t="shared" si="7"/>
        <v>0.57999999999999996</v>
      </c>
    </row>
    <row r="489" spans="1:8">
      <c r="A489" s="5">
        <v>46023</v>
      </c>
      <c r="B489" s="3" t="s">
        <v>54</v>
      </c>
      <c r="C489" s="3" t="s">
        <v>53</v>
      </c>
      <c r="D489" s="7">
        <v>60720</v>
      </c>
      <c r="E489" s="9">
        <v>999</v>
      </c>
      <c r="F489" s="9">
        <v>60659280</v>
      </c>
      <c r="G489" s="9">
        <v>35182382.399999999</v>
      </c>
      <c r="H489" s="13">
        <f t="shared" si="7"/>
        <v>0.57999999999999996</v>
      </c>
    </row>
    <row r="490" spans="1:8">
      <c r="A490" s="5">
        <v>46023</v>
      </c>
      <c r="B490" s="3" t="s">
        <v>55</v>
      </c>
      <c r="C490" s="3" t="s">
        <v>50</v>
      </c>
      <c r="D490" s="7">
        <v>128800</v>
      </c>
      <c r="E490" s="9">
        <v>549</v>
      </c>
      <c r="F490" s="9">
        <v>70711200</v>
      </c>
      <c r="G490" s="9">
        <v>42426720</v>
      </c>
      <c r="H490" s="13">
        <f t="shared" si="7"/>
        <v>0.6</v>
      </c>
    </row>
    <row r="491" spans="1:8">
      <c r="A491" s="5">
        <v>46023</v>
      </c>
      <c r="B491" s="3" t="s">
        <v>55</v>
      </c>
      <c r="C491" s="3" t="s">
        <v>51</v>
      </c>
      <c r="D491" s="7">
        <v>109480</v>
      </c>
      <c r="E491" s="9">
        <v>549</v>
      </c>
      <c r="F491" s="9">
        <v>60104520</v>
      </c>
      <c r="G491" s="9">
        <v>36062712</v>
      </c>
      <c r="H491" s="13">
        <f t="shared" si="7"/>
        <v>0.6</v>
      </c>
    </row>
    <row r="492" spans="1:8">
      <c r="A492" s="5">
        <v>46023</v>
      </c>
      <c r="B492" s="3" t="s">
        <v>55</v>
      </c>
      <c r="C492" s="3" t="s">
        <v>52</v>
      </c>
      <c r="D492" s="7">
        <v>122360</v>
      </c>
      <c r="E492" s="9">
        <v>549</v>
      </c>
      <c r="F492" s="9">
        <v>67175640</v>
      </c>
      <c r="G492" s="9">
        <v>40305384</v>
      </c>
      <c r="H492" s="13">
        <f t="shared" si="7"/>
        <v>0.6</v>
      </c>
    </row>
    <row r="493" spans="1:8">
      <c r="A493" s="5">
        <v>46023</v>
      </c>
      <c r="B493" s="3" t="s">
        <v>55</v>
      </c>
      <c r="C493" s="3" t="s">
        <v>53</v>
      </c>
      <c r="D493" s="7">
        <v>70840</v>
      </c>
      <c r="E493" s="9">
        <v>549</v>
      </c>
      <c r="F493" s="9">
        <v>38891160</v>
      </c>
      <c r="G493" s="9">
        <v>23334696</v>
      </c>
      <c r="H493" s="13">
        <f t="shared" si="7"/>
        <v>0.6</v>
      </c>
    </row>
    <row r="494" spans="1:8">
      <c r="A494" s="5">
        <v>46023</v>
      </c>
      <c r="B494" s="3" t="s">
        <v>56</v>
      </c>
      <c r="C494" s="3" t="s">
        <v>50</v>
      </c>
      <c r="D494" s="7">
        <v>64400</v>
      </c>
      <c r="E494" s="9">
        <v>1199</v>
      </c>
      <c r="F494" s="9">
        <v>77215600</v>
      </c>
      <c r="G494" s="9">
        <v>42468580</v>
      </c>
      <c r="H494" s="13">
        <f t="shared" si="7"/>
        <v>0.55000000000000004</v>
      </c>
    </row>
    <row r="495" spans="1:8">
      <c r="A495" s="5">
        <v>46023</v>
      </c>
      <c r="B495" s="3" t="s">
        <v>56</v>
      </c>
      <c r="C495" s="3" t="s">
        <v>51</v>
      </c>
      <c r="D495" s="7">
        <v>54740</v>
      </c>
      <c r="E495" s="9">
        <v>1199</v>
      </c>
      <c r="F495" s="9">
        <v>65633260</v>
      </c>
      <c r="G495" s="9">
        <v>36098293</v>
      </c>
      <c r="H495" s="13">
        <f t="shared" si="7"/>
        <v>0.55000000000000004</v>
      </c>
    </row>
    <row r="496" spans="1:8">
      <c r="A496" s="5">
        <v>46023</v>
      </c>
      <c r="B496" s="3" t="s">
        <v>56</v>
      </c>
      <c r="C496" s="3" t="s">
        <v>52</v>
      </c>
      <c r="D496" s="7">
        <v>61180</v>
      </c>
      <c r="E496" s="9">
        <v>1199</v>
      </c>
      <c r="F496" s="9">
        <v>73354820</v>
      </c>
      <c r="G496" s="9">
        <v>40345151</v>
      </c>
      <c r="H496" s="13">
        <f t="shared" si="7"/>
        <v>0.55000000000000004</v>
      </c>
    </row>
    <row r="497" spans="1:8">
      <c r="A497" s="5">
        <v>46023</v>
      </c>
      <c r="B497" s="3" t="s">
        <v>56</v>
      </c>
      <c r="C497" s="3" t="s">
        <v>53</v>
      </c>
      <c r="D497" s="7">
        <v>35420</v>
      </c>
      <c r="E497" s="9">
        <v>1199</v>
      </c>
      <c r="F497" s="9">
        <v>42468580</v>
      </c>
      <c r="G497" s="9">
        <v>23357719</v>
      </c>
      <c r="H497" s="13">
        <f t="shared" si="7"/>
        <v>0.55000000000000004</v>
      </c>
    </row>
    <row r="498" spans="1:8">
      <c r="A498" s="5">
        <v>46023</v>
      </c>
      <c r="B498" s="3" t="s">
        <v>57</v>
      </c>
      <c r="C498" s="3" t="s">
        <v>50</v>
      </c>
      <c r="D498" s="7">
        <v>165600</v>
      </c>
      <c r="E498" s="9">
        <v>299</v>
      </c>
      <c r="F498" s="9">
        <v>49514400</v>
      </c>
      <c r="G498" s="9">
        <v>24757200</v>
      </c>
      <c r="H498" s="13">
        <f t="shared" si="7"/>
        <v>0.5</v>
      </c>
    </row>
    <row r="499" spans="1:8">
      <c r="A499" s="5">
        <v>46023</v>
      </c>
      <c r="B499" s="3" t="s">
        <v>57</v>
      </c>
      <c r="C499" s="3" t="s">
        <v>51</v>
      </c>
      <c r="D499" s="7">
        <v>140760</v>
      </c>
      <c r="E499" s="9">
        <v>299</v>
      </c>
      <c r="F499" s="9">
        <v>42087240</v>
      </c>
      <c r="G499" s="9">
        <v>21043620</v>
      </c>
      <c r="H499" s="13">
        <f t="shared" si="7"/>
        <v>0.5</v>
      </c>
    </row>
    <row r="500" spans="1:8">
      <c r="A500" s="5">
        <v>46023</v>
      </c>
      <c r="B500" s="3" t="s">
        <v>57</v>
      </c>
      <c r="C500" s="3" t="s">
        <v>52</v>
      </c>
      <c r="D500" s="7">
        <v>157320</v>
      </c>
      <c r="E500" s="9">
        <v>299</v>
      </c>
      <c r="F500" s="9">
        <v>47038680</v>
      </c>
      <c r="G500" s="9">
        <v>23519340</v>
      </c>
      <c r="H500" s="13">
        <f t="shared" si="7"/>
        <v>0.5</v>
      </c>
    </row>
    <row r="501" spans="1:8">
      <c r="A501" s="5">
        <v>46023</v>
      </c>
      <c r="B501" s="3" t="s">
        <v>57</v>
      </c>
      <c r="C501" s="3" t="s">
        <v>53</v>
      </c>
      <c r="D501" s="7">
        <v>91080</v>
      </c>
      <c r="E501" s="9">
        <v>299</v>
      </c>
      <c r="F501" s="9">
        <v>27232920</v>
      </c>
      <c r="G501" s="9">
        <v>13616460</v>
      </c>
      <c r="H501" s="13">
        <f t="shared" si="7"/>
        <v>0.5</v>
      </c>
    </row>
    <row r="502" spans="1:8">
      <c r="A502" s="5">
        <v>46023</v>
      </c>
      <c r="B502" s="3" t="s">
        <v>58</v>
      </c>
      <c r="C502" s="3" t="s">
        <v>50</v>
      </c>
      <c r="D502" s="7">
        <v>552000</v>
      </c>
      <c r="E502" s="9">
        <v>39</v>
      </c>
      <c r="F502" s="9">
        <v>21528000</v>
      </c>
      <c r="G502" s="9">
        <v>5382000</v>
      </c>
      <c r="H502" s="13">
        <f t="shared" si="7"/>
        <v>0.25</v>
      </c>
    </row>
    <row r="503" spans="1:8">
      <c r="A503" s="5">
        <v>46023</v>
      </c>
      <c r="B503" s="3" t="s">
        <v>58</v>
      </c>
      <c r="C503" s="3" t="s">
        <v>51</v>
      </c>
      <c r="D503" s="7">
        <v>469200</v>
      </c>
      <c r="E503" s="9">
        <v>39</v>
      </c>
      <c r="F503" s="9">
        <v>18298800</v>
      </c>
      <c r="G503" s="9">
        <v>4574700</v>
      </c>
      <c r="H503" s="13">
        <f t="shared" si="7"/>
        <v>0.25</v>
      </c>
    </row>
    <row r="504" spans="1:8">
      <c r="A504" s="5">
        <v>46023</v>
      </c>
      <c r="B504" s="3" t="s">
        <v>58</v>
      </c>
      <c r="C504" s="3" t="s">
        <v>52</v>
      </c>
      <c r="D504" s="7">
        <v>524400</v>
      </c>
      <c r="E504" s="9">
        <v>39</v>
      </c>
      <c r="F504" s="9">
        <v>20451600</v>
      </c>
      <c r="G504" s="9">
        <v>5112900</v>
      </c>
      <c r="H504" s="13">
        <f t="shared" si="7"/>
        <v>0.25</v>
      </c>
    </row>
    <row r="505" spans="1:8">
      <c r="A505" s="5">
        <v>46023</v>
      </c>
      <c r="B505" s="3" t="s">
        <v>58</v>
      </c>
      <c r="C505" s="3" t="s">
        <v>53</v>
      </c>
      <c r="D505" s="7">
        <v>303600</v>
      </c>
      <c r="E505" s="9">
        <v>39</v>
      </c>
      <c r="F505" s="9">
        <v>11840400</v>
      </c>
      <c r="G505" s="9">
        <v>2960100</v>
      </c>
      <c r="H505" s="13">
        <f t="shared" si="7"/>
        <v>0.25</v>
      </c>
    </row>
    <row r="506" spans="1:8">
      <c r="A506" s="5">
        <v>46023</v>
      </c>
      <c r="B506" s="3" t="s">
        <v>59</v>
      </c>
      <c r="C506" s="3" t="s">
        <v>50</v>
      </c>
      <c r="D506" s="7">
        <v>368000</v>
      </c>
      <c r="E506" s="9">
        <v>24</v>
      </c>
      <c r="F506" s="9">
        <v>8832000</v>
      </c>
      <c r="G506" s="9">
        <v>1766400</v>
      </c>
      <c r="H506" s="13">
        <f t="shared" si="7"/>
        <v>0.2</v>
      </c>
    </row>
    <row r="507" spans="1:8">
      <c r="A507" s="5">
        <v>46023</v>
      </c>
      <c r="B507" s="3" t="s">
        <v>59</v>
      </c>
      <c r="C507" s="3" t="s">
        <v>51</v>
      </c>
      <c r="D507" s="7">
        <v>312800</v>
      </c>
      <c r="E507" s="9">
        <v>24</v>
      </c>
      <c r="F507" s="9">
        <v>7507200</v>
      </c>
      <c r="G507" s="9">
        <v>1501440</v>
      </c>
      <c r="H507" s="13">
        <f t="shared" si="7"/>
        <v>0.2</v>
      </c>
    </row>
    <row r="508" spans="1:8">
      <c r="A508" s="5">
        <v>46023</v>
      </c>
      <c r="B508" s="3" t="s">
        <v>59</v>
      </c>
      <c r="C508" s="3" t="s">
        <v>52</v>
      </c>
      <c r="D508" s="7">
        <v>349600</v>
      </c>
      <c r="E508" s="9">
        <v>24</v>
      </c>
      <c r="F508" s="9">
        <v>8390400</v>
      </c>
      <c r="G508" s="9">
        <v>1678080</v>
      </c>
      <c r="H508" s="13">
        <f t="shared" si="7"/>
        <v>0.2</v>
      </c>
    </row>
    <row r="509" spans="1:8">
      <c r="A509" s="5">
        <v>46023</v>
      </c>
      <c r="B509" s="3" t="s">
        <v>59</v>
      </c>
      <c r="C509" s="3" t="s">
        <v>53</v>
      </c>
      <c r="D509" s="7">
        <v>202400</v>
      </c>
      <c r="E509" s="9">
        <v>24</v>
      </c>
      <c r="F509" s="9">
        <v>4857600</v>
      </c>
      <c r="G509" s="9">
        <v>971520</v>
      </c>
      <c r="H509" s="13">
        <f t="shared" si="7"/>
        <v>0.2</v>
      </c>
    </row>
    <row r="510" spans="1:8">
      <c r="A510" s="5">
        <v>46023</v>
      </c>
      <c r="B510" s="3" t="s">
        <v>60</v>
      </c>
      <c r="C510" s="3" t="s">
        <v>50</v>
      </c>
      <c r="D510" s="7">
        <v>1104000</v>
      </c>
      <c r="E510" s="9">
        <v>12</v>
      </c>
      <c r="F510" s="9">
        <v>13248000</v>
      </c>
      <c r="G510" s="9">
        <v>3974400</v>
      </c>
      <c r="H510" s="13">
        <f t="shared" si="7"/>
        <v>0.3</v>
      </c>
    </row>
    <row r="511" spans="1:8">
      <c r="A511" s="5">
        <v>46023</v>
      </c>
      <c r="B511" s="3" t="s">
        <v>60</v>
      </c>
      <c r="C511" s="3" t="s">
        <v>51</v>
      </c>
      <c r="D511" s="7">
        <v>938400</v>
      </c>
      <c r="E511" s="9">
        <v>12</v>
      </c>
      <c r="F511" s="9">
        <v>11260800</v>
      </c>
      <c r="G511" s="9">
        <v>3378240</v>
      </c>
      <c r="H511" s="13">
        <f t="shared" si="7"/>
        <v>0.3</v>
      </c>
    </row>
    <row r="512" spans="1:8">
      <c r="A512" s="5">
        <v>46023</v>
      </c>
      <c r="B512" s="3" t="s">
        <v>60</v>
      </c>
      <c r="C512" s="3" t="s">
        <v>52</v>
      </c>
      <c r="D512" s="7">
        <v>1048800</v>
      </c>
      <c r="E512" s="9">
        <v>12</v>
      </c>
      <c r="F512" s="9">
        <v>12585600</v>
      </c>
      <c r="G512" s="9">
        <v>3775680</v>
      </c>
      <c r="H512" s="13">
        <f t="shared" si="7"/>
        <v>0.3</v>
      </c>
    </row>
    <row r="513" spans="1:8">
      <c r="A513" s="5">
        <v>46023</v>
      </c>
      <c r="B513" s="3" t="s">
        <v>60</v>
      </c>
      <c r="C513" s="3" t="s">
        <v>53</v>
      </c>
      <c r="D513" s="7">
        <v>607200</v>
      </c>
      <c r="E513" s="9">
        <v>12</v>
      </c>
      <c r="F513" s="9">
        <v>7286400</v>
      </c>
      <c r="G513" s="9">
        <v>2185920</v>
      </c>
      <c r="H513" s="13">
        <f t="shared" si="7"/>
        <v>0.3</v>
      </c>
    </row>
    <row r="514" spans="1:8">
      <c r="A514" s="5">
        <v>46023</v>
      </c>
      <c r="B514" s="3" t="s">
        <v>61</v>
      </c>
      <c r="C514" s="3" t="s">
        <v>50</v>
      </c>
      <c r="D514" s="7">
        <v>736000</v>
      </c>
      <c r="E514" s="9">
        <v>15</v>
      </c>
      <c r="F514" s="9">
        <v>11040000</v>
      </c>
      <c r="G514" s="9">
        <v>3864000</v>
      </c>
      <c r="H514" s="13">
        <f t="shared" ref="H514:H577" si="8">G514/F514</f>
        <v>0.35</v>
      </c>
    </row>
    <row r="515" spans="1:8">
      <c r="A515" s="5">
        <v>46023</v>
      </c>
      <c r="B515" s="3" t="s">
        <v>61</v>
      </c>
      <c r="C515" s="3" t="s">
        <v>51</v>
      </c>
      <c r="D515" s="7">
        <v>625600</v>
      </c>
      <c r="E515" s="9">
        <v>15</v>
      </c>
      <c r="F515" s="9">
        <v>9384000</v>
      </c>
      <c r="G515" s="9">
        <v>3284400</v>
      </c>
      <c r="H515" s="13">
        <f t="shared" si="8"/>
        <v>0.35</v>
      </c>
    </row>
    <row r="516" spans="1:8">
      <c r="A516" s="5">
        <v>46023</v>
      </c>
      <c r="B516" s="3" t="s">
        <v>61</v>
      </c>
      <c r="C516" s="3" t="s">
        <v>52</v>
      </c>
      <c r="D516" s="7">
        <v>699200</v>
      </c>
      <c r="E516" s="9">
        <v>15</v>
      </c>
      <c r="F516" s="9">
        <v>10488000</v>
      </c>
      <c r="G516" s="9">
        <v>3670800</v>
      </c>
      <c r="H516" s="13">
        <f t="shared" si="8"/>
        <v>0.35</v>
      </c>
    </row>
    <row r="517" spans="1:8">
      <c r="A517" s="5">
        <v>46023</v>
      </c>
      <c r="B517" s="3" t="s">
        <v>61</v>
      </c>
      <c r="C517" s="3" t="s">
        <v>53</v>
      </c>
      <c r="D517" s="7">
        <v>404800</v>
      </c>
      <c r="E517" s="9">
        <v>15</v>
      </c>
      <c r="F517" s="9">
        <v>6072000</v>
      </c>
      <c r="G517" s="9">
        <v>2125200</v>
      </c>
      <c r="H517" s="13">
        <f t="shared" si="8"/>
        <v>0.35</v>
      </c>
    </row>
    <row r="518" spans="1:8">
      <c r="A518" s="5">
        <v>46023</v>
      </c>
      <c r="B518" s="3" t="s">
        <v>62</v>
      </c>
      <c r="C518" s="3" t="s">
        <v>50</v>
      </c>
      <c r="D518" s="7">
        <v>828000</v>
      </c>
      <c r="E518" s="9">
        <v>8</v>
      </c>
      <c r="F518" s="9">
        <v>6624000</v>
      </c>
      <c r="G518" s="9">
        <v>993600</v>
      </c>
      <c r="H518" s="13">
        <f t="shared" si="8"/>
        <v>0.15</v>
      </c>
    </row>
    <row r="519" spans="1:8">
      <c r="A519" s="5">
        <v>46023</v>
      </c>
      <c r="B519" s="3" t="s">
        <v>62</v>
      </c>
      <c r="C519" s="3" t="s">
        <v>51</v>
      </c>
      <c r="D519" s="7">
        <v>703800</v>
      </c>
      <c r="E519" s="9">
        <v>8</v>
      </c>
      <c r="F519" s="9">
        <v>5630400</v>
      </c>
      <c r="G519" s="9">
        <v>844560</v>
      </c>
      <c r="H519" s="13">
        <f t="shared" si="8"/>
        <v>0.15</v>
      </c>
    </row>
    <row r="520" spans="1:8">
      <c r="A520" s="5">
        <v>46023</v>
      </c>
      <c r="B520" s="3" t="s">
        <v>62</v>
      </c>
      <c r="C520" s="3" t="s">
        <v>52</v>
      </c>
      <c r="D520" s="7">
        <v>786600</v>
      </c>
      <c r="E520" s="9">
        <v>8</v>
      </c>
      <c r="F520" s="9">
        <v>6292800</v>
      </c>
      <c r="G520" s="9">
        <v>943920</v>
      </c>
      <c r="H520" s="13">
        <f t="shared" si="8"/>
        <v>0.15</v>
      </c>
    </row>
    <row r="521" spans="1:8">
      <c r="A521" s="5">
        <v>46023</v>
      </c>
      <c r="B521" s="3" t="s">
        <v>62</v>
      </c>
      <c r="C521" s="3" t="s">
        <v>53</v>
      </c>
      <c r="D521" s="7">
        <v>455400</v>
      </c>
      <c r="E521" s="9">
        <v>8</v>
      </c>
      <c r="F521" s="9">
        <v>3643200</v>
      </c>
      <c r="G521" s="9">
        <v>546480</v>
      </c>
      <c r="H521" s="13">
        <f t="shared" si="8"/>
        <v>0.15</v>
      </c>
    </row>
    <row r="522" spans="1:8">
      <c r="A522" s="5">
        <v>46054</v>
      </c>
      <c r="B522" s="3" t="s">
        <v>49</v>
      </c>
      <c r="C522" s="3" t="s">
        <v>50</v>
      </c>
      <c r="D522" s="7">
        <v>225000</v>
      </c>
      <c r="E522" s="9">
        <v>699</v>
      </c>
      <c r="F522" s="9">
        <v>157275000</v>
      </c>
      <c r="G522" s="9">
        <v>97510500</v>
      </c>
      <c r="H522" s="13">
        <f t="shared" si="8"/>
        <v>0.62</v>
      </c>
    </row>
    <row r="523" spans="1:8">
      <c r="A523" s="5">
        <v>46054</v>
      </c>
      <c r="B523" s="3" t="s">
        <v>49</v>
      </c>
      <c r="C523" s="3" t="s">
        <v>51</v>
      </c>
      <c r="D523" s="7">
        <v>191250</v>
      </c>
      <c r="E523" s="9">
        <v>699</v>
      </c>
      <c r="F523" s="9">
        <v>133683750</v>
      </c>
      <c r="G523" s="9">
        <v>82883925</v>
      </c>
      <c r="H523" s="13">
        <f t="shared" si="8"/>
        <v>0.62</v>
      </c>
    </row>
    <row r="524" spans="1:8">
      <c r="A524" s="5">
        <v>46054</v>
      </c>
      <c r="B524" s="3" t="s">
        <v>49</v>
      </c>
      <c r="C524" s="3" t="s">
        <v>52</v>
      </c>
      <c r="D524" s="7">
        <v>213750</v>
      </c>
      <c r="E524" s="9">
        <v>699</v>
      </c>
      <c r="F524" s="9">
        <v>149411250</v>
      </c>
      <c r="G524" s="9">
        <v>92634975</v>
      </c>
      <c r="H524" s="13">
        <f t="shared" si="8"/>
        <v>0.62</v>
      </c>
    </row>
    <row r="525" spans="1:8">
      <c r="A525" s="5">
        <v>46054</v>
      </c>
      <c r="B525" s="3" t="s">
        <v>49</v>
      </c>
      <c r="C525" s="3" t="s">
        <v>53</v>
      </c>
      <c r="D525" s="7">
        <v>123750</v>
      </c>
      <c r="E525" s="9">
        <v>699</v>
      </c>
      <c r="F525" s="9">
        <v>86501250</v>
      </c>
      <c r="G525" s="9">
        <v>53630775</v>
      </c>
      <c r="H525" s="13">
        <f t="shared" si="8"/>
        <v>0.62</v>
      </c>
    </row>
    <row r="526" spans="1:8">
      <c r="A526" s="5">
        <v>46054</v>
      </c>
      <c r="B526" s="3" t="s">
        <v>54</v>
      </c>
      <c r="C526" s="3" t="s">
        <v>50</v>
      </c>
      <c r="D526" s="7">
        <v>108000</v>
      </c>
      <c r="E526" s="9">
        <v>999</v>
      </c>
      <c r="F526" s="9">
        <v>107892000</v>
      </c>
      <c r="G526" s="9">
        <v>62577360</v>
      </c>
      <c r="H526" s="13">
        <f t="shared" si="8"/>
        <v>0.57999999999999996</v>
      </c>
    </row>
    <row r="527" spans="1:8">
      <c r="A527" s="5">
        <v>46054</v>
      </c>
      <c r="B527" s="3" t="s">
        <v>54</v>
      </c>
      <c r="C527" s="3" t="s">
        <v>51</v>
      </c>
      <c r="D527" s="7">
        <v>91800</v>
      </c>
      <c r="E527" s="9">
        <v>999</v>
      </c>
      <c r="F527" s="9">
        <v>91708200</v>
      </c>
      <c r="G527" s="9">
        <v>53190756</v>
      </c>
      <c r="H527" s="13">
        <f t="shared" si="8"/>
        <v>0.57999999999999996</v>
      </c>
    </row>
    <row r="528" spans="1:8">
      <c r="A528" s="5">
        <v>46054</v>
      </c>
      <c r="B528" s="3" t="s">
        <v>54</v>
      </c>
      <c r="C528" s="3" t="s">
        <v>52</v>
      </c>
      <c r="D528" s="7">
        <v>102600</v>
      </c>
      <c r="E528" s="9">
        <v>999</v>
      </c>
      <c r="F528" s="9">
        <v>102497400</v>
      </c>
      <c r="G528" s="9">
        <v>59448492</v>
      </c>
      <c r="H528" s="13">
        <f t="shared" si="8"/>
        <v>0.57999999999999996</v>
      </c>
    </row>
    <row r="529" spans="1:8">
      <c r="A529" s="5">
        <v>46054</v>
      </c>
      <c r="B529" s="3" t="s">
        <v>54</v>
      </c>
      <c r="C529" s="3" t="s">
        <v>53</v>
      </c>
      <c r="D529" s="7">
        <v>59400</v>
      </c>
      <c r="E529" s="9">
        <v>999</v>
      </c>
      <c r="F529" s="9">
        <v>59340600</v>
      </c>
      <c r="G529" s="9">
        <v>34417548</v>
      </c>
      <c r="H529" s="13">
        <f t="shared" si="8"/>
        <v>0.57999999999999996</v>
      </c>
    </row>
    <row r="530" spans="1:8">
      <c r="A530" s="5">
        <v>46054</v>
      </c>
      <c r="B530" s="3" t="s">
        <v>55</v>
      </c>
      <c r="C530" s="3" t="s">
        <v>50</v>
      </c>
      <c r="D530" s="7">
        <v>126000</v>
      </c>
      <c r="E530" s="9">
        <v>549</v>
      </c>
      <c r="F530" s="9">
        <v>69174000</v>
      </c>
      <c r="G530" s="9">
        <v>41504400</v>
      </c>
      <c r="H530" s="13">
        <f t="shared" si="8"/>
        <v>0.6</v>
      </c>
    </row>
    <row r="531" spans="1:8">
      <c r="A531" s="5">
        <v>46054</v>
      </c>
      <c r="B531" s="3" t="s">
        <v>55</v>
      </c>
      <c r="C531" s="3" t="s">
        <v>51</v>
      </c>
      <c r="D531" s="7">
        <v>107100</v>
      </c>
      <c r="E531" s="9">
        <v>549</v>
      </c>
      <c r="F531" s="9">
        <v>58797900</v>
      </c>
      <c r="G531" s="9">
        <v>35278740</v>
      </c>
      <c r="H531" s="13">
        <f t="shared" si="8"/>
        <v>0.6</v>
      </c>
    </row>
    <row r="532" spans="1:8">
      <c r="A532" s="5">
        <v>46054</v>
      </c>
      <c r="B532" s="3" t="s">
        <v>55</v>
      </c>
      <c r="C532" s="3" t="s">
        <v>52</v>
      </c>
      <c r="D532" s="7">
        <v>119700</v>
      </c>
      <c r="E532" s="9">
        <v>549</v>
      </c>
      <c r="F532" s="9">
        <v>65715300</v>
      </c>
      <c r="G532" s="9">
        <v>39429180</v>
      </c>
      <c r="H532" s="13">
        <f t="shared" si="8"/>
        <v>0.6</v>
      </c>
    </row>
    <row r="533" spans="1:8">
      <c r="A533" s="5">
        <v>46054</v>
      </c>
      <c r="B533" s="3" t="s">
        <v>55</v>
      </c>
      <c r="C533" s="3" t="s">
        <v>53</v>
      </c>
      <c r="D533" s="7">
        <v>69300</v>
      </c>
      <c r="E533" s="9">
        <v>549</v>
      </c>
      <c r="F533" s="9">
        <v>38045700</v>
      </c>
      <c r="G533" s="9">
        <v>22827420</v>
      </c>
      <c r="H533" s="13">
        <f t="shared" si="8"/>
        <v>0.6</v>
      </c>
    </row>
    <row r="534" spans="1:8">
      <c r="A534" s="5">
        <v>46054</v>
      </c>
      <c r="B534" s="3" t="s">
        <v>56</v>
      </c>
      <c r="C534" s="3" t="s">
        <v>50</v>
      </c>
      <c r="D534" s="7">
        <v>63000</v>
      </c>
      <c r="E534" s="9">
        <v>1199</v>
      </c>
      <c r="F534" s="9">
        <v>75537000</v>
      </c>
      <c r="G534" s="9">
        <v>41545350</v>
      </c>
      <c r="H534" s="13">
        <f t="shared" si="8"/>
        <v>0.55000000000000004</v>
      </c>
    </row>
    <row r="535" spans="1:8">
      <c r="A535" s="5">
        <v>46054</v>
      </c>
      <c r="B535" s="3" t="s">
        <v>56</v>
      </c>
      <c r="C535" s="3" t="s">
        <v>51</v>
      </c>
      <c r="D535" s="7">
        <v>53550</v>
      </c>
      <c r="E535" s="9">
        <v>1199</v>
      </c>
      <c r="F535" s="9">
        <v>64206450</v>
      </c>
      <c r="G535" s="9">
        <v>35313547.5</v>
      </c>
      <c r="H535" s="13">
        <f t="shared" si="8"/>
        <v>0.55000000000000004</v>
      </c>
    </row>
    <row r="536" spans="1:8">
      <c r="A536" s="5">
        <v>46054</v>
      </c>
      <c r="B536" s="3" t="s">
        <v>56</v>
      </c>
      <c r="C536" s="3" t="s">
        <v>52</v>
      </c>
      <c r="D536" s="7">
        <v>59850</v>
      </c>
      <c r="E536" s="9">
        <v>1199</v>
      </c>
      <c r="F536" s="9">
        <v>71760150</v>
      </c>
      <c r="G536" s="9">
        <v>39468082.5</v>
      </c>
      <c r="H536" s="13">
        <f t="shared" si="8"/>
        <v>0.55000000000000004</v>
      </c>
    </row>
    <row r="537" spans="1:8">
      <c r="A537" s="5">
        <v>46054</v>
      </c>
      <c r="B537" s="3" t="s">
        <v>56</v>
      </c>
      <c r="C537" s="3" t="s">
        <v>53</v>
      </c>
      <c r="D537" s="7">
        <v>34650</v>
      </c>
      <c r="E537" s="9">
        <v>1199</v>
      </c>
      <c r="F537" s="9">
        <v>41545350</v>
      </c>
      <c r="G537" s="9">
        <v>22849942.5</v>
      </c>
      <c r="H537" s="13">
        <f t="shared" si="8"/>
        <v>0.55000000000000004</v>
      </c>
    </row>
    <row r="538" spans="1:8">
      <c r="A538" s="5">
        <v>46054</v>
      </c>
      <c r="B538" s="3" t="s">
        <v>57</v>
      </c>
      <c r="C538" s="3" t="s">
        <v>50</v>
      </c>
      <c r="D538" s="7">
        <v>162000</v>
      </c>
      <c r="E538" s="9">
        <v>299</v>
      </c>
      <c r="F538" s="9">
        <v>48438000</v>
      </c>
      <c r="G538" s="9">
        <v>24219000</v>
      </c>
      <c r="H538" s="13">
        <f t="shared" si="8"/>
        <v>0.5</v>
      </c>
    </row>
    <row r="539" spans="1:8">
      <c r="A539" s="5">
        <v>46054</v>
      </c>
      <c r="B539" s="3" t="s">
        <v>57</v>
      </c>
      <c r="C539" s="3" t="s">
        <v>51</v>
      </c>
      <c r="D539" s="7">
        <v>137700</v>
      </c>
      <c r="E539" s="9">
        <v>299</v>
      </c>
      <c r="F539" s="9">
        <v>41172300</v>
      </c>
      <c r="G539" s="9">
        <v>20586150</v>
      </c>
      <c r="H539" s="13">
        <f t="shared" si="8"/>
        <v>0.5</v>
      </c>
    </row>
    <row r="540" spans="1:8">
      <c r="A540" s="5">
        <v>46054</v>
      </c>
      <c r="B540" s="3" t="s">
        <v>57</v>
      </c>
      <c r="C540" s="3" t="s">
        <v>52</v>
      </c>
      <c r="D540" s="7">
        <v>153900</v>
      </c>
      <c r="E540" s="9">
        <v>299</v>
      </c>
      <c r="F540" s="9">
        <v>46016100</v>
      </c>
      <c r="G540" s="9">
        <v>23008050</v>
      </c>
      <c r="H540" s="13">
        <f t="shared" si="8"/>
        <v>0.5</v>
      </c>
    </row>
    <row r="541" spans="1:8">
      <c r="A541" s="5">
        <v>46054</v>
      </c>
      <c r="B541" s="3" t="s">
        <v>57</v>
      </c>
      <c r="C541" s="3" t="s">
        <v>53</v>
      </c>
      <c r="D541" s="7">
        <v>89100</v>
      </c>
      <c r="E541" s="9">
        <v>299</v>
      </c>
      <c r="F541" s="9">
        <v>26640900</v>
      </c>
      <c r="G541" s="9">
        <v>13320450</v>
      </c>
      <c r="H541" s="13">
        <f t="shared" si="8"/>
        <v>0.5</v>
      </c>
    </row>
    <row r="542" spans="1:8">
      <c r="A542" s="5">
        <v>46054</v>
      </c>
      <c r="B542" s="3" t="s">
        <v>58</v>
      </c>
      <c r="C542" s="3" t="s">
        <v>50</v>
      </c>
      <c r="D542" s="7">
        <v>540000</v>
      </c>
      <c r="E542" s="9">
        <v>39</v>
      </c>
      <c r="F542" s="9">
        <v>21060000</v>
      </c>
      <c r="G542" s="9">
        <v>5265000</v>
      </c>
      <c r="H542" s="13">
        <f t="shared" si="8"/>
        <v>0.25</v>
      </c>
    </row>
    <row r="543" spans="1:8">
      <c r="A543" s="5">
        <v>46054</v>
      </c>
      <c r="B543" s="3" t="s">
        <v>58</v>
      </c>
      <c r="C543" s="3" t="s">
        <v>51</v>
      </c>
      <c r="D543" s="7">
        <v>459000</v>
      </c>
      <c r="E543" s="9">
        <v>39</v>
      </c>
      <c r="F543" s="9">
        <v>17901000</v>
      </c>
      <c r="G543" s="9">
        <v>4475250</v>
      </c>
      <c r="H543" s="13">
        <f t="shared" si="8"/>
        <v>0.25</v>
      </c>
    </row>
    <row r="544" spans="1:8">
      <c r="A544" s="5">
        <v>46054</v>
      </c>
      <c r="B544" s="3" t="s">
        <v>58</v>
      </c>
      <c r="C544" s="3" t="s">
        <v>52</v>
      </c>
      <c r="D544" s="7">
        <v>513000</v>
      </c>
      <c r="E544" s="9">
        <v>39</v>
      </c>
      <c r="F544" s="9">
        <v>20007000</v>
      </c>
      <c r="G544" s="9">
        <v>5001750</v>
      </c>
      <c r="H544" s="13">
        <f t="shared" si="8"/>
        <v>0.25</v>
      </c>
    </row>
    <row r="545" spans="1:8">
      <c r="A545" s="5">
        <v>46054</v>
      </c>
      <c r="B545" s="3" t="s">
        <v>58</v>
      </c>
      <c r="C545" s="3" t="s">
        <v>53</v>
      </c>
      <c r="D545" s="7">
        <v>297000</v>
      </c>
      <c r="E545" s="9">
        <v>39</v>
      </c>
      <c r="F545" s="9">
        <v>11583000</v>
      </c>
      <c r="G545" s="9">
        <v>2895750</v>
      </c>
      <c r="H545" s="13">
        <f t="shared" si="8"/>
        <v>0.25</v>
      </c>
    </row>
    <row r="546" spans="1:8">
      <c r="A546" s="5">
        <v>46054</v>
      </c>
      <c r="B546" s="3" t="s">
        <v>59</v>
      </c>
      <c r="C546" s="3" t="s">
        <v>50</v>
      </c>
      <c r="D546" s="7">
        <v>360000</v>
      </c>
      <c r="E546" s="9">
        <v>24</v>
      </c>
      <c r="F546" s="9">
        <v>8640000</v>
      </c>
      <c r="G546" s="9">
        <v>1728000</v>
      </c>
      <c r="H546" s="13">
        <f t="shared" si="8"/>
        <v>0.2</v>
      </c>
    </row>
    <row r="547" spans="1:8">
      <c r="A547" s="5">
        <v>46054</v>
      </c>
      <c r="B547" s="3" t="s">
        <v>59</v>
      </c>
      <c r="C547" s="3" t="s">
        <v>51</v>
      </c>
      <c r="D547" s="7">
        <v>306000</v>
      </c>
      <c r="E547" s="9">
        <v>24</v>
      </c>
      <c r="F547" s="9">
        <v>7344000</v>
      </c>
      <c r="G547" s="9">
        <v>1468800</v>
      </c>
      <c r="H547" s="13">
        <f t="shared" si="8"/>
        <v>0.2</v>
      </c>
    </row>
    <row r="548" spans="1:8">
      <c r="A548" s="5">
        <v>46054</v>
      </c>
      <c r="B548" s="3" t="s">
        <v>59</v>
      </c>
      <c r="C548" s="3" t="s">
        <v>52</v>
      </c>
      <c r="D548" s="7">
        <v>342000</v>
      </c>
      <c r="E548" s="9">
        <v>24</v>
      </c>
      <c r="F548" s="9">
        <v>8208000</v>
      </c>
      <c r="G548" s="9">
        <v>1641600</v>
      </c>
      <c r="H548" s="13">
        <f t="shared" si="8"/>
        <v>0.2</v>
      </c>
    </row>
    <row r="549" spans="1:8">
      <c r="A549" s="5">
        <v>46054</v>
      </c>
      <c r="B549" s="3" t="s">
        <v>59</v>
      </c>
      <c r="C549" s="3" t="s">
        <v>53</v>
      </c>
      <c r="D549" s="7">
        <v>198000</v>
      </c>
      <c r="E549" s="9">
        <v>24</v>
      </c>
      <c r="F549" s="9">
        <v>4752000</v>
      </c>
      <c r="G549" s="9">
        <v>950400</v>
      </c>
      <c r="H549" s="13">
        <f t="shared" si="8"/>
        <v>0.2</v>
      </c>
    </row>
    <row r="550" spans="1:8">
      <c r="A550" s="5">
        <v>46054</v>
      </c>
      <c r="B550" s="3" t="s">
        <v>60</v>
      </c>
      <c r="C550" s="3" t="s">
        <v>50</v>
      </c>
      <c r="D550" s="7">
        <v>1080000</v>
      </c>
      <c r="E550" s="9">
        <v>12</v>
      </c>
      <c r="F550" s="9">
        <v>12960000</v>
      </c>
      <c r="G550" s="9">
        <v>3888000</v>
      </c>
      <c r="H550" s="13">
        <f t="shared" si="8"/>
        <v>0.3</v>
      </c>
    </row>
    <row r="551" spans="1:8">
      <c r="A551" s="5">
        <v>46054</v>
      </c>
      <c r="B551" s="3" t="s">
        <v>60</v>
      </c>
      <c r="C551" s="3" t="s">
        <v>51</v>
      </c>
      <c r="D551" s="7">
        <v>918000</v>
      </c>
      <c r="E551" s="9">
        <v>12</v>
      </c>
      <c r="F551" s="9">
        <v>11016000</v>
      </c>
      <c r="G551" s="9">
        <v>3304800</v>
      </c>
      <c r="H551" s="13">
        <f t="shared" si="8"/>
        <v>0.3</v>
      </c>
    </row>
    <row r="552" spans="1:8">
      <c r="A552" s="5">
        <v>46054</v>
      </c>
      <c r="B552" s="3" t="s">
        <v>60</v>
      </c>
      <c r="C552" s="3" t="s">
        <v>52</v>
      </c>
      <c r="D552" s="7">
        <v>1026000</v>
      </c>
      <c r="E552" s="9">
        <v>12</v>
      </c>
      <c r="F552" s="9">
        <v>12312000</v>
      </c>
      <c r="G552" s="9">
        <v>3693600</v>
      </c>
      <c r="H552" s="13">
        <f t="shared" si="8"/>
        <v>0.3</v>
      </c>
    </row>
    <row r="553" spans="1:8">
      <c r="A553" s="5">
        <v>46054</v>
      </c>
      <c r="B553" s="3" t="s">
        <v>60</v>
      </c>
      <c r="C553" s="3" t="s">
        <v>53</v>
      </c>
      <c r="D553" s="7">
        <v>594000</v>
      </c>
      <c r="E553" s="9">
        <v>12</v>
      </c>
      <c r="F553" s="9">
        <v>7128000</v>
      </c>
      <c r="G553" s="9">
        <v>2138400</v>
      </c>
      <c r="H553" s="13">
        <f t="shared" si="8"/>
        <v>0.3</v>
      </c>
    </row>
    <row r="554" spans="1:8">
      <c r="A554" s="5">
        <v>46054</v>
      </c>
      <c r="B554" s="3" t="s">
        <v>61</v>
      </c>
      <c r="C554" s="3" t="s">
        <v>50</v>
      </c>
      <c r="D554" s="7">
        <v>720000</v>
      </c>
      <c r="E554" s="9">
        <v>15</v>
      </c>
      <c r="F554" s="9">
        <v>10800000</v>
      </c>
      <c r="G554" s="9">
        <v>3780000</v>
      </c>
      <c r="H554" s="13">
        <f t="shared" si="8"/>
        <v>0.35</v>
      </c>
    </row>
    <row r="555" spans="1:8">
      <c r="A555" s="5">
        <v>46054</v>
      </c>
      <c r="B555" s="3" t="s">
        <v>61</v>
      </c>
      <c r="C555" s="3" t="s">
        <v>51</v>
      </c>
      <c r="D555" s="7">
        <v>612000</v>
      </c>
      <c r="E555" s="9">
        <v>15</v>
      </c>
      <c r="F555" s="9">
        <v>9180000</v>
      </c>
      <c r="G555" s="9">
        <v>3213000</v>
      </c>
      <c r="H555" s="13">
        <f t="shared" si="8"/>
        <v>0.35</v>
      </c>
    </row>
    <row r="556" spans="1:8">
      <c r="A556" s="5">
        <v>46054</v>
      </c>
      <c r="B556" s="3" t="s">
        <v>61</v>
      </c>
      <c r="C556" s="3" t="s">
        <v>52</v>
      </c>
      <c r="D556" s="7">
        <v>684000</v>
      </c>
      <c r="E556" s="9">
        <v>15</v>
      </c>
      <c r="F556" s="9">
        <v>10260000</v>
      </c>
      <c r="G556" s="9">
        <v>3591000</v>
      </c>
      <c r="H556" s="13">
        <f t="shared" si="8"/>
        <v>0.35</v>
      </c>
    </row>
    <row r="557" spans="1:8">
      <c r="A557" s="5">
        <v>46054</v>
      </c>
      <c r="B557" s="3" t="s">
        <v>61</v>
      </c>
      <c r="C557" s="3" t="s">
        <v>53</v>
      </c>
      <c r="D557" s="7">
        <v>396000</v>
      </c>
      <c r="E557" s="9">
        <v>15</v>
      </c>
      <c r="F557" s="9">
        <v>5940000</v>
      </c>
      <c r="G557" s="9">
        <v>2079000</v>
      </c>
      <c r="H557" s="13">
        <f t="shared" si="8"/>
        <v>0.35</v>
      </c>
    </row>
    <row r="558" spans="1:8">
      <c r="A558" s="5">
        <v>46054</v>
      </c>
      <c r="B558" s="3" t="s">
        <v>62</v>
      </c>
      <c r="C558" s="3" t="s">
        <v>50</v>
      </c>
      <c r="D558" s="7">
        <v>810000</v>
      </c>
      <c r="E558" s="9">
        <v>8</v>
      </c>
      <c r="F558" s="9">
        <v>6480000</v>
      </c>
      <c r="G558" s="9">
        <v>972000</v>
      </c>
      <c r="H558" s="13">
        <f t="shared" si="8"/>
        <v>0.15</v>
      </c>
    </row>
    <row r="559" spans="1:8">
      <c r="A559" s="5">
        <v>46054</v>
      </c>
      <c r="B559" s="3" t="s">
        <v>62</v>
      </c>
      <c r="C559" s="3" t="s">
        <v>51</v>
      </c>
      <c r="D559" s="7">
        <v>688500</v>
      </c>
      <c r="E559" s="9">
        <v>8</v>
      </c>
      <c r="F559" s="9">
        <v>5508000</v>
      </c>
      <c r="G559" s="9">
        <v>826200</v>
      </c>
      <c r="H559" s="13">
        <f t="shared" si="8"/>
        <v>0.15</v>
      </c>
    </row>
    <row r="560" spans="1:8">
      <c r="A560" s="5">
        <v>46054</v>
      </c>
      <c r="B560" s="3" t="s">
        <v>62</v>
      </c>
      <c r="C560" s="3" t="s">
        <v>52</v>
      </c>
      <c r="D560" s="7">
        <v>769500</v>
      </c>
      <c r="E560" s="9">
        <v>8</v>
      </c>
      <c r="F560" s="9">
        <v>6156000</v>
      </c>
      <c r="G560" s="9">
        <v>923400</v>
      </c>
      <c r="H560" s="13">
        <f t="shared" si="8"/>
        <v>0.15</v>
      </c>
    </row>
    <row r="561" spans="1:8">
      <c r="A561" s="5">
        <v>46054</v>
      </c>
      <c r="B561" s="3" t="s">
        <v>62</v>
      </c>
      <c r="C561" s="3" t="s">
        <v>53</v>
      </c>
      <c r="D561" s="7">
        <v>445500</v>
      </c>
      <c r="E561" s="9">
        <v>8</v>
      </c>
      <c r="F561" s="9">
        <v>3564000</v>
      </c>
      <c r="G561" s="9">
        <v>534600</v>
      </c>
      <c r="H561" s="13">
        <f t="shared" si="8"/>
        <v>0.15</v>
      </c>
    </row>
    <row r="562" spans="1:8">
      <c r="A562" s="5">
        <v>46082</v>
      </c>
      <c r="B562" s="3" t="s">
        <v>49</v>
      </c>
      <c r="C562" s="3" t="s">
        <v>50</v>
      </c>
      <c r="D562" s="7">
        <v>240000</v>
      </c>
      <c r="E562" s="9">
        <v>699</v>
      </c>
      <c r="F562" s="9">
        <v>167760000</v>
      </c>
      <c r="G562" s="9">
        <v>104011200</v>
      </c>
      <c r="H562" s="13">
        <f t="shared" si="8"/>
        <v>0.62</v>
      </c>
    </row>
    <row r="563" spans="1:8">
      <c r="A563" s="5">
        <v>46082</v>
      </c>
      <c r="B563" s="3" t="s">
        <v>49</v>
      </c>
      <c r="C563" s="3" t="s">
        <v>51</v>
      </c>
      <c r="D563" s="7">
        <v>204000</v>
      </c>
      <c r="E563" s="9">
        <v>699</v>
      </c>
      <c r="F563" s="9">
        <v>142596000</v>
      </c>
      <c r="G563" s="9">
        <v>88409520</v>
      </c>
      <c r="H563" s="13">
        <f t="shared" si="8"/>
        <v>0.62</v>
      </c>
    </row>
    <row r="564" spans="1:8">
      <c r="A564" s="5">
        <v>46082</v>
      </c>
      <c r="B564" s="3" t="s">
        <v>49</v>
      </c>
      <c r="C564" s="3" t="s">
        <v>52</v>
      </c>
      <c r="D564" s="7">
        <v>228000</v>
      </c>
      <c r="E564" s="9">
        <v>699</v>
      </c>
      <c r="F564" s="9">
        <v>159372000</v>
      </c>
      <c r="G564" s="9">
        <v>98810640</v>
      </c>
      <c r="H564" s="13">
        <f t="shared" si="8"/>
        <v>0.62</v>
      </c>
    </row>
    <row r="565" spans="1:8">
      <c r="A565" s="5">
        <v>46082</v>
      </c>
      <c r="B565" s="3" t="s">
        <v>49</v>
      </c>
      <c r="C565" s="3" t="s">
        <v>53</v>
      </c>
      <c r="D565" s="7">
        <v>132000</v>
      </c>
      <c r="E565" s="9">
        <v>699</v>
      </c>
      <c r="F565" s="9">
        <v>92268000</v>
      </c>
      <c r="G565" s="9">
        <v>57206160</v>
      </c>
      <c r="H565" s="13">
        <f t="shared" si="8"/>
        <v>0.62</v>
      </c>
    </row>
    <row r="566" spans="1:8">
      <c r="A566" s="5">
        <v>46082</v>
      </c>
      <c r="B566" s="3" t="s">
        <v>54</v>
      </c>
      <c r="C566" s="3" t="s">
        <v>50</v>
      </c>
      <c r="D566" s="7">
        <v>115200</v>
      </c>
      <c r="E566" s="9">
        <v>999</v>
      </c>
      <c r="F566" s="9">
        <v>115084800</v>
      </c>
      <c r="G566" s="9">
        <v>66749184</v>
      </c>
      <c r="H566" s="13">
        <f t="shared" si="8"/>
        <v>0.57999999999999996</v>
      </c>
    </row>
    <row r="567" spans="1:8">
      <c r="A567" s="5">
        <v>46082</v>
      </c>
      <c r="B567" s="3" t="s">
        <v>54</v>
      </c>
      <c r="C567" s="3" t="s">
        <v>51</v>
      </c>
      <c r="D567" s="7">
        <v>97920</v>
      </c>
      <c r="E567" s="9">
        <v>999</v>
      </c>
      <c r="F567" s="9">
        <v>97822080</v>
      </c>
      <c r="G567" s="9">
        <v>56736806.399999999</v>
      </c>
      <c r="H567" s="13">
        <f t="shared" si="8"/>
        <v>0.57999999999999996</v>
      </c>
    </row>
    <row r="568" spans="1:8">
      <c r="A568" s="5">
        <v>46082</v>
      </c>
      <c r="B568" s="3" t="s">
        <v>54</v>
      </c>
      <c r="C568" s="3" t="s">
        <v>52</v>
      </c>
      <c r="D568" s="7">
        <v>109440</v>
      </c>
      <c r="E568" s="9">
        <v>999</v>
      </c>
      <c r="F568" s="9">
        <v>109330560</v>
      </c>
      <c r="G568" s="9">
        <v>63411724.799999997</v>
      </c>
      <c r="H568" s="13">
        <f t="shared" si="8"/>
        <v>0.57999999999999996</v>
      </c>
    </row>
    <row r="569" spans="1:8">
      <c r="A569" s="5">
        <v>46082</v>
      </c>
      <c r="B569" s="3" t="s">
        <v>54</v>
      </c>
      <c r="C569" s="3" t="s">
        <v>53</v>
      </c>
      <c r="D569" s="7">
        <v>63360</v>
      </c>
      <c r="E569" s="9">
        <v>999</v>
      </c>
      <c r="F569" s="9">
        <v>63296640</v>
      </c>
      <c r="G569" s="9">
        <v>36712051.200000003</v>
      </c>
      <c r="H569" s="13">
        <f t="shared" si="8"/>
        <v>0.58000000000000007</v>
      </c>
    </row>
    <row r="570" spans="1:8">
      <c r="A570" s="5">
        <v>46082</v>
      </c>
      <c r="B570" s="3" t="s">
        <v>55</v>
      </c>
      <c r="C570" s="3" t="s">
        <v>50</v>
      </c>
      <c r="D570" s="7">
        <v>134400</v>
      </c>
      <c r="E570" s="9">
        <v>549</v>
      </c>
      <c r="F570" s="9">
        <v>73785600</v>
      </c>
      <c r="G570" s="9">
        <v>44271360</v>
      </c>
      <c r="H570" s="13">
        <f t="shared" si="8"/>
        <v>0.6</v>
      </c>
    </row>
    <row r="571" spans="1:8">
      <c r="A571" s="5">
        <v>46082</v>
      </c>
      <c r="B571" s="3" t="s">
        <v>55</v>
      </c>
      <c r="C571" s="3" t="s">
        <v>51</v>
      </c>
      <c r="D571" s="7">
        <v>114240</v>
      </c>
      <c r="E571" s="9">
        <v>549</v>
      </c>
      <c r="F571" s="9">
        <v>62717760</v>
      </c>
      <c r="G571" s="9">
        <v>37630656</v>
      </c>
      <c r="H571" s="13">
        <f t="shared" si="8"/>
        <v>0.6</v>
      </c>
    </row>
    <row r="572" spans="1:8">
      <c r="A572" s="5">
        <v>46082</v>
      </c>
      <c r="B572" s="3" t="s">
        <v>55</v>
      </c>
      <c r="C572" s="3" t="s">
        <v>52</v>
      </c>
      <c r="D572" s="7">
        <v>127680</v>
      </c>
      <c r="E572" s="9">
        <v>549</v>
      </c>
      <c r="F572" s="9">
        <v>70096320</v>
      </c>
      <c r="G572" s="9">
        <v>42057792</v>
      </c>
      <c r="H572" s="13">
        <f t="shared" si="8"/>
        <v>0.6</v>
      </c>
    </row>
    <row r="573" spans="1:8">
      <c r="A573" s="5">
        <v>46082</v>
      </c>
      <c r="B573" s="3" t="s">
        <v>55</v>
      </c>
      <c r="C573" s="3" t="s">
        <v>53</v>
      </c>
      <c r="D573" s="7">
        <v>73920</v>
      </c>
      <c r="E573" s="9">
        <v>549</v>
      </c>
      <c r="F573" s="9">
        <v>40582080</v>
      </c>
      <c r="G573" s="9">
        <v>24349248</v>
      </c>
      <c r="H573" s="13">
        <f t="shared" si="8"/>
        <v>0.6</v>
      </c>
    </row>
    <row r="574" spans="1:8">
      <c r="A574" s="5">
        <v>46082</v>
      </c>
      <c r="B574" s="3" t="s">
        <v>56</v>
      </c>
      <c r="C574" s="3" t="s">
        <v>50</v>
      </c>
      <c r="D574" s="7">
        <v>67200</v>
      </c>
      <c r="E574" s="9">
        <v>1199</v>
      </c>
      <c r="F574" s="9">
        <v>80572800</v>
      </c>
      <c r="G574" s="9">
        <v>44315040</v>
      </c>
      <c r="H574" s="13">
        <f t="shared" si="8"/>
        <v>0.55000000000000004</v>
      </c>
    </row>
    <row r="575" spans="1:8">
      <c r="A575" s="5">
        <v>46082</v>
      </c>
      <c r="B575" s="3" t="s">
        <v>56</v>
      </c>
      <c r="C575" s="3" t="s">
        <v>51</v>
      </c>
      <c r="D575" s="7">
        <v>57120</v>
      </c>
      <c r="E575" s="9">
        <v>1199</v>
      </c>
      <c r="F575" s="9">
        <v>68486880</v>
      </c>
      <c r="G575" s="9">
        <v>37667784</v>
      </c>
      <c r="H575" s="13">
        <f t="shared" si="8"/>
        <v>0.55000000000000004</v>
      </c>
    </row>
    <row r="576" spans="1:8">
      <c r="A576" s="5">
        <v>46082</v>
      </c>
      <c r="B576" s="3" t="s">
        <v>56</v>
      </c>
      <c r="C576" s="3" t="s">
        <v>52</v>
      </c>
      <c r="D576" s="7">
        <v>63840</v>
      </c>
      <c r="E576" s="9">
        <v>1199</v>
      </c>
      <c r="F576" s="9">
        <v>76544160</v>
      </c>
      <c r="G576" s="9">
        <v>42099288</v>
      </c>
      <c r="H576" s="13">
        <f t="shared" si="8"/>
        <v>0.55000000000000004</v>
      </c>
    </row>
    <row r="577" spans="1:8">
      <c r="A577" s="5">
        <v>46082</v>
      </c>
      <c r="B577" s="3" t="s">
        <v>56</v>
      </c>
      <c r="C577" s="3" t="s">
        <v>53</v>
      </c>
      <c r="D577" s="7">
        <v>36960</v>
      </c>
      <c r="E577" s="9">
        <v>1199</v>
      </c>
      <c r="F577" s="9">
        <v>44315040</v>
      </c>
      <c r="G577" s="9">
        <v>24373272</v>
      </c>
      <c r="H577" s="13">
        <f t="shared" si="8"/>
        <v>0.55000000000000004</v>
      </c>
    </row>
    <row r="578" spans="1:8">
      <c r="A578" s="5">
        <v>46082</v>
      </c>
      <c r="B578" s="3" t="s">
        <v>57</v>
      </c>
      <c r="C578" s="3" t="s">
        <v>50</v>
      </c>
      <c r="D578" s="7">
        <v>172800</v>
      </c>
      <c r="E578" s="9">
        <v>299</v>
      </c>
      <c r="F578" s="9">
        <v>51667200</v>
      </c>
      <c r="G578" s="9">
        <v>25833600</v>
      </c>
      <c r="H578" s="13">
        <f t="shared" ref="H578:H641" si="9">G578/F578</f>
        <v>0.5</v>
      </c>
    </row>
    <row r="579" spans="1:8">
      <c r="A579" s="5">
        <v>46082</v>
      </c>
      <c r="B579" s="3" t="s">
        <v>57</v>
      </c>
      <c r="C579" s="3" t="s">
        <v>51</v>
      </c>
      <c r="D579" s="7">
        <v>146880</v>
      </c>
      <c r="E579" s="9">
        <v>299</v>
      </c>
      <c r="F579" s="9">
        <v>43917120</v>
      </c>
      <c r="G579" s="9">
        <v>21958560</v>
      </c>
      <c r="H579" s="13">
        <f t="shared" si="9"/>
        <v>0.5</v>
      </c>
    </row>
    <row r="580" spans="1:8">
      <c r="A580" s="5">
        <v>46082</v>
      </c>
      <c r="B580" s="3" t="s">
        <v>57</v>
      </c>
      <c r="C580" s="3" t="s">
        <v>52</v>
      </c>
      <c r="D580" s="7">
        <v>164160</v>
      </c>
      <c r="E580" s="9">
        <v>299</v>
      </c>
      <c r="F580" s="9">
        <v>49083840</v>
      </c>
      <c r="G580" s="9">
        <v>24541920</v>
      </c>
      <c r="H580" s="13">
        <f t="shared" si="9"/>
        <v>0.5</v>
      </c>
    </row>
    <row r="581" spans="1:8">
      <c r="A581" s="5">
        <v>46082</v>
      </c>
      <c r="B581" s="3" t="s">
        <v>57</v>
      </c>
      <c r="C581" s="3" t="s">
        <v>53</v>
      </c>
      <c r="D581" s="7">
        <v>95040</v>
      </c>
      <c r="E581" s="9">
        <v>299</v>
      </c>
      <c r="F581" s="9">
        <v>28416960</v>
      </c>
      <c r="G581" s="9">
        <v>14208480</v>
      </c>
      <c r="H581" s="13">
        <f t="shared" si="9"/>
        <v>0.5</v>
      </c>
    </row>
    <row r="582" spans="1:8">
      <c r="A582" s="5">
        <v>46082</v>
      </c>
      <c r="B582" s="3" t="s">
        <v>58</v>
      </c>
      <c r="C582" s="3" t="s">
        <v>50</v>
      </c>
      <c r="D582" s="7">
        <v>576000</v>
      </c>
      <c r="E582" s="9">
        <v>39</v>
      </c>
      <c r="F582" s="9">
        <v>22464000</v>
      </c>
      <c r="G582" s="9">
        <v>5616000</v>
      </c>
      <c r="H582" s="13">
        <f t="shared" si="9"/>
        <v>0.25</v>
      </c>
    </row>
    <row r="583" spans="1:8">
      <c r="A583" s="5">
        <v>46082</v>
      </c>
      <c r="B583" s="3" t="s">
        <v>58</v>
      </c>
      <c r="C583" s="3" t="s">
        <v>51</v>
      </c>
      <c r="D583" s="7">
        <v>489600</v>
      </c>
      <c r="E583" s="9">
        <v>39</v>
      </c>
      <c r="F583" s="9">
        <v>19094400</v>
      </c>
      <c r="G583" s="9">
        <v>4773600</v>
      </c>
      <c r="H583" s="13">
        <f t="shared" si="9"/>
        <v>0.25</v>
      </c>
    </row>
    <row r="584" spans="1:8">
      <c r="A584" s="5">
        <v>46082</v>
      </c>
      <c r="B584" s="3" t="s">
        <v>58</v>
      </c>
      <c r="C584" s="3" t="s">
        <v>52</v>
      </c>
      <c r="D584" s="7">
        <v>547200</v>
      </c>
      <c r="E584" s="9">
        <v>39</v>
      </c>
      <c r="F584" s="9">
        <v>21340800</v>
      </c>
      <c r="G584" s="9">
        <v>5335200</v>
      </c>
      <c r="H584" s="13">
        <f t="shared" si="9"/>
        <v>0.25</v>
      </c>
    </row>
    <row r="585" spans="1:8">
      <c r="A585" s="5">
        <v>46082</v>
      </c>
      <c r="B585" s="3" t="s">
        <v>58</v>
      </c>
      <c r="C585" s="3" t="s">
        <v>53</v>
      </c>
      <c r="D585" s="7">
        <v>316800</v>
      </c>
      <c r="E585" s="9">
        <v>39</v>
      </c>
      <c r="F585" s="9">
        <v>12355200</v>
      </c>
      <c r="G585" s="9">
        <v>3088800</v>
      </c>
      <c r="H585" s="13">
        <f t="shared" si="9"/>
        <v>0.25</v>
      </c>
    </row>
    <row r="586" spans="1:8">
      <c r="A586" s="5">
        <v>46082</v>
      </c>
      <c r="B586" s="3" t="s">
        <v>59</v>
      </c>
      <c r="C586" s="3" t="s">
        <v>50</v>
      </c>
      <c r="D586" s="7">
        <v>384000</v>
      </c>
      <c r="E586" s="9">
        <v>24</v>
      </c>
      <c r="F586" s="9">
        <v>9216000</v>
      </c>
      <c r="G586" s="9">
        <v>1843200</v>
      </c>
      <c r="H586" s="13">
        <f t="shared" si="9"/>
        <v>0.2</v>
      </c>
    </row>
    <row r="587" spans="1:8">
      <c r="A587" s="5">
        <v>46082</v>
      </c>
      <c r="B587" s="3" t="s">
        <v>59</v>
      </c>
      <c r="C587" s="3" t="s">
        <v>51</v>
      </c>
      <c r="D587" s="7">
        <v>326400</v>
      </c>
      <c r="E587" s="9">
        <v>24</v>
      </c>
      <c r="F587" s="9">
        <v>7833600</v>
      </c>
      <c r="G587" s="9">
        <v>1566720</v>
      </c>
      <c r="H587" s="13">
        <f t="shared" si="9"/>
        <v>0.2</v>
      </c>
    </row>
    <row r="588" spans="1:8">
      <c r="A588" s="5">
        <v>46082</v>
      </c>
      <c r="B588" s="3" t="s">
        <v>59</v>
      </c>
      <c r="C588" s="3" t="s">
        <v>52</v>
      </c>
      <c r="D588" s="7">
        <v>364800</v>
      </c>
      <c r="E588" s="9">
        <v>24</v>
      </c>
      <c r="F588" s="9">
        <v>8755200</v>
      </c>
      <c r="G588" s="9">
        <v>1751040</v>
      </c>
      <c r="H588" s="13">
        <f t="shared" si="9"/>
        <v>0.2</v>
      </c>
    </row>
    <row r="589" spans="1:8">
      <c r="A589" s="5">
        <v>46082</v>
      </c>
      <c r="B589" s="3" t="s">
        <v>59</v>
      </c>
      <c r="C589" s="3" t="s">
        <v>53</v>
      </c>
      <c r="D589" s="7">
        <v>211200</v>
      </c>
      <c r="E589" s="9">
        <v>24</v>
      </c>
      <c r="F589" s="9">
        <v>5068800</v>
      </c>
      <c r="G589" s="9">
        <v>1013760</v>
      </c>
      <c r="H589" s="13">
        <f t="shared" si="9"/>
        <v>0.2</v>
      </c>
    </row>
    <row r="590" spans="1:8">
      <c r="A590" s="5">
        <v>46082</v>
      </c>
      <c r="B590" s="3" t="s">
        <v>60</v>
      </c>
      <c r="C590" s="3" t="s">
        <v>50</v>
      </c>
      <c r="D590" s="7">
        <v>1152000</v>
      </c>
      <c r="E590" s="9">
        <v>12</v>
      </c>
      <c r="F590" s="9">
        <v>13824000</v>
      </c>
      <c r="G590" s="9">
        <v>4147200</v>
      </c>
      <c r="H590" s="13">
        <f t="shared" si="9"/>
        <v>0.3</v>
      </c>
    </row>
    <row r="591" spans="1:8">
      <c r="A591" s="5">
        <v>46082</v>
      </c>
      <c r="B591" s="3" t="s">
        <v>60</v>
      </c>
      <c r="C591" s="3" t="s">
        <v>51</v>
      </c>
      <c r="D591" s="7">
        <v>979200</v>
      </c>
      <c r="E591" s="9">
        <v>12</v>
      </c>
      <c r="F591" s="9">
        <v>11750400</v>
      </c>
      <c r="G591" s="9">
        <v>3525120</v>
      </c>
      <c r="H591" s="13">
        <f t="shared" si="9"/>
        <v>0.3</v>
      </c>
    </row>
    <row r="592" spans="1:8">
      <c r="A592" s="5">
        <v>46082</v>
      </c>
      <c r="B592" s="3" t="s">
        <v>60</v>
      </c>
      <c r="C592" s="3" t="s">
        <v>52</v>
      </c>
      <c r="D592" s="7">
        <v>1094400</v>
      </c>
      <c r="E592" s="9">
        <v>12</v>
      </c>
      <c r="F592" s="9">
        <v>13132800</v>
      </c>
      <c r="G592" s="9">
        <v>3939840</v>
      </c>
      <c r="H592" s="13">
        <f t="shared" si="9"/>
        <v>0.3</v>
      </c>
    </row>
    <row r="593" spans="1:8">
      <c r="A593" s="5">
        <v>46082</v>
      </c>
      <c r="B593" s="3" t="s">
        <v>60</v>
      </c>
      <c r="C593" s="3" t="s">
        <v>53</v>
      </c>
      <c r="D593" s="7">
        <v>633600</v>
      </c>
      <c r="E593" s="9">
        <v>12</v>
      </c>
      <c r="F593" s="9">
        <v>7603200</v>
      </c>
      <c r="G593" s="9">
        <v>2280960</v>
      </c>
      <c r="H593" s="13">
        <f t="shared" si="9"/>
        <v>0.3</v>
      </c>
    </row>
    <row r="594" spans="1:8">
      <c r="A594" s="5">
        <v>46082</v>
      </c>
      <c r="B594" s="3" t="s">
        <v>61</v>
      </c>
      <c r="C594" s="3" t="s">
        <v>50</v>
      </c>
      <c r="D594" s="7">
        <v>768000</v>
      </c>
      <c r="E594" s="9">
        <v>15</v>
      </c>
      <c r="F594" s="9">
        <v>11520000</v>
      </c>
      <c r="G594" s="9">
        <v>4032000</v>
      </c>
      <c r="H594" s="13">
        <f t="shared" si="9"/>
        <v>0.35</v>
      </c>
    </row>
    <row r="595" spans="1:8">
      <c r="A595" s="5">
        <v>46082</v>
      </c>
      <c r="B595" s="3" t="s">
        <v>61</v>
      </c>
      <c r="C595" s="3" t="s">
        <v>51</v>
      </c>
      <c r="D595" s="7">
        <v>652800</v>
      </c>
      <c r="E595" s="9">
        <v>15</v>
      </c>
      <c r="F595" s="9">
        <v>9792000</v>
      </c>
      <c r="G595" s="9">
        <v>3427200</v>
      </c>
      <c r="H595" s="13">
        <f t="shared" si="9"/>
        <v>0.35</v>
      </c>
    </row>
    <row r="596" spans="1:8">
      <c r="A596" s="5">
        <v>46082</v>
      </c>
      <c r="B596" s="3" t="s">
        <v>61</v>
      </c>
      <c r="C596" s="3" t="s">
        <v>52</v>
      </c>
      <c r="D596" s="7">
        <v>729600</v>
      </c>
      <c r="E596" s="9">
        <v>15</v>
      </c>
      <c r="F596" s="9">
        <v>10944000</v>
      </c>
      <c r="G596" s="9">
        <v>3830400</v>
      </c>
      <c r="H596" s="13">
        <f t="shared" si="9"/>
        <v>0.35</v>
      </c>
    </row>
    <row r="597" spans="1:8">
      <c r="A597" s="5">
        <v>46082</v>
      </c>
      <c r="B597" s="3" t="s">
        <v>61</v>
      </c>
      <c r="C597" s="3" t="s">
        <v>53</v>
      </c>
      <c r="D597" s="7">
        <v>422400</v>
      </c>
      <c r="E597" s="9">
        <v>15</v>
      </c>
      <c r="F597" s="9">
        <v>6336000</v>
      </c>
      <c r="G597" s="9">
        <v>2217600</v>
      </c>
      <c r="H597" s="13">
        <f t="shared" si="9"/>
        <v>0.35</v>
      </c>
    </row>
    <row r="598" spans="1:8">
      <c r="A598" s="5">
        <v>46082</v>
      </c>
      <c r="B598" s="3" t="s">
        <v>62</v>
      </c>
      <c r="C598" s="3" t="s">
        <v>50</v>
      </c>
      <c r="D598" s="7">
        <v>864000</v>
      </c>
      <c r="E598" s="9">
        <v>8</v>
      </c>
      <c r="F598" s="9">
        <v>6912000</v>
      </c>
      <c r="G598" s="9">
        <v>1036800</v>
      </c>
      <c r="H598" s="13">
        <f t="shared" si="9"/>
        <v>0.15</v>
      </c>
    </row>
    <row r="599" spans="1:8">
      <c r="A599" s="5">
        <v>46082</v>
      </c>
      <c r="B599" s="3" t="s">
        <v>62</v>
      </c>
      <c r="C599" s="3" t="s">
        <v>51</v>
      </c>
      <c r="D599" s="7">
        <v>734400</v>
      </c>
      <c r="E599" s="9">
        <v>8</v>
      </c>
      <c r="F599" s="9">
        <v>5875200</v>
      </c>
      <c r="G599" s="9">
        <v>881280</v>
      </c>
      <c r="H599" s="13">
        <f t="shared" si="9"/>
        <v>0.15</v>
      </c>
    </row>
    <row r="600" spans="1:8">
      <c r="A600" s="5">
        <v>46082</v>
      </c>
      <c r="B600" s="3" t="s">
        <v>62</v>
      </c>
      <c r="C600" s="3" t="s">
        <v>52</v>
      </c>
      <c r="D600" s="7">
        <v>820800</v>
      </c>
      <c r="E600" s="9">
        <v>8</v>
      </c>
      <c r="F600" s="9">
        <v>6566400</v>
      </c>
      <c r="G600" s="9">
        <v>984960</v>
      </c>
      <c r="H600" s="13">
        <f t="shared" si="9"/>
        <v>0.15</v>
      </c>
    </row>
    <row r="601" spans="1:8">
      <c r="A601" s="5">
        <v>46082</v>
      </c>
      <c r="B601" s="3" t="s">
        <v>62</v>
      </c>
      <c r="C601" s="3" t="s">
        <v>53</v>
      </c>
      <c r="D601" s="7">
        <v>475200</v>
      </c>
      <c r="E601" s="9">
        <v>8</v>
      </c>
      <c r="F601" s="9">
        <v>3801600</v>
      </c>
      <c r="G601" s="9">
        <v>570240</v>
      </c>
      <c r="H601" s="13">
        <f t="shared" si="9"/>
        <v>0.15</v>
      </c>
    </row>
    <row r="602" spans="1:8">
      <c r="A602" s="5">
        <v>46113</v>
      </c>
      <c r="B602" s="3" t="s">
        <v>49</v>
      </c>
      <c r="C602" s="3" t="s">
        <v>50</v>
      </c>
      <c r="D602" s="7">
        <v>237500</v>
      </c>
      <c r="E602" s="9">
        <v>699</v>
      </c>
      <c r="F602" s="9">
        <v>166012500</v>
      </c>
      <c r="G602" s="9">
        <v>102927750</v>
      </c>
      <c r="H602" s="13">
        <f t="shared" si="9"/>
        <v>0.62</v>
      </c>
    </row>
    <row r="603" spans="1:8">
      <c r="A603" s="5">
        <v>46113</v>
      </c>
      <c r="B603" s="3" t="s">
        <v>49</v>
      </c>
      <c r="C603" s="3" t="s">
        <v>51</v>
      </c>
      <c r="D603" s="7">
        <v>201875</v>
      </c>
      <c r="E603" s="9">
        <v>699</v>
      </c>
      <c r="F603" s="9">
        <v>141110625</v>
      </c>
      <c r="G603" s="9">
        <v>87488587.5</v>
      </c>
      <c r="H603" s="13">
        <f t="shared" si="9"/>
        <v>0.62</v>
      </c>
    </row>
    <row r="604" spans="1:8">
      <c r="A604" s="5">
        <v>46113</v>
      </c>
      <c r="B604" s="3" t="s">
        <v>49</v>
      </c>
      <c r="C604" s="3" t="s">
        <v>52</v>
      </c>
      <c r="D604" s="7">
        <v>225625</v>
      </c>
      <c r="E604" s="9">
        <v>699</v>
      </c>
      <c r="F604" s="9">
        <v>157711875</v>
      </c>
      <c r="G604" s="9">
        <v>97781362.5</v>
      </c>
      <c r="H604" s="13">
        <f t="shared" si="9"/>
        <v>0.62</v>
      </c>
    </row>
    <row r="605" spans="1:8">
      <c r="A605" s="5">
        <v>46113</v>
      </c>
      <c r="B605" s="3" t="s">
        <v>49</v>
      </c>
      <c r="C605" s="3" t="s">
        <v>53</v>
      </c>
      <c r="D605" s="7">
        <v>130625</v>
      </c>
      <c r="E605" s="9">
        <v>699</v>
      </c>
      <c r="F605" s="9">
        <v>91306875</v>
      </c>
      <c r="G605" s="9">
        <v>56610262.5</v>
      </c>
      <c r="H605" s="13">
        <f t="shared" si="9"/>
        <v>0.62</v>
      </c>
    </row>
    <row r="606" spans="1:8">
      <c r="A606" s="5">
        <v>46113</v>
      </c>
      <c r="B606" s="3" t="s">
        <v>54</v>
      </c>
      <c r="C606" s="3" t="s">
        <v>50</v>
      </c>
      <c r="D606" s="7">
        <v>114000</v>
      </c>
      <c r="E606" s="9">
        <v>999</v>
      </c>
      <c r="F606" s="9">
        <v>113886000</v>
      </c>
      <c r="G606" s="9">
        <v>66053880</v>
      </c>
      <c r="H606" s="13">
        <f t="shared" si="9"/>
        <v>0.57999999999999996</v>
      </c>
    </row>
    <row r="607" spans="1:8">
      <c r="A607" s="5">
        <v>46113</v>
      </c>
      <c r="B607" s="3" t="s">
        <v>54</v>
      </c>
      <c r="C607" s="3" t="s">
        <v>51</v>
      </c>
      <c r="D607" s="7">
        <v>96900</v>
      </c>
      <c r="E607" s="9">
        <v>999</v>
      </c>
      <c r="F607" s="9">
        <v>96803100</v>
      </c>
      <c r="G607" s="9">
        <v>56145798</v>
      </c>
      <c r="H607" s="13">
        <f t="shared" si="9"/>
        <v>0.57999999999999996</v>
      </c>
    </row>
    <row r="608" spans="1:8">
      <c r="A608" s="5">
        <v>46113</v>
      </c>
      <c r="B608" s="3" t="s">
        <v>54</v>
      </c>
      <c r="C608" s="3" t="s">
        <v>52</v>
      </c>
      <c r="D608" s="7">
        <v>108300</v>
      </c>
      <c r="E608" s="9">
        <v>999</v>
      </c>
      <c r="F608" s="9">
        <v>108191700</v>
      </c>
      <c r="G608" s="9">
        <v>62751186</v>
      </c>
      <c r="H608" s="13">
        <f t="shared" si="9"/>
        <v>0.57999999999999996</v>
      </c>
    </row>
    <row r="609" spans="1:8">
      <c r="A609" s="5">
        <v>46113</v>
      </c>
      <c r="B609" s="3" t="s">
        <v>54</v>
      </c>
      <c r="C609" s="3" t="s">
        <v>53</v>
      </c>
      <c r="D609" s="7">
        <v>62700</v>
      </c>
      <c r="E609" s="9">
        <v>999</v>
      </c>
      <c r="F609" s="9">
        <v>62637300</v>
      </c>
      <c r="G609" s="9">
        <v>36329634</v>
      </c>
      <c r="H609" s="13">
        <f t="shared" si="9"/>
        <v>0.57999999999999996</v>
      </c>
    </row>
    <row r="610" spans="1:8">
      <c r="A610" s="5">
        <v>46113</v>
      </c>
      <c r="B610" s="3" t="s">
        <v>55</v>
      </c>
      <c r="C610" s="3" t="s">
        <v>50</v>
      </c>
      <c r="D610" s="7">
        <v>133000</v>
      </c>
      <c r="E610" s="9">
        <v>549</v>
      </c>
      <c r="F610" s="9">
        <v>73017000</v>
      </c>
      <c r="G610" s="9">
        <v>43810200</v>
      </c>
      <c r="H610" s="13">
        <f t="shared" si="9"/>
        <v>0.6</v>
      </c>
    </row>
    <row r="611" spans="1:8">
      <c r="A611" s="5">
        <v>46113</v>
      </c>
      <c r="B611" s="3" t="s">
        <v>55</v>
      </c>
      <c r="C611" s="3" t="s">
        <v>51</v>
      </c>
      <c r="D611" s="7">
        <v>113050</v>
      </c>
      <c r="E611" s="9">
        <v>549</v>
      </c>
      <c r="F611" s="9">
        <v>62064450</v>
      </c>
      <c r="G611" s="9">
        <v>37238670</v>
      </c>
      <c r="H611" s="13">
        <f t="shared" si="9"/>
        <v>0.6</v>
      </c>
    </row>
    <row r="612" spans="1:8">
      <c r="A612" s="5">
        <v>46113</v>
      </c>
      <c r="B612" s="3" t="s">
        <v>55</v>
      </c>
      <c r="C612" s="3" t="s">
        <v>52</v>
      </c>
      <c r="D612" s="7">
        <v>126350</v>
      </c>
      <c r="E612" s="9">
        <v>549</v>
      </c>
      <c r="F612" s="9">
        <v>69366150</v>
      </c>
      <c r="G612" s="9">
        <v>41619690</v>
      </c>
      <c r="H612" s="13">
        <f t="shared" si="9"/>
        <v>0.6</v>
      </c>
    </row>
    <row r="613" spans="1:8">
      <c r="A613" s="5">
        <v>46113</v>
      </c>
      <c r="B613" s="3" t="s">
        <v>55</v>
      </c>
      <c r="C613" s="3" t="s">
        <v>53</v>
      </c>
      <c r="D613" s="7">
        <v>73150</v>
      </c>
      <c r="E613" s="9">
        <v>549</v>
      </c>
      <c r="F613" s="9">
        <v>40159350</v>
      </c>
      <c r="G613" s="9">
        <v>24095610</v>
      </c>
      <c r="H613" s="13">
        <f t="shared" si="9"/>
        <v>0.6</v>
      </c>
    </row>
    <row r="614" spans="1:8">
      <c r="A614" s="5">
        <v>46113</v>
      </c>
      <c r="B614" s="3" t="s">
        <v>56</v>
      </c>
      <c r="C614" s="3" t="s">
        <v>50</v>
      </c>
      <c r="D614" s="7">
        <v>66500</v>
      </c>
      <c r="E614" s="9">
        <v>1199</v>
      </c>
      <c r="F614" s="9">
        <v>79733500</v>
      </c>
      <c r="G614" s="9">
        <v>43853425</v>
      </c>
      <c r="H614" s="13">
        <f t="shared" si="9"/>
        <v>0.55000000000000004</v>
      </c>
    </row>
    <row r="615" spans="1:8">
      <c r="A615" s="5">
        <v>46113</v>
      </c>
      <c r="B615" s="3" t="s">
        <v>56</v>
      </c>
      <c r="C615" s="3" t="s">
        <v>51</v>
      </c>
      <c r="D615" s="7">
        <v>56525</v>
      </c>
      <c r="E615" s="9">
        <v>1199</v>
      </c>
      <c r="F615" s="9">
        <v>67773475</v>
      </c>
      <c r="G615" s="9">
        <v>37275411.25</v>
      </c>
      <c r="H615" s="13">
        <f t="shared" si="9"/>
        <v>0.55000000000000004</v>
      </c>
    </row>
    <row r="616" spans="1:8">
      <c r="A616" s="5">
        <v>46113</v>
      </c>
      <c r="B616" s="3" t="s">
        <v>56</v>
      </c>
      <c r="C616" s="3" t="s">
        <v>52</v>
      </c>
      <c r="D616" s="7">
        <v>63175</v>
      </c>
      <c r="E616" s="9">
        <v>1199</v>
      </c>
      <c r="F616" s="9">
        <v>75746825</v>
      </c>
      <c r="G616" s="9">
        <v>41660753.75</v>
      </c>
      <c r="H616" s="13">
        <f t="shared" si="9"/>
        <v>0.55000000000000004</v>
      </c>
    </row>
    <row r="617" spans="1:8">
      <c r="A617" s="5">
        <v>46113</v>
      </c>
      <c r="B617" s="3" t="s">
        <v>56</v>
      </c>
      <c r="C617" s="3" t="s">
        <v>53</v>
      </c>
      <c r="D617" s="7">
        <v>36575</v>
      </c>
      <c r="E617" s="9">
        <v>1199</v>
      </c>
      <c r="F617" s="9">
        <v>43853425</v>
      </c>
      <c r="G617" s="9">
        <v>24119383.75</v>
      </c>
      <c r="H617" s="13">
        <f t="shared" si="9"/>
        <v>0.55000000000000004</v>
      </c>
    </row>
    <row r="618" spans="1:8">
      <c r="A618" s="5">
        <v>46113</v>
      </c>
      <c r="B618" s="3" t="s">
        <v>57</v>
      </c>
      <c r="C618" s="3" t="s">
        <v>50</v>
      </c>
      <c r="D618" s="7">
        <v>171000</v>
      </c>
      <c r="E618" s="9">
        <v>299</v>
      </c>
      <c r="F618" s="9">
        <v>51129000</v>
      </c>
      <c r="G618" s="9">
        <v>25564500</v>
      </c>
      <c r="H618" s="13">
        <f t="shared" si="9"/>
        <v>0.5</v>
      </c>
    </row>
    <row r="619" spans="1:8">
      <c r="A619" s="5">
        <v>46113</v>
      </c>
      <c r="B619" s="3" t="s">
        <v>57</v>
      </c>
      <c r="C619" s="3" t="s">
        <v>51</v>
      </c>
      <c r="D619" s="7">
        <v>145350</v>
      </c>
      <c r="E619" s="9">
        <v>299</v>
      </c>
      <c r="F619" s="9">
        <v>43459650</v>
      </c>
      <c r="G619" s="9">
        <v>21729825</v>
      </c>
      <c r="H619" s="13">
        <f t="shared" si="9"/>
        <v>0.5</v>
      </c>
    </row>
    <row r="620" spans="1:8">
      <c r="A620" s="5">
        <v>46113</v>
      </c>
      <c r="B620" s="3" t="s">
        <v>57</v>
      </c>
      <c r="C620" s="3" t="s">
        <v>52</v>
      </c>
      <c r="D620" s="7">
        <v>162450</v>
      </c>
      <c r="E620" s="9">
        <v>299</v>
      </c>
      <c r="F620" s="9">
        <v>48572550</v>
      </c>
      <c r="G620" s="9">
        <v>24286275</v>
      </c>
      <c r="H620" s="13">
        <f t="shared" si="9"/>
        <v>0.5</v>
      </c>
    </row>
    <row r="621" spans="1:8">
      <c r="A621" s="5">
        <v>46113</v>
      </c>
      <c r="B621" s="3" t="s">
        <v>57</v>
      </c>
      <c r="C621" s="3" t="s">
        <v>53</v>
      </c>
      <c r="D621" s="7">
        <v>94050</v>
      </c>
      <c r="E621" s="9">
        <v>299</v>
      </c>
      <c r="F621" s="9">
        <v>28120950</v>
      </c>
      <c r="G621" s="9">
        <v>14060475</v>
      </c>
      <c r="H621" s="13">
        <f t="shared" si="9"/>
        <v>0.5</v>
      </c>
    </row>
    <row r="622" spans="1:8">
      <c r="A622" s="5">
        <v>46113</v>
      </c>
      <c r="B622" s="3" t="s">
        <v>58</v>
      </c>
      <c r="C622" s="3" t="s">
        <v>50</v>
      </c>
      <c r="D622" s="7">
        <v>570000</v>
      </c>
      <c r="E622" s="9">
        <v>39</v>
      </c>
      <c r="F622" s="9">
        <v>22230000</v>
      </c>
      <c r="G622" s="9">
        <v>5557500</v>
      </c>
      <c r="H622" s="13">
        <f t="shared" si="9"/>
        <v>0.25</v>
      </c>
    </row>
    <row r="623" spans="1:8">
      <c r="A623" s="5">
        <v>46113</v>
      </c>
      <c r="B623" s="3" t="s">
        <v>58</v>
      </c>
      <c r="C623" s="3" t="s">
        <v>51</v>
      </c>
      <c r="D623" s="7">
        <v>484500</v>
      </c>
      <c r="E623" s="9">
        <v>39</v>
      </c>
      <c r="F623" s="9">
        <v>18895500</v>
      </c>
      <c r="G623" s="9">
        <v>4723875</v>
      </c>
      <c r="H623" s="13">
        <f t="shared" si="9"/>
        <v>0.25</v>
      </c>
    </row>
    <row r="624" spans="1:8">
      <c r="A624" s="5">
        <v>46113</v>
      </c>
      <c r="B624" s="3" t="s">
        <v>58</v>
      </c>
      <c r="C624" s="3" t="s">
        <v>52</v>
      </c>
      <c r="D624" s="7">
        <v>541500</v>
      </c>
      <c r="E624" s="9">
        <v>39</v>
      </c>
      <c r="F624" s="9">
        <v>21118500</v>
      </c>
      <c r="G624" s="9">
        <v>5279625</v>
      </c>
      <c r="H624" s="13">
        <f t="shared" si="9"/>
        <v>0.25</v>
      </c>
    </row>
    <row r="625" spans="1:8">
      <c r="A625" s="5">
        <v>46113</v>
      </c>
      <c r="B625" s="3" t="s">
        <v>58</v>
      </c>
      <c r="C625" s="3" t="s">
        <v>53</v>
      </c>
      <c r="D625" s="7">
        <v>313500</v>
      </c>
      <c r="E625" s="9">
        <v>39</v>
      </c>
      <c r="F625" s="9">
        <v>12226500</v>
      </c>
      <c r="G625" s="9">
        <v>3056625</v>
      </c>
      <c r="H625" s="13">
        <f t="shared" si="9"/>
        <v>0.25</v>
      </c>
    </row>
    <row r="626" spans="1:8">
      <c r="A626" s="5">
        <v>46113</v>
      </c>
      <c r="B626" s="3" t="s">
        <v>59</v>
      </c>
      <c r="C626" s="3" t="s">
        <v>50</v>
      </c>
      <c r="D626" s="7">
        <v>380000</v>
      </c>
      <c r="E626" s="9">
        <v>24</v>
      </c>
      <c r="F626" s="9">
        <v>9120000</v>
      </c>
      <c r="G626" s="9">
        <v>1824000</v>
      </c>
      <c r="H626" s="13">
        <f t="shared" si="9"/>
        <v>0.2</v>
      </c>
    </row>
    <row r="627" spans="1:8">
      <c r="A627" s="5">
        <v>46113</v>
      </c>
      <c r="B627" s="3" t="s">
        <v>59</v>
      </c>
      <c r="C627" s="3" t="s">
        <v>51</v>
      </c>
      <c r="D627" s="7">
        <v>323000</v>
      </c>
      <c r="E627" s="9">
        <v>24</v>
      </c>
      <c r="F627" s="9">
        <v>7752000</v>
      </c>
      <c r="G627" s="9">
        <v>1550400</v>
      </c>
      <c r="H627" s="13">
        <f t="shared" si="9"/>
        <v>0.2</v>
      </c>
    </row>
    <row r="628" spans="1:8">
      <c r="A628" s="5">
        <v>46113</v>
      </c>
      <c r="B628" s="3" t="s">
        <v>59</v>
      </c>
      <c r="C628" s="3" t="s">
        <v>52</v>
      </c>
      <c r="D628" s="7">
        <v>361000</v>
      </c>
      <c r="E628" s="9">
        <v>24</v>
      </c>
      <c r="F628" s="9">
        <v>8664000</v>
      </c>
      <c r="G628" s="9">
        <v>1732800</v>
      </c>
      <c r="H628" s="13">
        <f t="shared" si="9"/>
        <v>0.2</v>
      </c>
    </row>
    <row r="629" spans="1:8">
      <c r="A629" s="5">
        <v>46113</v>
      </c>
      <c r="B629" s="3" t="s">
        <v>59</v>
      </c>
      <c r="C629" s="3" t="s">
        <v>53</v>
      </c>
      <c r="D629" s="7">
        <v>209000</v>
      </c>
      <c r="E629" s="9">
        <v>24</v>
      </c>
      <c r="F629" s="9">
        <v>5016000</v>
      </c>
      <c r="G629" s="9">
        <v>1003200</v>
      </c>
      <c r="H629" s="13">
        <f t="shared" si="9"/>
        <v>0.2</v>
      </c>
    </row>
    <row r="630" spans="1:8">
      <c r="A630" s="5">
        <v>46113</v>
      </c>
      <c r="B630" s="3" t="s">
        <v>60</v>
      </c>
      <c r="C630" s="3" t="s">
        <v>50</v>
      </c>
      <c r="D630" s="7">
        <v>1140000</v>
      </c>
      <c r="E630" s="9">
        <v>12</v>
      </c>
      <c r="F630" s="9">
        <v>13680000</v>
      </c>
      <c r="G630" s="9">
        <v>4104000</v>
      </c>
      <c r="H630" s="13">
        <f t="shared" si="9"/>
        <v>0.3</v>
      </c>
    </row>
    <row r="631" spans="1:8">
      <c r="A631" s="5">
        <v>46113</v>
      </c>
      <c r="B631" s="3" t="s">
        <v>60</v>
      </c>
      <c r="C631" s="3" t="s">
        <v>51</v>
      </c>
      <c r="D631" s="7">
        <v>969000</v>
      </c>
      <c r="E631" s="9">
        <v>12</v>
      </c>
      <c r="F631" s="9">
        <v>11628000</v>
      </c>
      <c r="G631" s="9">
        <v>3488400</v>
      </c>
      <c r="H631" s="13">
        <f t="shared" si="9"/>
        <v>0.3</v>
      </c>
    </row>
    <row r="632" spans="1:8">
      <c r="A632" s="5">
        <v>46113</v>
      </c>
      <c r="B632" s="3" t="s">
        <v>60</v>
      </c>
      <c r="C632" s="3" t="s">
        <v>52</v>
      </c>
      <c r="D632" s="7">
        <v>1083000</v>
      </c>
      <c r="E632" s="9">
        <v>12</v>
      </c>
      <c r="F632" s="9">
        <v>12996000</v>
      </c>
      <c r="G632" s="9">
        <v>3898800</v>
      </c>
      <c r="H632" s="13">
        <f t="shared" si="9"/>
        <v>0.3</v>
      </c>
    </row>
    <row r="633" spans="1:8">
      <c r="A633" s="5">
        <v>46113</v>
      </c>
      <c r="B633" s="3" t="s">
        <v>60</v>
      </c>
      <c r="C633" s="3" t="s">
        <v>53</v>
      </c>
      <c r="D633" s="7">
        <v>627000</v>
      </c>
      <c r="E633" s="9">
        <v>12</v>
      </c>
      <c r="F633" s="9">
        <v>7524000</v>
      </c>
      <c r="G633" s="9">
        <v>2257200</v>
      </c>
      <c r="H633" s="13">
        <f t="shared" si="9"/>
        <v>0.3</v>
      </c>
    </row>
    <row r="634" spans="1:8">
      <c r="A634" s="5">
        <v>46113</v>
      </c>
      <c r="B634" s="3" t="s">
        <v>61</v>
      </c>
      <c r="C634" s="3" t="s">
        <v>50</v>
      </c>
      <c r="D634" s="7">
        <v>760000</v>
      </c>
      <c r="E634" s="9">
        <v>15</v>
      </c>
      <c r="F634" s="9">
        <v>11400000</v>
      </c>
      <c r="G634" s="9">
        <v>3990000</v>
      </c>
      <c r="H634" s="13">
        <f t="shared" si="9"/>
        <v>0.35</v>
      </c>
    </row>
    <row r="635" spans="1:8">
      <c r="A635" s="5">
        <v>46113</v>
      </c>
      <c r="B635" s="3" t="s">
        <v>61</v>
      </c>
      <c r="C635" s="3" t="s">
        <v>51</v>
      </c>
      <c r="D635" s="7">
        <v>646000</v>
      </c>
      <c r="E635" s="9">
        <v>15</v>
      </c>
      <c r="F635" s="9">
        <v>9690000</v>
      </c>
      <c r="G635" s="9">
        <v>3391500</v>
      </c>
      <c r="H635" s="13">
        <f t="shared" si="9"/>
        <v>0.35</v>
      </c>
    </row>
    <row r="636" spans="1:8">
      <c r="A636" s="5">
        <v>46113</v>
      </c>
      <c r="B636" s="3" t="s">
        <v>61</v>
      </c>
      <c r="C636" s="3" t="s">
        <v>52</v>
      </c>
      <c r="D636" s="7">
        <v>722000</v>
      </c>
      <c r="E636" s="9">
        <v>15</v>
      </c>
      <c r="F636" s="9">
        <v>10830000</v>
      </c>
      <c r="G636" s="9">
        <v>3790500</v>
      </c>
      <c r="H636" s="13">
        <f t="shared" si="9"/>
        <v>0.35</v>
      </c>
    </row>
    <row r="637" spans="1:8">
      <c r="A637" s="5">
        <v>46113</v>
      </c>
      <c r="B637" s="3" t="s">
        <v>61</v>
      </c>
      <c r="C637" s="3" t="s">
        <v>53</v>
      </c>
      <c r="D637" s="7">
        <v>418000</v>
      </c>
      <c r="E637" s="9">
        <v>15</v>
      </c>
      <c r="F637" s="9">
        <v>6270000</v>
      </c>
      <c r="G637" s="9">
        <v>2194500</v>
      </c>
      <c r="H637" s="13">
        <f t="shared" si="9"/>
        <v>0.35</v>
      </c>
    </row>
    <row r="638" spans="1:8">
      <c r="A638" s="5">
        <v>46113</v>
      </c>
      <c r="B638" s="3" t="s">
        <v>62</v>
      </c>
      <c r="C638" s="3" t="s">
        <v>50</v>
      </c>
      <c r="D638" s="7">
        <v>855000</v>
      </c>
      <c r="E638" s="9">
        <v>8</v>
      </c>
      <c r="F638" s="9">
        <v>6840000</v>
      </c>
      <c r="G638" s="9">
        <v>1026000</v>
      </c>
      <c r="H638" s="13">
        <f t="shared" si="9"/>
        <v>0.15</v>
      </c>
    </row>
    <row r="639" spans="1:8">
      <c r="A639" s="5">
        <v>46113</v>
      </c>
      <c r="B639" s="3" t="s">
        <v>62</v>
      </c>
      <c r="C639" s="3" t="s">
        <v>51</v>
      </c>
      <c r="D639" s="7">
        <v>726750</v>
      </c>
      <c r="E639" s="9">
        <v>8</v>
      </c>
      <c r="F639" s="9">
        <v>5814000</v>
      </c>
      <c r="G639" s="9">
        <v>872100</v>
      </c>
      <c r="H639" s="13">
        <f t="shared" si="9"/>
        <v>0.15</v>
      </c>
    </row>
    <row r="640" spans="1:8">
      <c r="A640" s="5">
        <v>46113</v>
      </c>
      <c r="B640" s="3" t="s">
        <v>62</v>
      </c>
      <c r="C640" s="3" t="s">
        <v>52</v>
      </c>
      <c r="D640" s="7">
        <v>812250</v>
      </c>
      <c r="E640" s="9">
        <v>8</v>
      </c>
      <c r="F640" s="9">
        <v>6498000</v>
      </c>
      <c r="G640" s="9">
        <v>974700</v>
      </c>
      <c r="H640" s="13">
        <f t="shared" si="9"/>
        <v>0.15</v>
      </c>
    </row>
    <row r="641" spans="1:8">
      <c r="A641" s="5">
        <v>46113</v>
      </c>
      <c r="B641" s="3" t="s">
        <v>62</v>
      </c>
      <c r="C641" s="3" t="s">
        <v>53</v>
      </c>
      <c r="D641" s="7">
        <v>470250</v>
      </c>
      <c r="E641" s="9">
        <v>8</v>
      </c>
      <c r="F641" s="9">
        <v>3762000</v>
      </c>
      <c r="G641" s="9">
        <v>564300</v>
      </c>
      <c r="H641" s="13">
        <f t="shared" si="9"/>
        <v>0.15</v>
      </c>
    </row>
    <row r="642" spans="1:8">
      <c r="A642" s="5">
        <v>46143</v>
      </c>
      <c r="B642" s="3" t="s">
        <v>49</v>
      </c>
      <c r="C642" s="3" t="s">
        <v>50</v>
      </c>
      <c r="D642" s="7">
        <v>250000</v>
      </c>
      <c r="E642" s="9">
        <v>699</v>
      </c>
      <c r="F642" s="9">
        <v>174750000</v>
      </c>
      <c r="G642" s="9">
        <v>108345000</v>
      </c>
      <c r="H642" s="13">
        <f t="shared" ref="H642:H705" si="10">G642/F642</f>
        <v>0.62</v>
      </c>
    </row>
    <row r="643" spans="1:8">
      <c r="A643" s="5">
        <v>46143</v>
      </c>
      <c r="B643" s="3" t="s">
        <v>49</v>
      </c>
      <c r="C643" s="3" t="s">
        <v>51</v>
      </c>
      <c r="D643" s="7">
        <v>212500</v>
      </c>
      <c r="E643" s="9">
        <v>699</v>
      </c>
      <c r="F643" s="9">
        <v>148537500</v>
      </c>
      <c r="G643" s="9">
        <v>92093250</v>
      </c>
      <c r="H643" s="13">
        <f t="shared" si="10"/>
        <v>0.62</v>
      </c>
    </row>
    <row r="644" spans="1:8">
      <c r="A644" s="5">
        <v>46143</v>
      </c>
      <c r="B644" s="3" t="s">
        <v>49</v>
      </c>
      <c r="C644" s="3" t="s">
        <v>52</v>
      </c>
      <c r="D644" s="7">
        <v>237500</v>
      </c>
      <c r="E644" s="9">
        <v>699</v>
      </c>
      <c r="F644" s="9">
        <v>166012500</v>
      </c>
      <c r="G644" s="9">
        <v>102927750</v>
      </c>
      <c r="H644" s="13">
        <f t="shared" si="10"/>
        <v>0.62</v>
      </c>
    </row>
    <row r="645" spans="1:8">
      <c r="A645" s="5">
        <v>46143</v>
      </c>
      <c r="B645" s="3" t="s">
        <v>49</v>
      </c>
      <c r="C645" s="3" t="s">
        <v>53</v>
      </c>
      <c r="D645" s="7">
        <v>137500</v>
      </c>
      <c r="E645" s="9">
        <v>699</v>
      </c>
      <c r="F645" s="9">
        <v>96112500</v>
      </c>
      <c r="G645" s="9">
        <v>59589750</v>
      </c>
      <c r="H645" s="13">
        <f t="shared" si="10"/>
        <v>0.62</v>
      </c>
    </row>
    <row r="646" spans="1:8">
      <c r="A646" s="5">
        <v>46143</v>
      </c>
      <c r="B646" s="3" t="s">
        <v>54</v>
      </c>
      <c r="C646" s="3" t="s">
        <v>50</v>
      </c>
      <c r="D646" s="7">
        <v>120000</v>
      </c>
      <c r="E646" s="9">
        <v>999</v>
      </c>
      <c r="F646" s="9">
        <v>119880000</v>
      </c>
      <c r="G646" s="9">
        <v>69530400</v>
      </c>
      <c r="H646" s="13">
        <f t="shared" si="10"/>
        <v>0.57999999999999996</v>
      </c>
    </row>
    <row r="647" spans="1:8">
      <c r="A647" s="5">
        <v>46143</v>
      </c>
      <c r="B647" s="3" t="s">
        <v>54</v>
      </c>
      <c r="C647" s="3" t="s">
        <v>51</v>
      </c>
      <c r="D647" s="7">
        <v>102000</v>
      </c>
      <c r="E647" s="9">
        <v>999</v>
      </c>
      <c r="F647" s="9">
        <v>101898000</v>
      </c>
      <c r="G647" s="9">
        <v>59100840</v>
      </c>
      <c r="H647" s="13">
        <f t="shared" si="10"/>
        <v>0.57999999999999996</v>
      </c>
    </row>
    <row r="648" spans="1:8">
      <c r="A648" s="5">
        <v>46143</v>
      </c>
      <c r="B648" s="3" t="s">
        <v>54</v>
      </c>
      <c r="C648" s="3" t="s">
        <v>52</v>
      </c>
      <c r="D648" s="7">
        <v>114000</v>
      </c>
      <c r="E648" s="9">
        <v>999</v>
      </c>
      <c r="F648" s="9">
        <v>113886000</v>
      </c>
      <c r="G648" s="9">
        <v>66053880</v>
      </c>
      <c r="H648" s="13">
        <f t="shared" si="10"/>
        <v>0.57999999999999996</v>
      </c>
    </row>
    <row r="649" spans="1:8">
      <c r="A649" s="5">
        <v>46143</v>
      </c>
      <c r="B649" s="3" t="s">
        <v>54</v>
      </c>
      <c r="C649" s="3" t="s">
        <v>53</v>
      </c>
      <c r="D649" s="7">
        <v>66000</v>
      </c>
      <c r="E649" s="9">
        <v>999</v>
      </c>
      <c r="F649" s="9">
        <v>65934000</v>
      </c>
      <c r="G649" s="9">
        <v>38241720</v>
      </c>
      <c r="H649" s="13">
        <f t="shared" si="10"/>
        <v>0.57999999999999996</v>
      </c>
    </row>
    <row r="650" spans="1:8">
      <c r="A650" s="5">
        <v>46143</v>
      </c>
      <c r="B650" s="3" t="s">
        <v>55</v>
      </c>
      <c r="C650" s="3" t="s">
        <v>50</v>
      </c>
      <c r="D650" s="7">
        <v>140000</v>
      </c>
      <c r="E650" s="9">
        <v>549</v>
      </c>
      <c r="F650" s="9">
        <v>76860000</v>
      </c>
      <c r="G650" s="9">
        <v>46116000</v>
      </c>
      <c r="H650" s="13">
        <f t="shared" si="10"/>
        <v>0.6</v>
      </c>
    </row>
    <row r="651" spans="1:8">
      <c r="A651" s="5">
        <v>46143</v>
      </c>
      <c r="B651" s="3" t="s">
        <v>55</v>
      </c>
      <c r="C651" s="3" t="s">
        <v>51</v>
      </c>
      <c r="D651" s="7">
        <v>119000</v>
      </c>
      <c r="E651" s="9">
        <v>549</v>
      </c>
      <c r="F651" s="9">
        <v>65331000</v>
      </c>
      <c r="G651" s="9">
        <v>39198600</v>
      </c>
      <c r="H651" s="13">
        <f t="shared" si="10"/>
        <v>0.6</v>
      </c>
    </row>
    <row r="652" spans="1:8">
      <c r="A652" s="5">
        <v>46143</v>
      </c>
      <c r="B652" s="3" t="s">
        <v>55</v>
      </c>
      <c r="C652" s="3" t="s">
        <v>52</v>
      </c>
      <c r="D652" s="7">
        <v>133000</v>
      </c>
      <c r="E652" s="9">
        <v>549</v>
      </c>
      <c r="F652" s="9">
        <v>73017000</v>
      </c>
      <c r="G652" s="9">
        <v>43810200</v>
      </c>
      <c r="H652" s="13">
        <f t="shared" si="10"/>
        <v>0.6</v>
      </c>
    </row>
    <row r="653" spans="1:8">
      <c r="A653" s="5">
        <v>46143</v>
      </c>
      <c r="B653" s="3" t="s">
        <v>55</v>
      </c>
      <c r="C653" s="3" t="s">
        <v>53</v>
      </c>
      <c r="D653" s="7">
        <v>77000</v>
      </c>
      <c r="E653" s="9">
        <v>549</v>
      </c>
      <c r="F653" s="9">
        <v>42273000</v>
      </c>
      <c r="G653" s="9">
        <v>25363800</v>
      </c>
      <c r="H653" s="13">
        <f t="shared" si="10"/>
        <v>0.6</v>
      </c>
    </row>
    <row r="654" spans="1:8">
      <c r="A654" s="5">
        <v>46143</v>
      </c>
      <c r="B654" s="3" t="s">
        <v>56</v>
      </c>
      <c r="C654" s="3" t="s">
        <v>50</v>
      </c>
      <c r="D654" s="7">
        <v>70000</v>
      </c>
      <c r="E654" s="9">
        <v>1199</v>
      </c>
      <c r="F654" s="9">
        <v>83930000</v>
      </c>
      <c r="G654" s="9">
        <v>46161500</v>
      </c>
      <c r="H654" s="13">
        <f t="shared" si="10"/>
        <v>0.55000000000000004</v>
      </c>
    </row>
    <row r="655" spans="1:8">
      <c r="A655" s="5">
        <v>46143</v>
      </c>
      <c r="B655" s="3" t="s">
        <v>56</v>
      </c>
      <c r="C655" s="3" t="s">
        <v>51</v>
      </c>
      <c r="D655" s="7">
        <v>59500</v>
      </c>
      <c r="E655" s="9">
        <v>1199</v>
      </c>
      <c r="F655" s="9">
        <v>71340500</v>
      </c>
      <c r="G655" s="9">
        <v>39237275</v>
      </c>
      <c r="H655" s="13">
        <f t="shared" si="10"/>
        <v>0.55000000000000004</v>
      </c>
    </row>
    <row r="656" spans="1:8">
      <c r="A656" s="5">
        <v>46143</v>
      </c>
      <c r="B656" s="3" t="s">
        <v>56</v>
      </c>
      <c r="C656" s="3" t="s">
        <v>52</v>
      </c>
      <c r="D656" s="7">
        <v>66500</v>
      </c>
      <c r="E656" s="9">
        <v>1199</v>
      </c>
      <c r="F656" s="9">
        <v>79733500</v>
      </c>
      <c r="G656" s="9">
        <v>43853425</v>
      </c>
      <c r="H656" s="13">
        <f t="shared" si="10"/>
        <v>0.55000000000000004</v>
      </c>
    </row>
    <row r="657" spans="1:8">
      <c r="A657" s="5">
        <v>46143</v>
      </c>
      <c r="B657" s="3" t="s">
        <v>56</v>
      </c>
      <c r="C657" s="3" t="s">
        <v>53</v>
      </c>
      <c r="D657" s="7">
        <v>38500</v>
      </c>
      <c r="E657" s="9">
        <v>1199</v>
      </c>
      <c r="F657" s="9">
        <v>46161500</v>
      </c>
      <c r="G657" s="9">
        <v>25388825</v>
      </c>
      <c r="H657" s="13">
        <f t="shared" si="10"/>
        <v>0.55000000000000004</v>
      </c>
    </row>
    <row r="658" spans="1:8">
      <c r="A658" s="5">
        <v>46143</v>
      </c>
      <c r="B658" s="3" t="s">
        <v>57</v>
      </c>
      <c r="C658" s="3" t="s">
        <v>50</v>
      </c>
      <c r="D658" s="7">
        <v>180000</v>
      </c>
      <c r="E658" s="9">
        <v>299</v>
      </c>
      <c r="F658" s="9">
        <v>53820000</v>
      </c>
      <c r="G658" s="9">
        <v>26910000</v>
      </c>
      <c r="H658" s="13">
        <f t="shared" si="10"/>
        <v>0.5</v>
      </c>
    </row>
    <row r="659" spans="1:8">
      <c r="A659" s="5">
        <v>46143</v>
      </c>
      <c r="B659" s="3" t="s">
        <v>57</v>
      </c>
      <c r="C659" s="3" t="s">
        <v>51</v>
      </c>
      <c r="D659" s="7">
        <v>153000</v>
      </c>
      <c r="E659" s="9">
        <v>299</v>
      </c>
      <c r="F659" s="9">
        <v>45747000</v>
      </c>
      <c r="G659" s="9">
        <v>22873500</v>
      </c>
      <c r="H659" s="13">
        <f t="shared" si="10"/>
        <v>0.5</v>
      </c>
    </row>
    <row r="660" spans="1:8">
      <c r="A660" s="5">
        <v>46143</v>
      </c>
      <c r="B660" s="3" t="s">
        <v>57</v>
      </c>
      <c r="C660" s="3" t="s">
        <v>52</v>
      </c>
      <c r="D660" s="7">
        <v>171000</v>
      </c>
      <c r="E660" s="9">
        <v>299</v>
      </c>
      <c r="F660" s="9">
        <v>51129000</v>
      </c>
      <c r="G660" s="9">
        <v>25564500</v>
      </c>
      <c r="H660" s="13">
        <f t="shared" si="10"/>
        <v>0.5</v>
      </c>
    </row>
    <row r="661" spans="1:8">
      <c r="A661" s="5">
        <v>46143</v>
      </c>
      <c r="B661" s="3" t="s">
        <v>57</v>
      </c>
      <c r="C661" s="3" t="s">
        <v>53</v>
      </c>
      <c r="D661" s="7">
        <v>99000</v>
      </c>
      <c r="E661" s="9">
        <v>299</v>
      </c>
      <c r="F661" s="9">
        <v>29601000</v>
      </c>
      <c r="G661" s="9">
        <v>14800500</v>
      </c>
      <c r="H661" s="13">
        <f t="shared" si="10"/>
        <v>0.5</v>
      </c>
    </row>
    <row r="662" spans="1:8">
      <c r="A662" s="5">
        <v>46143</v>
      </c>
      <c r="B662" s="3" t="s">
        <v>58</v>
      </c>
      <c r="C662" s="3" t="s">
        <v>50</v>
      </c>
      <c r="D662" s="7">
        <v>600000</v>
      </c>
      <c r="E662" s="9">
        <v>39</v>
      </c>
      <c r="F662" s="9">
        <v>23400000</v>
      </c>
      <c r="G662" s="9">
        <v>5850000</v>
      </c>
      <c r="H662" s="13">
        <f t="shared" si="10"/>
        <v>0.25</v>
      </c>
    </row>
    <row r="663" spans="1:8">
      <c r="A663" s="5">
        <v>46143</v>
      </c>
      <c r="B663" s="3" t="s">
        <v>58</v>
      </c>
      <c r="C663" s="3" t="s">
        <v>51</v>
      </c>
      <c r="D663" s="7">
        <v>510000</v>
      </c>
      <c r="E663" s="9">
        <v>39</v>
      </c>
      <c r="F663" s="9">
        <v>19890000</v>
      </c>
      <c r="G663" s="9">
        <v>4972500</v>
      </c>
      <c r="H663" s="13">
        <f t="shared" si="10"/>
        <v>0.25</v>
      </c>
    </row>
    <row r="664" spans="1:8">
      <c r="A664" s="5">
        <v>46143</v>
      </c>
      <c r="B664" s="3" t="s">
        <v>58</v>
      </c>
      <c r="C664" s="3" t="s">
        <v>52</v>
      </c>
      <c r="D664" s="7">
        <v>570000</v>
      </c>
      <c r="E664" s="9">
        <v>39</v>
      </c>
      <c r="F664" s="9">
        <v>22230000</v>
      </c>
      <c r="G664" s="9">
        <v>5557500</v>
      </c>
      <c r="H664" s="13">
        <f t="shared" si="10"/>
        <v>0.25</v>
      </c>
    </row>
    <row r="665" spans="1:8">
      <c r="A665" s="5">
        <v>46143</v>
      </c>
      <c r="B665" s="3" t="s">
        <v>58</v>
      </c>
      <c r="C665" s="3" t="s">
        <v>53</v>
      </c>
      <c r="D665" s="7">
        <v>330000</v>
      </c>
      <c r="E665" s="9">
        <v>39</v>
      </c>
      <c r="F665" s="9">
        <v>12870000</v>
      </c>
      <c r="G665" s="9">
        <v>3217500</v>
      </c>
      <c r="H665" s="13">
        <f t="shared" si="10"/>
        <v>0.25</v>
      </c>
    </row>
    <row r="666" spans="1:8">
      <c r="A666" s="5">
        <v>46143</v>
      </c>
      <c r="B666" s="3" t="s">
        <v>59</v>
      </c>
      <c r="C666" s="3" t="s">
        <v>50</v>
      </c>
      <c r="D666" s="7">
        <v>400000</v>
      </c>
      <c r="E666" s="9">
        <v>24</v>
      </c>
      <c r="F666" s="9">
        <v>9600000</v>
      </c>
      <c r="G666" s="9">
        <v>1920000</v>
      </c>
      <c r="H666" s="13">
        <f t="shared" si="10"/>
        <v>0.2</v>
      </c>
    </row>
    <row r="667" spans="1:8">
      <c r="A667" s="5">
        <v>46143</v>
      </c>
      <c r="B667" s="3" t="s">
        <v>59</v>
      </c>
      <c r="C667" s="3" t="s">
        <v>51</v>
      </c>
      <c r="D667" s="7">
        <v>340000</v>
      </c>
      <c r="E667" s="9">
        <v>24</v>
      </c>
      <c r="F667" s="9">
        <v>8160000</v>
      </c>
      <c r="G667" s="9">
        <v>1632000</v>
      </c>
      <c r="H667" s="13">
        <f t="shared" si="10"/>
        <v>0.2</v>
      </c>
    </row>
    <row r="668" spans="1:8">
      <c r="A668" s="5">
        <v>46143</v>
      </c>
      <c r="B668" s="3" t="s">
        <v>59</v>
      </c>
      <c r="C668" s="3" t="s">
        <v>52</v>
      </c>
      <c r="D668" s="7">
        <v>380000</v>
      </c>
      <c r="E668" s="9">
        <v>24</v>
      </c>
      <c r="F668" s="9">
        <v>9120000</v>
      </c>
      <c r="G668" s="9">
        <v>1824000</v>
      </c>
      <c r="H668" s="13">
        <f t="shared" si="10"/>
        <v>0.2</v>
      </c>
    </row>
    <row r="669" spans="1:8">
      <c r="A669" s="5">
        <v>46143</v>
      </c>
      <c r="B669" s="3" t="s">
        <v>59</v>
      </c>
      <c r="C669" s="3" t="s">
        <v>53</v>
      </c>
      <c r="D669" s="7">
        <v>220000</v>
      </c>
      <c r="E669" s="9">
        <v>24</v>
      </c>
      <c r="F669" s="9">
        <v>5280000</v>
      </c>
      <c r="G669" s="9">
        <v>1056000</v>
      </c>
      <c r="H669" s="13">
        <f t="shared" si="10"/>
        <v>0.2</v>
      </c>
    </row>
    <row r="670" spans="1:8">
      <c r="A670" s="5">
        <v>46143</v>
      </c>
      <c r="B670" s="3" t="s">
        <v>60</v>
      </c>
      <c r="C670" s="3" t="s">
        <v>50</v>
      </c>
      <c r="D670" s="7">
        <v>1200000</v>
      </c>
      <c r="E670" s="9">
        <v>12</v>
      </c>
      <c r="F670" s="9">
        <v>14400000</v>
      </c>
      <c r="G670" s="9">
        <v>4320000</v>
      </c>
      <c r="H670" s="13">
        <f t="shared" si="10"/>
        <v>0.3</v>
      </c>
    </row>
    <row r="671" spans="1:8">
      <c r="A671" s="5">
        <v>46143</v>
      </c>
      <c r="B671" s="3" t="s">
        <v>60</v>
      </c>
      <c r="C671" s="3" t="s">
        <v>51</v>
      </c>
      <c r="D671" s="7">
        <v>1020000</v>
      </c>
      <c r="E671" s="9">
        <v>12</v>
      </c>
      <c r="F671" s="9">
        <v>12240000</v>
      </c>
      <c r="G671" s="9">
        <v>3672000</v>
      </c>
      <c r="H671" s="13">
        <f t="shared" si="10"/>
        <v>0.3</v>
      </c>
    </row>
    <row r="672" spans="1:8">
      <c r="A672" s="5">
        <v>46143</v>
      </c>
      <c r="B672" s="3" t="s">
        <v>60</v>
      </c>
      <c r="C672" s="3" t="s">
        <v>52</v>
      </c>
      <c r="D672" s="7">
        <v>1140000</v>
      </c>
      <c r="E672" s="9">
        <v>12</v>
      </c>
      <c r="F672" s="9">
        <v>13680000</v>
      </c>
      <c r="G672" s="9">
        <v>4104000</v>
      </c>
      <c r="H672" s="13">
        <f t="shared" si="10"/>
        <v>0.3</v>
      </c>
    </row>
    <row r="673" spans="1:8">
      <c r="A673" s="5">
        <v>46143</v>
      </c>
      <c r="B673" s="3" t="s">
        <v>60</v>
      </c>
      <c r="C673" s="3" t="s">
        <v>53</v>
      </c>
      <c r="D673" s="7">
        <v>660000</v>
      </c>
      <c r="E673" s="9">
        <v>12</v>
      </c>
      <c r="F673" s="9">
        <v>7920000</v>
      </c>
      <c r="G673" s="9">
        <v>2376000</v>
      </c>
      <c r="H673" s="13">
        <f t="shared" si="10"/>
        <v>0.3</v>
      </c>
    </row>
    <row r="674" spans="1:8">
      <c r="A674" s="5">
        <v>46143</v>
      </c>
      <c r="B674" s="3" t="s">
        <v>61</v>
      </c>
      <c r="C674" s="3" t="s">
        <v>50</v>
      </c>
      <c r="D674" s="7">
        <v>800000</v>
      </c>
      <c r="E674" s="9">
        <v>15</v>
      </c>
      <c r="F674" s="9">
        <v>12000000</v>
      </c>
      <c r="G674" s="9">
        <v>4200000</v>
      </c>
      <c r="H674" s="13">
        <f t="shared" si="10"/>
        <v>0.35</v>
      </c>
    </row>
    <row r="675" spans="1:8">
      <c r="A675" s="5">
        <v>46143</v>
      </c>
      <c r="B675" s="3" t="s">
        <v>61</v>
      </c>
      <c r="C675" s="3" t="s">
        <v>51</v>
      </c>
      <c r="D675" s="7">
        <v>680000</v>
      </c>
      <c r="E675" s="9">
        <v>15</v>
      </c>
      <c r="F675" s="9">
        <v>10200000</v>
      </c>
      <c r="G675" s="9">
        <v>3570000</v>
      </c>
      <c r="H675" s="13">
        <f t="shared" si="10"/>
        <v>0.35</v>
      </c>
    </row>
    <row r="676" spans="1:8">
      <c r="A676" s="5">
        <v>46143</v>
      </c>
      <c r="B676" s="3" t="s">
        <v>61</v>
      </c>
      <c r="C676" s="3" t="s">
        <v>52</v>
      </c>
      <c r="D676" s="7">
        <v>760000</v>
      </c>
      <c r="E676" s="9">
        <v>15</v>
      </c>
      <c r="F676" s="9">
        <v>11400000</v>
      </c>
      <c r="G676" s="9">
        <v>3990000</v>
      </c>
      <c r="H676" s="13">
        <f t="shared" si="10"/>
        <v>0.35</v>
      </c>
    </row>
    <row r="677" spans="1:8">
      <c r="A677" s="5">
        <v>46143</v>
      </c>
      <c r="B677" s="3" t="s">
        <v>61</v>
      </c>
      <c r="C677" s="3" t="s">
        <v>53</v>
      </c>
      <c r="D677" s="7">
        <v>440000</v>
      </c>
      <c r="E677" s="9">
        <v>15</v>
      </c>
      <c r="F677" s="9">
        <v>6600000</v>
      </c>
      <c r="G677" s="9">
        <v>2310000</v>
      </c>
      <c r="H677" s="13">
        <f t="shared" si="10"/>
        <v>0.35</v>
      </c>
    </row>
    <row r="678" spans="1:8">
      <c r="A678" s="5">
        <v>46143</v>
      </c>
      <c r="B678" s="3" t="s">
        <v>62</v>
      </c>
      <c r="C678" s="3" t="s">
        <v>50</v>
      </c>
      <c r="D678" s="7">
        <v>900000</v>
      </c>
      <c r="E678" s="9">
        <v>8</v>
      </c>
      <c r="F678" s="9">
        <v>7200000</v>
      </c>
      <c r="G678" s="9">
        <v>1080000</v>
      </c>
      <c r="H678" s="13">
        <f t="shared" si="10"/>
        <v>0.15</v>
      </c>
    </row>
    <row r="679" spans="1:8">
      <c r="A679" s="5">
        <v>46143</v>
      </c>
      <c r="B679" s="3" t="s">
        <v>62</v>
      </c>
      <c r="C679" s="3" t="s">
        <v>51</v>
      </c>
      <c r="D679" s="7">
        <v>765000</v>
      </c>
      <c r="E679" s="9">
        <v>8</v>
      </c>
      <c r="F679" s="9">
        <v>6120000</v>
      </c>
      <c r="G679" s="9">
        <v>918000</v>
      </c>
      <c r="H679" s="13">
        <f t="shared" si="10"/>
        <v>0.15</v>
      </c>
    </row>
    <row r="680" spans="1:8">
      <c r="A680" s="5">
        <v>46143</v>
      </c>
      <c r="B680" s="3" t="s">
        <v>62</v>
      </c>
      <c r="C680" s="3" t="s">
        <v>52</v>
      </c>
      <c r="D680" s="7">
        <v>855000</v>
      </c>
      <c r="E680" s="9">
        <v>8</v>
      </c>
      <c r="F680" s="9">
        <v>6840000</v>
      </c>
      <c r="G680" s="9">
        <v>1026000</v>
      </c>
      <c r="H680" s="13">
        <f t="shared" si="10"/>
        <v>0.15</v>
      </c>
    </row>
    <row r="681" spans="1:8">
      <c r="A681" s="5">
        <v>46143</v>
      </c>
      <c r="B681" s="3" t="s">
        <v>62</v>
      </c>
      <c r="C681" s="3" t="s">
        <v>53</v>
      </c>
      <c r="D681" s="7">
        <v>495000</v>
      </c>
      <c r="E681" s="9">
        <v>8</v>
      </c>
      <c r="F681" s="9">
        <v>3960000</v>
      </c>
      <c r="G681" s="9">
        <v>594000</v>
      </c>
      <c r="H681" s="13">
        <f t="shared" si="10"/>
        <v>0.15</v>
      </c>
    </row>
    <row r="682" spans="1:8">
      <c r="A682" s="5">
        <v>46174</v>
      </c>
      <c r="B682" s="3" t="s">
        <v>49</v>
      </c>
      <c r="C682" s="3" t="s">
        <v>50</v>
      </c>
      <c r="D682" s="7">
        <v>255000</v>
      </c>
      <c r="E682" s="9">
        <v>699</v>
      </c>
      <c r="F682" s="9">
        <v>178245000</v>
      </c>
      <c r="G682" s="9">
        <v>110511900</v>
      </c>
      <c r="H682" s="13">
        <f t="shared" si="10"/>
        <v>0.62</v>
      </c>
    </row>
    <row r="683" spans="1:8">
      <c r="A683" s="5">
        <v>46174</v>
      </c>
      <c r="B683" s="3" t="s">
        <v>49</v>
      </c>
      <c r="C683" s="3" t="s">
        <v>51</v>
      </c>
      <c r="D683" s="7">
        <v>216750</v>
      </c>
      <c r="E683" s="9">
        <v>699</v>
      </c>
      <c r="F683" s="9">
        <v>151508250</v>
      </c>
      <c r="G683" s="9">
        <v>93935115</v>
      </c>
      <c r="H683" s="13">
        <f t="shared" si="10"/>
        <v>0.62</v>
      </c>
    </row>
    <row r="684" spans="1:8">
      <c r="A684" s="5">
        <v>46174</v>
      </c>
      <c r="B684" s="3" t="s">
        <v>49</v>
      </c>
      <c r="C684" s="3" t="s">
        <v>52</v>
      </c>
      <c r="D684" s="7">
        <v>242250</v>
      </c>
      <c r="E684" s="9">
        <v>699</v>
      </c>
      <c r="F684" s="9">
        <v>169332750</v>
      </c>
      <c r="G684" s="9">
        <v>104986305</v>
      </c>
      <c r="H684" s="13">
        <f t="shared" si="10"/>
        <v>0.62</v>
      </c>
    </row>
    <row r="685" spans="1:8">
      <c r="A685" s="5">
        <v>46174</v>
      </c>
      <c r="B685" s="3" t="s">
        <v>49</v>
      </c>
      <c r="C685" s="3" t="s">
        <v>53</v>
      </c>
      <c r="D685" s="7">
        <v>140250</v>
      </c>
      <c r="E685" s="9">
        <v>699</v>
      </c>
      <c r="F685" s="9">
        <v>98034750</v>
      </c>
      <c r="G685" s="9">
        <v>60781545</v>
      </c>
      <c r="H685" s="13">
        <f t="shared" si="10"/>
        <v>0.62</v>
      </c>
    </row>
    <row r="686" spans="1:8">
      <c r="A686" s="5">
        <v>46174</v>
      </c>
      <c r="B686" s="3" t="s">
        <v>54</v>
      </c>
      <c r="C686" s="3" t="s">
        <v>50</v>
      </c>
      <c r="D686" s="7">
        <v>122400</v>
      </c>
      <c r="E686" s="9">
        <v>999</v>
      </c>
      <c r="F686" s="9">
        <v>122277600</v>
      </c>
      <c r="G686" s="9">
        <v>70921008</v>
      </c>
      <c r="H686" s="13">
        <f t="shared" si="10"/>
        <v>0.57999999999999996</v>
      </c>
    </row>
    <row r="687" spans="1:8">
      <c r="A687" s="5">
        <v>46174</v>
      </c>
      <c r="B687" s="3" t="s">
        <v>54</v>
      </c>
      <c r="C687" s="3" t="s">
        <v>51</v>
      </c>
      <c r="D687" s="7">
        <v>104040</v>
      </c>
      <c r="E687" s="9">
        <v>999</v>
      </c>
      <c r="F687" s="9">
        <v>103935960</v>
      </c>
      <c r="G687" s="9">
        <v>60282856.799999997</v>
      </c>
      <c r="H687" s="13">
        <f t="shared" si="10"/>
        <v>0.57999999999999996</v>
      </c>
    </row>
    <row r="688" spans="1:8">
      <c r="A688" s="5">
        <v>46174</v>
      </c>
      <c r="B688" s="3" t="s">
        <v>54</v>
      </c>
      <c r="C688" s="3" t="s">
        <v>52</v>
      </c>
      <c r="D688" s="7">
        <v>116280</v>
      </c>
      <c r="E688" s="9">
        <v>999</v>
      </c>
      <c r="F688" s="9">
        <v>116163720</v>
      </c>
      <c r="G688" s="9">
        <v>67374957.599999994</v>
      </c>
      <c r="H688" s="13">
        <f t="shared" si="10"/>
        <v>0.57999999999999996</v>
      </c>
    </row>
    <row r="689" spans="1:8">
      <c r="A689" s="5">
        <v>46174</v>
      </c>
      <c r="B689" s="3" t="s">
        <v>54</v>
      </c>
      <c r="C689" s="3" t="s">
        <v>53</v>
      </c>
      <c r="D689" s="7">
        <v>67320</v>
      </c>
      <c r="E689" s="9">
        <v>999</v>
      </c>
      <c r="F689" s="9">
        <v>67252680</v>
      </c>
      <c r="G689" s="9">
        <v>39006554.399999999</v>
      </c>
      <c r="H689" s="13">
        <f t="shared" si="10"/>
        <v>0.57999999999999996</v>
      </c>
    </row>
    <row r="690" spans="1:8">
      <c r="A690" s="5">
        <v>46174</v>
      </c>
      <c r="B690" s="3" t="s">
        <v>55</v>
      </c>
      <c r="C690" s="3" t="s">
        <v>50</v>
      </c>
      <c r="D690" s="7">
        <v>142800</v>
      </c>
      <c r="E690" s="9">
        <v>549</v>
      </c>
      <c r="F690" s="9">
        <v>78397200</v>
      </c>
      <c r="G690" s="9">
        <v>47038320</v>
      </c>
      <c r="H690" s="13">
        <f t="shared" si="10"/>
        <v>0.6</v>
      </c>
    </row>
    <row r="691" spans="1:8">
      <c r="A691" s="5">
        <v>46174</v>
      </c>
      <c r="B691" s="3" t="s">
        <v>55</v>
      </c>
      <c r="C691" s="3" t="s">
        <v>51</v>
      </c>
      <c r="D691" s="7">
        <v>121380</v>
      </c>
      <c r="E691" s="9">
        <v>549</v>
      </c>
      <c r="F691" s="9">
        <v>66637620</v>
      </c>
      <c r="G691" s="9">
        <v>39982572</v>
      </c>
      <c r="H691" s="13">
        <f t="shared" si="10"/>
        <v>0.6</v>
      </c>
    </row>
    <row r="692" spans="1:8">
      <c r="A692" s="5">
        <v>46174</v>
      </c>
      <c r="B692" s="3" t="s">
        <v>55</v>
      </c>
      <c r="C692" s="3" t="s">
        <v>52</v>
      </c>
      <c r="D692" s="7">
        <v>135660</v>
      </c>
      <c r="E692" s="9">
        <v>549</v>
      </c>
      <c r="F692" s="9">
        <v>74477340</v>
      </c>
      <c r="G692" s="9">
        <v>44686404</v>
      </c>
      <c r="H692" s="13">
        <f t="shared" si="10"/>
        <v>0.6</v>
      </c>
    </row>
    <row r="693" spans="1:8">
      <c r="A693" s="5">
        <v>46174</v>
      </c>
      <c r="B693" s="3" t="s">
        <v>55</v>
      </c>
      <c r="C693" s="3" t="s">
        <v>53</v>
      </c>
      <c r="D693" s="7">
        <v>78540</v>
      </c>
      <c r="E693" s="9">
        <v>549</v>
      </c>
      <c r="F693" s="9">
        <v>43118460</v>
      </c>
      <c r="G693" s="9">
        <v>25871076</v>
      </c>
      <c r="H693" s="13">
        <f t="shared" si="10"/>
        <v>0.6</v>
      </c>
    </row>
    <row r="694" spans="1:8">
      <c r="A694" s="5">
        <v>46174</v>
      </c>
      <c r="B694" s="3" t="s">
        <v>56</v>
      </c>
      <c r="C694" s="3" t="s">
        <v>50</v>
      </c>
      <c r="D694" s="7">
        <v>71400</v>
      </c>
      <c r="E694" s="9">
        <v>1199</v>
      </c>
      <c r="F694" s="9">
        <v>85608600</v>
      </c>
      <c r="G694" s="9">
        <v>47084730</v>
      </c>
      <c r="H694" s="13">
        <f t="shared" si="10"/>
        <v>0.55000000000000004</v>
      </c>
    </row>
    <row r="695" spans="1:8">
      <c r="A695" s="5">
        <v>46174</v>
      </c>
      <c r="B695" s="3" t="s">
        <v>56</v>
      </c>
      <c r="C695" s="3" t="s">
        <v>51</v>
      </c>
      <c r="D695" s="7">
        <v>60690</v>
      </c>
      <c r="E695" s="9">
        <v>1199</v>
      </c>
      <c r="F695" s="9">
        <v>72767310</v>
      </c>
      <c r="G695" s="9">
        <v>40022020.5</v>
      </c>
      <c r="H695" s="13">
        <f t="shared" si="10"/>
        <v>0.55000000000000004</v>
      </c>
    </row>
    <row r="696" spans="1:8">
      <c r="A696" s="5">
        <v>46174</v>
      </c>
      <c r="B696" s="3" t="s">
        <v>56</v>
      </c>
      <c r="C696" s="3" t="s">
        <v>52</v>
      </c>
      <c r="D696" s="7">
        <v>67830</v>
      </c>
      <c r="E696" s="9">
        <v>1199</v>
      </c>
      <c r="F696" s="9">
        <v>81328170</v>
      </c>
      <c r="G696" s="9">
        <v>44730493.5</v>
      </c>
      <c r="H696" s="13">
        <f t="shared" si="10"/>
        <v>0.55000000000000004</v>
      </c>
    </row>
    <row r="697" spans="1:8">
      <c r="A697" s="5">
        <v>46174</v>
      </c>
      <c r="B697" s="3" t="s">
        <v>56</v>
      </c>
      <c r="C697" s="3" t="s">
        <v>53</v>
      </c>
      <c r="D697" s="7">
        <v>39270</v>
      </c>
      <c r="E697" s="9">
        <v>1199</v>
      </c>
      <c r="F697" s="9">
        <v>47084730</v>
      </c>
      <c r="G697" s="9">
        <v>25896601.5</v>
      </c>
      <c r="H697" s="13">
        <f t="shared" si="10"/>
        <v>0.55000000000000004</v>
      </c>
    </row>
    <row r="698" spans="1:8">
      <c r="A698" s="5">
        <v>46174</v>
      </c>
      <c r="B698" s="3" t="s">
        <v>57</v>
      </c>
      <c r="C698" s="3" t="s">
        <v>50</v>
      </c>
      <c r="D698" s="7">
        <v>183600</v>
      </c>
      <c r="E698" s="9">
        <v>299</v>
      </c>
      <c r="F698" s="9">
        <v>54896400</v>
      </c>
      <c r="G698" s="9">
        <v>27448200</v>
      </c>
      <c r="H698" s="13">
        <f t="shared" si="10"/>
        <v>0.5</v>
      </c>
    </row>
    <row r="699" spans="1:8">
      <c r="A699" s="5">
        <v>46174</v>
      </c>
      <c r="B699" s="3" t="s">
        <v>57</v>
      </c>
      <c r="C699" s="3" t="s">
        <v>51</v>
      </c>
      <c r="D699" s="7">
        <v>156060</v>
      </c>
      <c r="E699" s="9">
        <v>299</v>
      </c>
      <c r="F699" s="9">
        <v>46661940</v>
      </c>
      <c r="G699" s="9">
        <v>23330970</v>
      </c>
      <c r="H699" s="13">
        <f t="shared" si="10"/>
        <v>0.5</v>
      </c>
    </row>
    <row r="700" spans="1:8">
      <c r="A700" s="5">
        <v>46174</v>
      </c>
      <c r="B700" s="3" t="s">
        <v>57</v>
      </c>
      <c r="C700" s="3" t="s">
        <v>52</v>
      </c>
      <c r="D700" s="7">
        <v>174420</v>
      </c>
      <c r="E700" s="9">
        <v>299</v>
      </c>
      <c r="F700" s="9">
        <v>52151580</v>
      </c>
      <c r="G700" s="9">
        <v>26075790</v>
      </c>
      <c r="H700" s="13">
        <f t="shared" si="10"/>
        <v>0.5</v>
      </c>
    </row>
    <row r="701" spans="1:8">
      <c r="A701" s="5">
        <v>46174</v>
      </c>
      <c r="B701" s="3" t="s">
        <v>57</v>
      </c>
      <c r="C701" s="3" t="s">
        <v>53</v>
      </c>
      <c r="D701" s="7">
        <v>100980</v>
      </c>
      <c r="E701" s="9">
        <v>299</v>
      </c>
      <c r="F701" s="9">
        <v>30193020</v>
      </c>
      <c r="G701" s="9">
        <v>15096510</v>
      </c>
      <c r="H701" s="13">
        <f t="shared" si="10"/>
        <v>0.5</v>
      </c>
    </row>
    <row r="702" spans="1:8">
      <c r="A702" s="5">
        <v>46174</v>
      </c>
      <c r="B702" s="3" t="s">
        <v>58</v>
      </c>
      <c r="C702" s="3" t="s">
        <v>50</v>
      </c>
      <c r="D702" s="7">
        <v>612000</v>
      </c>
      <c r="E702" s="9">
        <v>39</v>
      </c>
      <c r="F702" s="9">
        <v>23868000</v>
      </c>
      <c r="G702" s="9">
        <v>5967000</v>
      </c>
      <c r="H702" s="13">
        <f t="shared" si="10"/>
        <v>0.25</v>
      </c>
    </row>
    <row r="703" spans="1:8">
      <c r="A703" s="5">
        <v>46174</v>
      </c>
      <c r="B703" s="3" t="s">
        <v>58</v>
      </c>
      <c r="C703" s="3" t="s">
        <v>51</v>
      </c>
      <c r="D703" s="7">
        <v>520200</v>
      </c>
      <c r="E703" s="9">
        <v>39</v>
      </c>
      <c r="F703" s="9">
        <v>20287800</v>
      </c>
      <c r="G703" s="9">
        <v>5071950</v>
      </c>
      <c r="H703" s="13">
        <f t="shared" si="10"/>
        <v>0.25</v>
      </c>
    </row>
    <row r="704" spans="1:8">
      <c r="A704" s="5">
        <v>46174</v>
      </c>
      <c r="B704" s="3" t="s">
        <v>58</v>
      </c>
      <c r="C704" s="3" t="s">
        <v>52</v>
      </c>
      <c r="D704" s="7">
        <v>581400</v>
      </c>
      <c r="E704" s="9">
        <v>39</v>
      </c>
      <c r="F704" s="9">
        <v>22674600</v>
      </c>
      <c r="G704" s="9">
        <v>5668650</v>
      </c>
      <c r="H704" s="13">
        <f t="shared" si="10"/>
        <v>0.25</v>
      </c>
    </row>
    <row r="705" spans="1:8">
      <c r="A705" s="5">
        <v>46174</v>
      </c>
      <c r="B705" s="3" t="s">
        <v>58</v>
      </c>
      <c r="C705" s="3" t="s">
        <v>53</v>
      </c>
      <c r="D705" s="7">
        <v>336600</v>
      </c>
      <c r="E705" s="9">
        <v>39</v>
      </c>
      <c r="F705" s="9">
        <v>13127400</v>
      </c>
      <c r="G705" s="9">
        <v>3281850</v>
      </c>
      <c r="H705" s="13">
        <f t="shared" si="10"/>
        <v>0.25</v>
      </c>
    </row>
    <row r="706" spans="1:8">
      <c r="A706" s="5">
        <v>46174</v>
      </c>
      <c r="B706" s="3" t="s">
        <v>59</v>
      </c>
      <c r="C706" s="3" t="s">
        <v>50</v>
      </c>
      <c r="D706" s="7">
        <v>408000</v>
      </c>
      <c r="E706" s="9">
        <v>24</v>
      </c>
      <c r="F706" s="9">
        <v>9792000</v>
      </c>
      <c r="G706" s="9">
        <v>1958400</v>
      </c>
      <c r="H706" s="13">
        <f t="shared" ref="H706:H721" si="11">G706/F706</f>
        <v>0.2</v>
      </c>
    </row>
    <row r="707" spans="1:8">
      <c r="A707" s="5">
        <v>46174</v>
      </c>
      <c r="B707" s="3" t="s">
        <v>59</v>
      </c>
      <c r="C707" s="3" t="s">
        <v>51</v>
      </c>
      <c r="D707" s="7">
        <v>346800</v>
      </c>
      <c r="E707" s="9">
        <v>24</v>
      </c>
      <c r="F707" s="9">
        <v>8323200</v>
      </c>
      <c r="G707" s="9">
        <v>1664640</v>
      </c>
      <c r="H707" s="13">
        <f t="shared" si="11"/>
        <v>0.2</v>
      </c>
    </row>
    <row r="708" spans="1:8">
      <c r="A708" s="5">
        <v>46174</v>
      </c>
      <c r="B708" s="3" t="s">
        <v>59</v>
      </c>
      <c r="C708" s="3" t="s">
        <v>52</v>
      </c>
      <c r="D708" s="7">
        <v>387600</v>
      </c>
      <c r="E708" s="9">
        <v>24</v>
      </c>
      <c r="F708" s="9">
        <v>9302400</v>
      </c>
      <c r="G708" s="9">
        <v>1860480</v>
      </c>
      <c r="H708" s="13">
        <f t="shared" si="11"/>
        <v>0.2</v>
      </c>
    </row>
    <row r="709" spans="1:8">
      <c r="A709" s="5">
        <v>46174</v>
      </c>
      <c r="B709" s="3" t="s">
        <v>59</v>
      </c>
      <c r="C709" s="3" t="s">
        <v>53</v>
      </c>
      <c r="D709" s="7">
        <v>224400</v>
      </c>
      <c r="E709" s="9">
        <v>24</v>
      </c>
      <c r="F709" s="9">
        <v>5385600</v>
      </c>
      <c r="G709" s="9">
        <v>1077120</v>
      </c>
      <c r="H709" s="13">
        <f t="shared" si="11"/>
        <v>0.2</v>
      </c>
    </row>
    <row r="710" spans="1:8">
      <c r="A710" s="5">
        <v>46174</v>
      </c>
      <c r="B710" s="3" t="s">
        <v>60</v>
      </c>
      <c r="C710" s="3" t="s">
        <v>50</v>
      </c>
      <c r="D710" s="7">
        <v>1224000</v>
      </c>
      <c r="E710" s="9">
        <v>12</v>
      </c>
      <c r="F710" s="9">
        <v>14688000</v>
      </c>
      <c r="G710" s="9">
        <v>4406400</v>
      </c>
      <c r="H710" s="13">
        <f t="shared" si="11"/>
        <v>0.3</v>
      </c>
    </row>
    <row r="711" spans="1:8">
      <c r="A711" s="5">
        <v>46174</v>
      </c>
      <c r="B711" s="3" t="s">
        <v>60</v>
      </c>
      <c r="C711" s="3" t="s">
        <v>51</v>
      </c>
      <c r="D711" s="7">
        <v>1040400</v>
      </c>
      <c r="E711" s="9">
        <v>12</v>
      </c>
      <c r="F711" s="9">
        <v>12484800</v>
      </c>
      <c r="G711" s="9">
        <v>3745440</v>
      </c>
      <c r="H711" s="13">
        <f t="shared" si="11"/>
        <v>0.3</v>
      </c>
    </row>
    <row r="712" spans="1:8">
      <c r="A712" s="5">
        <v>46174</v>
      </c>
      <c r="B712" s="3" t="s">
        <v>60</v>
      </c>
      <c r="C712" s="3" t="s">
        <v>52</v>
      </c>
      <c r="D712" s="7">
        <v>1162800</v>
      </c>
      <c r="E712" s="9">
        <v>12</v>
      </c>
      <c r="F712" s="9">
        <v>13953600</v>
      </c>
      <c r="G712" s="9">
        <v>4186080</v>
      </c>
      <c r="H712" s="13">
        <f t="shared" si="11"/>
        <v>0.3</v>
      </c>
    </row>
    <row r="713" spans="1:8">
      <c r="A713" s="5">
        <v>46174</v>
      </c>
      <c r="B713" s="3" t="s">
        <v>60</v>
      </c>
      <c r="C713" s="3" t="s">
        <v>53</v>
      </c>
      <c r="D713" s="7">
        <v>673200</v>
      </c>
      <c r="E713" s="9">
        <v>12</v>
      </c>
      <c r="F713" s="9">
        <v>8078400</v>
      </c>
      <c r="G713" s="9">
        <v>2423520</v>
      </c>
      <c r="H713" s="13">
        <f t="shared" si="11"/>
        <v>0.3</v>
      </c>
    </row>
    <row r="714" spans="1:8">
      <c r="A714" s="5">
        <v>46174</v>
      </c>
      <c r="B714" s="3" t="s">
        <v>61</v>
      </c>
      <c r="C714" s="3" t="s">
        <v>50</v>
      </c>
      <c r="D714" s="7">
        <v>816000</v>
      </c>
      <c r="E714" s="9">
        <v>15</v>
      </c>
      <c r="F714" s="9">
        <v>12240000</v>
      </c>
      <c r="G714" s="9">
        <v>4284000</v>
      </c>
      <c r="H714" s="13">
        <f t="shared" si="11"/>
        <v>0.35</v>
      </c>
    </row>
    <row r="715" spans="1:8">
      <c r="A715" s="5">
        <v>46174</v>
      </c>
      <c r="B715" s="3" t="s">
        <v>61</v>
      </c>
      <c r="C715" s="3" t="s">
        <v>51</v>
      </c>
      <c r="D715" s="7">
        <v>693600</v>
      </c>
      <c r="E715" s="9">
        <v>15</v>
      </c>
      <c r="F715" s="9">
        <v>10404000</v>
      </c>
      <c r="G715" s="9">
        <v>3641400</v>
      </c>
      <c r="H715" s="13">
        <f t="shared" si="11"/>
        <v>0.35</v>
      </c>
    </row>
    <row r="716" spans="1:8">
      <c r="A716" s="5">
        <v>46174</v>
      </c>
      <c r="B716" s="3" t="s">
        <v>61</v>
      </c>
      <c r="C716" s="3" t="s">
        <v>52</v>
      </c>
      <c r="D716" s="7">
        <v>775200</v>
      </c>
      <c r="E716" s="9">
        <v>15</v>
      </c>
      <c r="F716" s="9">
        <v>11628000</v>
      </c>
      <c r="G716" s="9">
        <v>4069800</v>
      </c>
      <c r="H716" s="13">
        <f t="shared" si="11"/>
        <v>0.35</v>
      </c>
    </row>
    <row r="717" spans="1:8">
      <c r="A717" s="5">
        <v>46174</v>
      </c>
      <c r="B717" s="3" t="s">
        <v>61</v>
      </c>
      <c r="C717" s="3" t="s">
        <v>53</v>
      </c>
      <c r="D717" s="7">
        <v>448800</v>
      </c>
      <c r="E717" s="9">
        <v>15</v>
      </c>
      <c r="F717" s="9">
        <v>6732000</v>
      </c>
      <c r="G717" s="9">
        <v>2356200</v>
      </c>
      <c r="H717" s="13">
        <f t="shared" si="11"/>
        <v>0.35</v>
      </c>
    </row>
    <row r="718" spans="1:8">
      <c r="A718" s="5">
        <v>46174</v>
      </c>
      <c r="B718" s="3" t="s">
        <v>62</v>
      </c>
      <c r="C718" s="3" t="s">
        <v>50</v>
      </c>
      <c r="D718" s="7">
        <v>918000</v>
      </c>
      <c r="E718" s="9">
        <v>8</v>
      </c>
      <c r="F718" s="9">
        <v>7344000</v>
      </c>
      <c r="G718" s="9">
        <v>1101600</v>
      </c>
      <c r="H718" s="13">
        <f t="shared" si="11"/>
        <v>0.15</v>
      </c>
    </row>
    <row r="719" spans="1:8">
      <c r="A719" s="5">
        <v>46174</v>
      </c>
      <c r="B719" s="3" t="s">
        <v>62</v>
      </c>
      <c r="C719" s="3" t="s">
        <v>51</v>
      </c>
      <c r="D719" s="7">
        <v>780300</v>
      </c>
      <c r="E719" s="9">
        <v>8</v>
      </c>
      <c r="F719" s="9">
        <v>6242400</v>
      </c>
      <c r="G719" s="9">
        <v>936360</v>
      </c>
      <c r="H719" s="13">
        <f t="shared" si="11"/>
        <v>0.15</v>
      </c>
    </row>
    <row r="720" spans="1:8">
      <c r="A720" s="5">
        <v>46174</v>
      </c>
      <c r="B720" s="3" t="s">
        <v>62</v>
      </c>
      <c r="C720" s="3" t="s">
        <v>52</v>
      </c>
      <c r="D720" s="7">
        <v>872100</v>
      </c>
      <c r="E720" s="9">
        <v>8</v>
      </c>
      <c r="F720" s="9">
        <v>6976800</v>
      </c>
      <c r="G720" s="9">
        <v>1046520</v>
      </c>
      <c r="H720" s="13">
        <f t="shared" si="11"/>
        <v>0.15</v>
      </c>
    </row>
    <row r="721" spans="1:8">
      <c r="A721" s="5">
        <v>46174</v>
      </c>
      <c r="B721" s="3" t="s">
        <v>62</v>
      </c>
      <c r="C721" s="3" t="s">
        <v>53</v>
      </c>
      <c r="D721" s="7">
        <v>504900</v>
      </c>
      <c r="E721" s="9">
        <v>8</v>
      </c>
      <c r="F721" s="9">
        <v>4039200</v>
      </c>
      <c r="G721" s="9">
        <v>605880</v>
      </c>
      <c r="H721" s="13">
        <f t="shared" si="11"/>
        <v>0.15</v>
      </c>
    </row>
    <row r="723" spans="1:8">
      <c r="A723" s="6" t="s">
        <v>63</v>
      </c>
      <c r="B723" s="9">
        <f>SUM(F2:F721)</f>
        <v>34530245600</v>
      </c>
    </row>
    <row r="724" spans="1:8">
      <c r="A724" s="6" t="s">
        <v>64</v>
      </c>
      <c r="B724" s="9">
        <f>SUM(G2:G721)</f>
        <v>18854968848.499996</v>
      </c>
    </row>
    <row r="725" spans="1:8">
      <c r="A725" s="6" t="s">
        <v>65</v>
      </c>
      <c r="B725" s="9">
        <f>B723-B724</f>
        <v>15675276751.500004</v>
      </c>
    </row>
    <row r="726" spans="1:8">
      <c r="A726" s="6" t="s">
        <v>66</v>
      </c>
      <c r="B726" s="13">
        <f>B725/B723</f>
        <v>0.45395787024173395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579"/>
  <sheetViews>
    <sheetView workbookViewId="0"/>
  </sheetViews>
  <sheetFormatPr defaultRowHeight="15"/>
  <cols>
    <col min="1" max="3" width="21.42578125" style="3" customWidth="1"/>
    <col min="4" max="4" width="21.42578125" style="9" customWidth="1"/>
    <col min="5" max="5" width="21.42578125" customWidth="1"/>
  </cols>
  <sheetData>
    <row r="1" spans="1:5">
      <c r="A1" s="6" t="s">
        <v>41</v>
      </c>
      <c r="B1" s="6" t="s">
        <v>67</v>
      </c>
      <c r="C1" s="6" t="s">
        <v>68</v>
      </c>
      <c r="D1" s="6" t="s">
        <v>69</v>
      </c>
      <c r="E1" s="8" t="s">
        <v>70</v>
      </c>
    </row>
    <row r="2" spans="1:5">
      <c r="A2" s="5">
        <v>45658</v>
      </c>
      <c r="B2" s="3" t="s">
        <v>71</v>
      </c>
      <c r="C2" s="16" t="s">
        <v>23</v>
      </c>
      <c r="D2" s="3" t="s">
        <v>72</v>
      </c>
      <c r="E2" s="9">
        <v>8000000</v>
      </c>
    </row>
    <row r="3" spans="1:5">
      <c r="A3" s="5">
        <v>45658</v>
      </c>
      <c r="B3" s="3" t="s">
        <v>71</v>
      </c>
      <c r="C3" s="16" t="s">
        <v>23</v>
      </c>
      <c r="D3" s="3" t="s">
        <v>73</v>
      </c>
      <c r="E3" s="9">
        <v>8000000</v>
      </c>
    </row>
    <row r="4" spans="1:5">
      <c r="A4" s="5">
        <v>45658</v>
      </c>
      <c r="B4" s="3" t="s">
        <v>71</v>
      </c>
      <c r="C4" s="16" t="s">
        <v>23</v>
      </c>
      <c r="D4" s="3" t="s">
        <v>74</v>
      </c>
      <c r="E4" s="9">
        <v>8000000</v>
      </c>
    </row>
    <row r="5" spans="1:5">
      <c r="A5" s="5">
        <v>45658</v>
      </c>
      <c r="B5" s="3" t="s">
        <v>71</v>
      </c>
      <c r="C5" s="16" t="s">
        <v>23</v>
      </c>
      <c r="D5" s="3" t="s">
        <v>75</v>
      </c>
      <c r="E5" s="9">
        <v>8000000</v>
      </c>
    </row>
    <row r="6" spans="1:5">
      <c r="A6" s="5">
        <v>45658</v>
      </c>
      <c r="B6" s="3" t="s">
        <v>76</v>
      </c>
      <c r="C6" s="16" t="s">
        <v>24</v>
      </c>
      <c r="D6" s="3" t="s">
        <v>72</v>
      </c>
      <c r="E6" s="9">
        <v>30000000</v>
      </c>
    </row>
    <row r="7" spans="1:5">
      <c r="A7" s="5">
        <v>45658</v>
      </c>
      <c r="B7" s="3" t="s">
        <v>76</v>
      </c>
      <c r="C7" s="16" t="s">
        <v>24</v>
      </c>
      <c r="D7" s="3" t="s">
        <v>73</v>
      </c>
      <c r="E7" s="9">
        <v>30000000</v>
      </c>
    </row>
    <row r="8" spans="1:5">
      <c r="A8" s="5">
        <v>45658</v>
      </c>
      <c r="B8" s="3" t="s">
        <v>76</v>
      </c>
      <c r="C8" s="16" t="s">
        <v>24</v>
      </c>
      <c r="D8" s="3" t="s">
        <v>74</v>
      </c>
      <c r="E8" s="9">
        <v>30000000</v>
      </c>
    </row>
    <row r="9" spans="1:5">
      <c r="A9" s="5">
        <v>45658</v>
      </c>
      <c r="B9" s="3" t="s">
        <v>76</v>
      </c>
      <c r="C9" s="16" t="s">
        <v>24</v>
      </c>
      <c r="D9" s="3" t="s">
        <v>75</v>
      </c>
      <c r="E9" s="9">
        <v>30000000</v>
      </c>
    </row>
    <row r="10" spans="1:5">
      <c r="A10" s="5">
        <v>45658</v>
      </c>
      <c r="B10" s="3" t="s">
        <v>77</v>
      </c>
      <c r="C10" s="3" t="s">
        <v>25</v>
      </c>
      <c r="D10" s="3" t="s">
        <v>72</v>
      </c>
      <c r="E10" s="9">
        <v>20000000</v>
      </c>
    </row>
    <row r="11" spans="1:5">
      <c r="A11" s="5">
        <v>45658</v>
      </c>
      <c r="B11" s="3" t="s">
        <v>77</v>
      </c>
      <c r="C11" s="3" t="s">
        <v>25</v>
      </c>
      <c r="D11" s="3" t="s">
        <v>73</v>
      </c>
      <c r="E11" s="9">
        <v>20000000</v>
      </c>
    </row>
    <row r="12" spans="1:5">
      <c r="A12" s="5">
        <v>45658</v>
      </c>
      <c r="B12" s="3" t="s">
        <v>77</v>
      </c>
      <c r="C12" s="3" t="s">
        <v>25</v>
      </c>
      <c r="D12" s="3" t="s">
        <v>74</v>
      </c>
      <c r="E12" s="9">
        <v>20000000</v>
      </c>
    </row>
    <row r="13" spans="1:5">
      <c r="A13" s="5">
        <v>45658</v>
      </c>
      <c r="B13" s="3" t="s">
        <v>77</v>
      </c>
      <c r="C13" s="3" t="s">
        <v>25</v>
      </c>
      <c r="D13" s="3" t="s">
        <v>75</v>
      </c>
      <c r="E13" s="9">
        <v>20000000</v>
      </c>
    </row>
    <row r="14" spans="1:5">
      <c r="A14" s="5">
        <v>45658</v>
      </c>
      <c r="B14" s="3" t="s">
        <v>78</v>
      </c>
      <c r="C14" s="3" t="s">
        <v>26</v>
      </c>
      <c r="D14" s="3" t="s">
        <v>72</v>
      </c>
      <c r="E14" s="9">
        <v>8000000</v>
      </c>
    </row>
    <row r="15" spans="1:5">
      <c r="A15" s="5">
        <v>45658</v>
      </c>
      <c r="B15" s="3" t="s">
        <v>78</v>
      </c>
      <c r="C15" s="3" t="s">
        <v>26</v>
      </c>
      <c r="D15" s="3" t="s">
        <v>73</v>
      </c>
      <c r="E15" s="9">
        <v>8000000</v>
      </c>
    </row>
    <row r="16" spans="1:5">
      <c r="A16" s="5">
        <v>45658</v>
      </c>
      <c r="B16" s="3" t="s">
        <v>78</v>
      </c>
      <c r="C16" s="3" t="s">
        <v>26</v>
      </c>
      <c r="D16" s="3" t="s">
        <v>74</v>
      </c>
      <c r="E16" s="9">
        <v>8000000</v>
      </c>
    </row>
    <row r="17" spans="1:5">
      <c r="A17" s="5">
        <v>45658</v>
      </c>
      <c r="B17" s="3" t="s">
        <v>78</v>
      </c>
      <c r="C17" s="3" t="s">
        <v>26</v>
      </c>
      <c r="D17" s="3" t="s">
        <v>75</v>
      </c>
      <c r="E17" s="9">
        <v>8000000</v>
      </c>
    </row>
    <row r="18" spans="1:5">
      <c r="A18" s="5">
        <v>45658</v>
      </c>
      <c r="B18" s="3" t="s">
        <v>79</v>
      </c>
      <c r="C18" s="16" t="s">
        <v>27</v>
      </c>
      <c r="D18" s="3" t="s">
        <v>72</v>
      </c>
      <c r="E18" s="9">
        <v>12000000</v>
      </c>
    </row>
    <row r="19" spans="1:5">
      <c r="A19" s="5">
        <v>45658</v>
      </c>
      <c r="B19" s="3" t="s">
        <v>79</v>
      </c>
      <c r="C19" s="16" t="s">
        <v>27</v>
      </c>
      <c r="D19" s="3" t="s">
        <v>73</v>
      </c>
      <c r="E19" s="9">
        <v>12000000</v>
      </c>
    </row>
    <row r="20" spans="1:5">
      <c r="A20" s="5">
        <v>45658</v>
      </c>
      <c r="B20" s="3" t="s">
        <v>79</v>
      </c>
      <c r="C20" s="16" t="s">
        <v>27</v>
      </c>
      <c r="D20" s="3" t="s">
        <v>74</v>
      </c>
      <c r="E20" s="9">
        <v>12000000</v>
      </c>
    </row>
    <row r="21" spans="1:5">
      <c r="A21" s="5">
        <v>45658</v>
      </c>
      <c r="B21" s="3" t="s">
        <v>79</v>
      </c>
      <c r="C21" s="16" t="s">
        <v>27</v>
      </c>
      <c r="D21" s="3" t="s">
        <v>75</v>
      </c>
      <c r="E21" s="9">
        <v>12000000</v>
      </c>
    </row>
    <row r="22" spans="1:5">
      <c r="A22" s="5">
        <v>45658</v>
      </c>
      <c r="B22" s="3" t="s">
        <v>80</v>
      </c>
      <c r="C22" s="16" t="s">
        <v>28</v>
      </c>
      <c r="D22" s="3" t="s">
        <v>72</v>
      </c>
      <c r="E22" s="9">
        <v>10000000</v>
      </c>
    </row>
    <row r="23" spans="1:5">
      <c r="A23" s="5">
        <v>45658</v>
      </c>
      <c r="B23" s="3" t="s">
        <v>80</v>
      </c>
      <c r="C23" s="16" t="s">
        <v>28</v>
      </c>
      <c r="D23" s="3" t="s">
        <v>73</v>
      </c>
      <c r="E23" s="9">
        <v>10000000</v>
      </c>
    </row>
    <row r="24" spans="1:5">
      <c r="A24" s="5">
        <v>45658</v>
      </c>
      <c r="B24" s="3" t="s">
        <v>80</v>
      </c>
      <c r="C24" s="16" t="s">
        <v>28</v>
      </c>
      <c r="D24" s="3" t="s">
        <v>74</v>
      </c>
      <c r="E24" s="9">
        <v>10000000</v>
      </c>
    </row>
    <row r="25" spans="1:5">
      <c r="A25" s="5">
        <v>45658</v>
      </c>
      <c r="B25" s="3" t="s">
        <v>80</v>
      </c>
      <c r="C25" s="16" t="s">
        <v>28</v>
      </c>
      <c r="D25" s="3" t="s">
        <v>75</v>
      </c>
      <c r="E25" s="9">
        <v>10000000</v>
      </c>
    </row>
    <row r="26" spans="1:5">
      <c r="A26" s="5">
        <v>45658</v>
      </c>
      <c r="B26" s="3" t="s">
        <v>81</v>
      </c>
      <c r="C26" s="16" t="s">
        <v>29</v>
      </c>
      <c r="D26" s="3" t="s">
        <v>72</v>
      </c>
      <c r="E26" s="9">
        <v>3000000</v>
      </c>
    </row>
    <row r="27" spans="1:5">
      <c r="A27" s="5">
        <v>45658</v>
      </c>
      <c r="B27" s="3" t="s">
        <v>81</v>
      </c>
      <c r="C27" s="16" t="s">
        <v>29</v>
      </c>
      <c r="D27" s="3" t="s">
        <v>73</v>
      </c>
      <c r="E27" s="9">
        <v>3000000</v>
      </c>
    </row>
    <row r="28" spans="1:5">
      <c r="A28" s="5">
        <v>45658</v>
      </c>
      <c r="B28" s="3" t="s">
        <v>81</v>
      </c>
      <c r="C28" s="16" t="s">
        <v>29</v>
      </c>
      <c r="D28" s="3" t="s">
        <v>74</v>
      </c>
      <c r="E28" s="9">
        <v>3000000</v>
      </c>
    </row>
    <row r="29" spans="1:5">
      <c r="A29" s="5">
        <v>45658</v>
      </c>
      <c r="B29" s="3" t="s">
        <v>81</v>
      </c>
      <c r="C29" s="16" t="s">
        <v>29</v>
      </c>
      <c r="D29" s="3" t="s">
        <v>75</v>
      </c>
      <c r="E29" s="9">
        <v>3000000</v>
      </c>
    </row>
    <row r="30" spans="1:5">
      <c r="A30" s="5">
        <v>45658</v>
      </c>
      <c r="B30" s="3" t="s">
        <v>82</v>
      </c>
      <c r="C30" s="16" t="s">
        <v>30</v>
      </c>
      <c r="D30" s="3" t="s">
        <v>72</v>
      </c>
      <c r="E30" s="9">
        <v>8000000</v>
      </c>
    </row>
    <row r="31" spans="1:5">
      <c r="A31" s="5">
        <v>45658</v>
      </c>
      <c r="B31" s="3" t="s">
        <v>82</v>
      </c>
      <c r="C31" s="16" t="s">
        <v>30</v>
      </c>
      <c r="D31" s="3" t="s">
        <v>73</v>
      </c>
      <c r="E31" s="9">
        <v>8000000</v>
      </c>
    </row>
    <row r="32" spans="1:5">
      <c r="A32" s="5">
        <v>45658</v>
      </c>
      <c r="B32" s="3" t="s">
        <v>82</v>
      </c>
      <c r="C32" s="16" t="s">
        <v>30</v>
      </c>
      <c r="D32" s="3" t="s">
        <v>74</v>
      </c>
      <c r="E32" s="9">
        <v>8000000</v>
      </c>
    </row>
    <row r="33" spans="1:5">
      <c r="A33" s="5">
        <v>45658</v>
      </c>
      <c r="B33" s="3" t="s">
        <v>82</v>
      </c>
      <c r="C33" s="16" t="s">
        <v>30</v>
      </c>
      <c r="D33" s="3" t="s">
        <v>75</v>
      </c>
      <c r="E33" s="9">
        <v>8000000</v>
      </c>
    </row>
    <row r="34" spans="1:5">
      <c r="A34" s="5">
        <v>45689</v>
      </c>
      <c r="B34" s="3" t="s">
        <v>71</v>
      </c>
      <c r="C34" s="16" t="s">
        <v>23</v>
      </c>
      <c r="D34" s="3" t="s">
        <v>72</v>
      </c>
      <c r="E34" s="9">
        <v>8000000</v>
      </c>
    </row>
    <row r="35" spans="1:5">
      <c r="A35" s="5">
        <v>45689</v>
      </c>
      <c r="B35" s="3" t="s">
        <v>71</v>
      </c>
      <c r="C35" s="16" t="s">
        <v>23</v>
      </c>
      <c r="D35" s="3" t="s">
        <v>73</v>
      </c>
      <c r="E35" s="9">
        <v>8000000</v>
      </c>
    </row>
    <row r="36" spans="1:5">
      <c r="A36" s="5">
        <v>45689</v>
      </c>
      <c r="B36" s="3" t="s">
        <v>71</v>
      </c>
      <c r="C36" s="16" t="s">
        <v>23</v>
      </c>
      <c r="D36" s="3" t="s">
        <v>74</v>
      </c>
      <c r="E36" s="9">
        <v>8000000</v>
      </c>
    </row>
    <row r="37" spans="1:5">
      <c r="A37" s="5">
        <v>45689</v>
      </c>
      <c r="B37" s="3" t="s">
        <v>71</v>
      </c>
      <c r="C37" s="16" t="s">
        <v>23</v>
      </c>
      <c r="D37" s="3" t="s">
        <v>75</v>
      </c>
      <c r="E37" s="9">
        <v>8000000</v>
      </c>
    </row>
    <row r="38" spans="1:5">
      <c r="A38" s="5">
        <v>45689</v>
      </c>
      <c r="B38" s="3" t="s">
        <v>76</v>
      </c>
      <c r="C38" s="16" t="s">
        <v>24</v>
      </c>
      <c r="D38" s="3" t="s">
        <v>72</v>
      </c>
      <c r="E38" s="9">
        <v>30000000</v>
      </c>
    </row>
    <row r="39" spans="1:5">
      <c r="A39" s="5">
        <v>45689</v>
      </c>
      <c r="B39" s="3" t="s">
        <v>76</v>
      </c>
      <c r="C39" s="16" t="s">
        <v>24</v>
      </c>
      <c r="D39" s="3" t="s">
        <v>73</v>
      </c>
      <c r="E39" s="9">
        <v>30000000</v>
      </c>
    </row>
    <row r="40" spans="1:5">
      <c r="A40" s="5">
        <v>45689</v>
      </c>
      <c r="B40" s="3" t="s">
        <v>76</v>
      </c>
      <c r="C40" s="16" t="s">
        <v>24</v>
      </c>
      <c r="D40" s="3" t="s">
        <v>74</v>
      </c>
      <c r="E40" s="9">
        <v>30000000</v>
      </c>
    </row>
    <row r="41" spans="1:5">
      <c r="A41" s="5">
        <v>45689</v>
      </c>
      <c r="B41" s="3" t="s">
        <v>76</v>
      </c>
      <c r="C41" s="16" t="s">
        <v>24</v>
      </c>
      <c r="D41" s="3" t="s">
        <v>75</v>
      </c>
      <c r="E41" s="9">
        <v>30000000</v>
      </c>
    </row>
    <row r="42" spans="1:5">
      <c r="A42" s="5">
        <v>45689</v>
      </c>
      <c r="B42" s="3" t="s">
        <v>77</v>
      </c>
      <c r="C42" s="3" t="s">
        <v>25</v>
      </c>
      <c r="D42" s="3" t="s">
        <v>72</v>
      </c>
      <c r="E42" s="9">
        <v>20000000</v>
      </c>
    </row>
    <row r="43" spans="1:5">
      <c r="A43" s="5">
        <v>45689</v>
      </c>
      <c r="B43" s="3" t="s">
        <v>77</v>
      </c>
      <c r="C43" s="3" t="s">
        <v>25</v>
      </c>
      <c r="D43" s="3" t="s">
        <v>73</v>
      </c>
      <c r="E43" s="9">
        <v>20000000</v>
      </c>
    </row>
    <row r="44" spans="1:5">
      <c r="A44" s="5">
        <v>45689</v>
      </c>
      <c r="B44" s="3" t="s">
        <v>77</v>
      </c>
      <c r="C44" s="3" t="s">
        <v>25</v>
      </c>
      <c r="D44" s="3" t="s">
        <v>74</v>
      </c>
      <c r="E44" s="9">
        <v>20000000</v>
      </c>
    </row>
    <row r="45" spans="1:5">
      <c r="A45" s="5">
        <v>45689</v>
      </c>
      <c r="B45" s="3" t="s">
        <v>77</v>
      </c>
      <c r="C45" s="3" t="s">
        <v>25</v>
      </c>
      <c r="D45" s="3" t="s">
        <v>75</v>
      </c>
      <c r="E45" s="9">
        <v>20000000</v>
      </c>
    </row>
    <row r="46" spans="1:5">
      <c r="A46" s="5">
        <v>45689</v>
      </c>
      <c r="B46" s="3" t="s">
        <v>78</v>
      </c>
      <c r="C46" s="3" t="s">
        <v>26</v>
      </c>
      <c r="D46" s="3" t="s">
        <v>72</v>
      </c>
      <c r="E46" s="9">
        <v>8000000</v>
      </c>
    </row>
    <row r="47" spans="1:5">
      <c r="A47" s="5">
        <v>45689</v>
      </c>
      <c r="B47" s="3" t="s">
        <v>78</v>
      </c>
      <c r="C47" s="3" t="s">
        <v>26</v>
      </c>
      <c r="D47" s="3" t="s">
        <v>73</v>
      </c>
      <c r="E47" s="9">
        <v>8000000</v>
      </c>
    </row>
    <row r="48" spans="1:5">
      <c r="A48" s="5">
        <v>45689</v>
      </c>
      <c r="B48" s="3" t="s">
        <v>78</v>
      </c>
      <c r="C48" s="3" t="s">
        <v>26</v>
      </c>
      <c r="D48" s="3" t="s">
        <v>74</v>
      </c>
      <c r="E48" s="9">
        <v>8000000</v>
      </c>
    </row>
    <row r="49" spans="1:5">
      <c r="A49" s="5">
        <v>45689</v>
      </c>
      <c r="B49" s="3" t="s">
        <v>78</v>
      </c>
      <c r="C49" s="3" t="s">
        <v>26</v>
      </c>
      <c r="D49" s="3" t="s">
        <v>75</v>
      </c>
      <c r="E49" s="9">
        <v>8000000</v>
      </c>
    </row>
    <row r="50" spans="1:5">
      <c r="A50" s="5">
        <v>45689</v>
      </c>
      <c r="B50" s="3" t="s">
        <v>79</v>
      </c>
      <c r="C50" s="16" t="s">
        <v>27</v>
      </c>
      <c r="D50" s="3" t="s">
        <v>72</v>
      </c>
      <c r="E50" s="9">
        <v>12000000</v>
      </c>
    </row>
    <row r="51" spans="1:5">
      <c r="A51" s="5">
        <v>45689</v>
      </c>
      <c r="B51" s="3" t="s">
        <v>79</v>
      </c>
      <c r="C51" s="16" t="s">
        <v>27</v>
      </c>
      <c r="D51" s="3" t="s">
        <v>73</v>
      </c>
      <c r="E51" s="9">
        <v>12000000</v>
      </c>
    </row>
    <row r="52" spans="1:5">
      <c r="A52" s="5">
        <v>45689</v>
      </c>
      <c r="B52" s="3" t="s">
        <v>79</v>
      </c>
      <c r="C52" s="16" t="s">
        <v>27</v>
      </c>
      <c r="D52" s="3" t="s">
        <v>74</v>
      </c>
      <c r="E52" s="9">
        <v>12000000</v>
      </c>
    </row>
    <row r="53" spans="1:5">
      <c r="A53" s="5">
        <v>45689</v>
      </c>
      <c r="B53" s="3" t="s">
        <v>79</v>
      </c>
      <c r="C53" s="16" t="s">
        <v>27</v>
      </c>
      <c r="D53" s="3" t="s">
        <v>75</v>
      </c>
      <c r="E53" s="9">
        <v>12000000</v>
      </c>
    </row>
    <row r="54" spans="1:5">
      <c r="A54" s="5">
        <v>45689</v>
      </c>
      <c r="B54" s="3" t="s">
        <v>80</v>
      </c>
      <c r="C54" s="16" t="s">
        <v>28</v>
      </c>
      <c r="D54" s="3" t="s">
        <v>72</v>
      </c>
      <c r="E54" s="9">
        <v>10000000</v>
      </c>
    </row>
    <row r="55" spans="1:5">
      <c r="A55" s="5">
        <v>45689</v>
      </c>
      <c r="B55" s="3" t="s">
        <v>80</v>
      </c>
      <c r="C55" s="16" t="s">
        <v>28</v>
      </c>
      <c r="D55" s="3" t="s">
        <v>73</v>
      </c>
      <c r="E55" s="9">
        <v>10000000</v>
      </c>
    </row>
    <row r="56" spans="1:5">
      <c r="A56" s="5">
        <v>45689</v>
      </c>
      <c r="B56" s="3" t="s">
        <v>80</v>
      </c>
      <c r="C56" s="16" t="s">
        <v>28</v>
      </c>
      <c r="D56" s="3" t="s">
        <v>74</v>
      </c>
      <c r="E56" s="9">
        <v>10000000</v>
      </c>
    </row>
    <row r="57" spans="1:5">
      <c r="A57" s="5">
        <v>45689</v>
      </c>
      <c r="B57" s="3" t="s">
        <v>80</v>
      </c>
      <c r="C57" s="16" t="s">
        <v>28</v>
      </c>
      <c r="D57" s="3" t="s">
        <v>75</v>
      </c>
      <c r="E57" s="9">
        <v>10000000</v>
      </c>
    </row>
    <row r="58" spans="1:5">
      <c r="A58" s="5">
        <v>45689</v>
      </c>
      <c r="B58" s="3" t="s">
        <v>81</v>
      </c>
      <c r="C58" s="16" t="s">
        <v>29</v>
      </c>
      <c r="D58" s="3" t="s">
        <v>72</v>
      </c>
      <c r="E58" s="9">
        <v>3000000</v>
      </c>
    </row>
    <row r="59" spans="1:5">
      <c r="A59" s="5">
        <v>45689</v>
      </c>
      <c r="B59" s="3" t="s">
        <v>81</v>
      </c>
      <c r="C59" s="16" t="s">
        <v>29</v>
      </c>
      <c r="D59" s="3" t="s">
        <v>73</v>
      </c>
      <c r="E59" s="9">
        <v>3000000</v>
      </c>
    </row>
    <row r="60" spans="1:5">
      <c r="A60" s="5">
        <v>45689</v>
      </c>
      <c r="B60" s="3" t="s">
        <v>81</v>
      </c>
      <c r="C60" s="16" t="s">
        <v>29</v>
      </c>
      <c r="D60" s="3" t="s">
        <v>74</v>
      </c>
      <c r="E60" s="9">
        <v>3000000</v>
      </c>
    </row>
    <row r="61" spans="1:5">
      <c r="A61" s="5">
        <v>45689</v>
      </c>
      <c r="B61" s="3" t="s">
        <v>81</v>
      </c>
      <c r="C61" s="16" t="s">
        <v>29</v>
      </c>
      <c r="D61" s="3" t="s">
        <v>75</v>
      </c>
      <c r="E61" s="9">
        <v>3000000</v>
      </c>
    </row>
    <row r="62" spans="1:5">
      <c r="A62" s="5">
        <v>45689</v>
      </c>
      <c r="B62" s="3" t="s">
        <v>82</v>
      </c>
      <c r="C62" s="16" t="s">
        <v>30</v>
      </c>
      <c r="D62" s="3" t="s">
        <v>72</v>
      </c>
      <c r="E62" s="9">
        <v>8000000</v>
      </c>
    </row>
    <row r="63" spans="1:5">
      <c r="A63" s="5">
        <v>45689</v>
      </c>
      <c r="B63" s="3" t="s">
        <v>82</v>
      </c>
      <c r="C63" s="16" t="s">
        <v>30</v>
      </c>
      <c r="D63" s="3" t="s">
        <v>73</v>
      </c>
      <c r="E63" s="9">
        <v>8000000</v>
      </c>
    </row>
    <row r="64" spans="1:5">
      <c r="A64" s="5">
        <v>45689</v>
      </c>
      <c r="B64" s="3" t="s">
        <v>82</v>
      </c>
      <c r="C64" s="16" t="s">
        <v>30</v>
      </c>
      <c r="D64" s="3" t="s">
        <v>74</v>
      </c>
      <c r="E64" s="9">
        <v>8000000</v>
      </c>
    </row>
    <row r="65" spans="1:5">
      <c r="A65" s="5">
        <v>45689</v>
      </c>
      <c r="B65" s="3" t="s">
        <v>82</v>
      </c>
      <c r="C65" s="16" t="s">
        <v>30</v>
      </c>
      <c r="D65" s="3" t="s">
        <v>75</v>
      </c>
      <c r="E65" s="9">
        <v>8000000</v>
      </c>
    </row>
    <row r="66" spans="1:5">
      <c r="A66" s="5">
        <v>45717</v>
      </c>
      <c r="B66" s="3" t="s">
        <v>71</v>
      </c>
      <c r="C66" s="16" t="s">
        <v>23</v>
      </c>
      <c r="D66" s="3" t="s">
        <v>72</v>
      </c>
      <c r="E66" s="9">
        <v>8000000</v>
      </c>
    </row>
    <row r="67" spans="1:5">
      <c r="A67" s="5">
        <v>45717</v>
      </c>
      <c r="B67" s="3" t="s">
        <v>71</v>
      </c>
      <c r="C67" s="16" t="s">
        <v>23</v>
      </c>
      <c r="D67" s="3" t="s">
        <v>73</v>
      </c>
      <c r="E67" s="9">
        <v>8000000</v>
      </c>
    </row>
    <row r="68" spans="1:5">
      <c r="A68" s="5">
        <v>45717</v>
      </c>
      <c r="B68" s="3" t="s">
        <v>71</v>
      </c>
      <c r="C68" s="16" t="s">
        <v>23</v>
      </c>
      <c r="D68" s="3" t="s">
        <v>74</v>
      </c>
      <c r="E68" s="9">
        <v>8000000</v>
      </c>
    </row>
    <row r="69" spans="1:5">
      <c r="A69" s="5">
        <v>45717</v>
      </c>
      <c r="B69" s="3" t="s">
        <v>71</v>
      </c>
      <c r="C69" s="16" t="s">
        <v>23</v>
      </c>
      <c r="D69" s="3" t="s">
        <v>75</v>
      </c>
      <c r="E69" s="9">
        <v>8000000</v>
      </c>
    </row>
    <row r="70" spans="1:5">
      <c r="A70" s="5">
        <v>45717</v>
      </c>
      <c r="B70" s="3" t="s">
        <v>76</v>
      </c>
      <c r="C70" s="16" t="s">
        <v>24</v>
      </c>
      <c r="D70" s="3" t="s">
        <v>72</v>
      </c>
      <c r="E70" s="9">
        <v>30000000</v>
      </c>
    </row>
    <row r="71" spans="1:5">
      <c r="A71" s="5">
        <v>45717</v>
      </c>
      <c r="B71" s="3" t="s">
        <v>76</v>
      </c>
      <c r="C71" s="16" t="s">
        <v>24</v>
      </c>
      <c r="D71" s="3" t="s">
        <v>73</v>
      </c>
      <c r="E71" s="9">
        <v>30000000</v>
      </c>
    </row>
    <row r="72" spans="1:5">
      <c r="A72" s="5">
        <v>45717</v>
      </c>
      <c r="B72" s="3" t="s">
        <v>76</v>
      </c>
      <c r="C72" s="16" t="s">
        <v>24</v>
      </c>
      <c r="D72" s="3" t="s">
        <v>74</v>
      </c>
      <c r="E72" s="9">
        <v>30000000</v>
      </c>
    </row>
    <row r="73" spans="1:5">
      <c r="A73" s="5">
        <v>45717</v>
      </c>
      <c r="B73" s="3" t="s">
        <v>76</v>
      </c>
      <c r="C73" s="16" t="s">
        <v>24</v>
      </c>
      <c r="D73" s="3" t="s">
        <v>75</v>
      </c>
      <c r="E73" s="9">
        <v>30000000</v>
      </c>
    </row>
    <row r="74" spans="1:5">
      <c r="A74" s="5">
        <v>45717</v>
      </c>
      <c r="B74" s="3" t="s">
        <v>77</v>
      </c>
      <c r="C74" s="3" t="s">
        <v>25</v>
      </c>
      <c r="D74" s="3" t="s">
        <v>72</v>
      </c>
      <c r="E74" s="9">
        <v>20000000</v>
      </c>
    </row>
    <row r="75" spans="1:5">
      <c r="A75" s="5">
        <v>45717</v>
      </c>
      <c r="B75" s="3" t="s">
        <v>77</v>
      </c>
      <c r="C75" s="3" t="s">
        <v>25</v>
      </c>
      <c r="D75" s="3" t="s">
        <v>73</v>
      </c>
      <c r="E75" s="9">
        <v>20000000</v>
      </c>
    </row>
    <row r="76" spans="1:5">
      <c r="A76" s="5">
        <v>45717</v>
      </c>
      <c r="B76" s="3" t="s">
        <v>77</v>
      </c>
      <c r="C76" s="3" t="s">
        <v>25</v>
      </c>
      <c r="D76" s="3" t="s">
        <v>74</v>
      </c>
      <c r="E76" s="9">
        <v>20000000</v>
      </c>
    </row>
    <row r="77" spans="1:5">
      <c r="A77" s="5">
        <v>45717</v>
      </c>
      <c r="B77" s="3" t="s">
        <v>77</v>
      </c>
      <c r="C77" s="3" t="s">
        <v>25</v>
      </c>
      <c r="D77" s="3" t="s">
        <v>75</v>
      </c>
      <c r="E77" s="9">
        <v>20000000</v>
      </c>
    </row>
    <row r="78" spans="1:5">
      <c r="A78" s="5">
        <v>45717</v>
      </c>
      <c r="B78" s="3" t="s">
        <v>78</v>
      </c>
      <c r="C78" s="3" t="s">
        <v>26</v>
      </c>
      <c r="D78" s="3" t="s">
        <v>72</v>
      </c>
      <c r="E78" s="9">
        <v>8000000</v>
      </c>
    </row>
    <row r="79" spans="1:5">
      <c r="A79" s="5">
        <v>45717</v>
      </c>
      <c r="B79" s="3" t="s">
        <v>78</v>
      </c>
      <c r="C79" s="3" t="s">
        <v>26</v>
      </c>
      <c r="D79" s="3" t="s">
        <v>73</v>
      </c>
      <c r="E79" s="9">
        <v>8000000</v>
      </c>
    </row>
    <row r="80" spans="1:5">
      <c r="A80" s="5">
        <v>45717</v>
      </c>
      <c r="B80" s="3" t="s">
        <v>78</v>
      </c>
      <c r="C80" s="3" t="s">
        <v>26</v>
      </c>
      <c r="D80" s="3" t="s">
        <v>74</v>
      </c>
      <c r="E80" s="9">
        <v>8000000</v>
      </c>
    </row>
    <row r="81" spans="1:5">
      <c r="A81" s="5">
        <v>45717</v>
      </c>
      <c r="B81" s="3" t="s">
        <v>78</v>
      </c>
      <c r="C81" s="3" t="s">
        <v>26</v>
      </c>
      <c r="D81" s="3" t="s">
        <v>75</v>
      </c>
      <c r="E81" s="9">
        <v>8000000</v>
      </c>
    </row>
    <row r="82" spans="1:5">
      <c r="A82" s="5">
        <v>45717</v>
      </c>
      <c r="B82" s="3" t="s">
        <v>79</v>
      </c>
      <c r="C82" s="16" t="s">
        <v>27</v>
      </c>
      <c r="D82" s="3" t="s">
        <v>72</v>
      </c>
      <c r="E82" s="9">
        <v>12000000</v>
      </c>
    </row>
    <row r="83" spans="1:5">
      <c r="A83" s="5">
        <v>45717</v>
      </c>
      <c r="B83" s="3" t="s">
        <v>79</v>
      </c>
      <c r="C83" s="16" t="s">
        <v>27</v>
      </c>
      <c r="D83" s="3" t="s">
        <v>73</v>
      </c>
      <c r="E83" s="9">
        <v>12000000</v>
      </c>
    </row>
    <row r="84" spans="1:5">
      <c r="A84" s="5">
        <v>45717</v>
      </c>
      <c r="B84" s="3" t="s">
        <v>79</v>
      </c>
      <c r="C84" s="16" t="s">
        <v>27</v>
      </c>
      <c r="D84" s="3" t="s">
        <v>74</v>
      </c>
      <c r="E84" s="9">
        <v>12000000</v>
      </c>
    </row>
    <row r="85" spans="1:5">
      <c r="A85" s="5">
        <v>45717</v>
      </c>
      <c r="B85" s="3" t="s">
        <v>79</v>
      </c>
      <c r="C85" s="16" t="s">
        <v>27</v>
      </c>
      <c r="D85" s="3" t="s">
        <v>75</v>
      </c>
      <c r="E85" s="9">
        <v>12000000</v>
      </c>
    </row>
    <row r="86" spans="1:5">
      <c r="A86" s="5">
        <v>45717</v>
      </c>
      <c r="B86" s="3" t="s">
        <v>80</v>
      </c>
      <c r="C86" s="16" t="s">
        <v>28</v>
      </c>
      <c r="D86" s="3" t="s">
        <v>72</v>
      </c>
      <c r="E86" s="9">
        <v>10000000</v>
      </c>
    </row>
    <row r="87" spans="1:5">
      <c r="A87" s="5">
        <v>45717</v>
      </c>
      <c r="B87" s="3" t="s">
        <v>80</v>
      </c>
      <c r="C87" s="16" t="s">
        <v>28</v>
      </c>
      <c r="D87" s="3" t="s">
        <v>73</v>
      </c>
      <c r="E87" s="9">
        <v>10000000</v>
      </c>
    </row>
    <row r="88" spans="1:5">
      <c r="A88" s="5">
        <v>45717</v>
      </c>
      <c r="B88" s="3" t="s">
        <v>80</v>
      </c>
      <c r="C88" s="16" t="s">
        <v>28</v>
      </c>
      <c r="D88" s="3" t="s">
        <v>74</v>
      </c>
      <c r="E88" s="9">
        <v>10000000</v>
      </c>
    </row>
    <row r="89" spans="1:5">
      <c r="A89" s="5">
        <v>45717</v>
      </c>
      <c r="B89" s="3" t="s">
        <v>80</v>
      </c>
      <c r="C89" s="16" t="s">
        <v>28</v>
      </c>
      <c r="D89" s="3" t="s">
        <v>75</v>
      </c>
      <c r="E89" s="9">
        <v>10000000</v>
      </c>
    </row>
    <row r="90" spans="1:5">
      <c r="A90" s="5">
        <v>45717</v>
      </c>
      <c r="B90" s="3" t="s">
        <v>81</v>
      </c>
      <c r="C90" s="16" t="s">
        <v>29</v>
      </c>
      <c r="D90" s="3" t="s">
        <v>72</v>
      </c>
      <c r="E90" s="9">
        <v>3000000</v>
      </c>
    </row>
    <row r="91" spans="1:5">
      <c r="A91" s="5">
        <v>45717</v>
      </c>
      <c r="B91" s="3" t="s">
        <v>81</v>
      </c>
      <c r="C91" s="16" t="s">
        <v>29</v>
      </c>
      <c r="D91" s="3" t="s">
        <v>73</v>
      </c>
      <c r="E91" s="9">
        <v>3000000</v>
      </c>
    </row>
    <row r="92" spans="1:5">
      <c r="A92" s="5">
        <v>45717</v>
      </c>
      <c r="B92" s="3" t="s">
        <v>81</v>
      </c>
      <c r="C92" s="16" t="s">
        <v>29</v>
      </c>
      <c r="D92" s="3" t="s">
        <v>74</v>
      </c>
      <c r="E92" s="9">
        <v>3000000</v>
      </c>
    </row>
    <row r="93" spans="1:5">
      <c r="A93" s="5">
        <v>45717</v>
      </c>
      <c r="B93" s="3" t="s">
        <v>81</v>
      </c>
      <c r="C93" s="16" t="s">
        <v>29</v>
      </c>
      <c r="D93" s="3" t="s">
        <v>75</v>
      </c>
      <c r="E93" s="9">
        <v>3000000</v>
      </c>
    </row>
    <row r="94" spans="1:5">
      <c r="A94" s="5">
        <v>45717</v>
      </c>
      <c r="B94" s="3" t="s">
        <v>82</v>
      </c>
      <c r="C94" s="16" t="s">
        <v>30</v>
      </c>
      <c r="D94" s="3" t="s">
        <v>72</v>
      </c>
      <c r="E94" s="9">
        <v>8000000</v>
      </c>
    </row>
    <row r="95" spans="1:5">
      <c r="A95" s="5">
        <v>45717</v>
      </c>
      <c r="B95" s="3" t="s">
        <v>82</v>
      </c>
      <c r="C95" s="16" t="s">
        <v>30</v>
      </c>
      <c r="D95" s="3" t="s">
        <v>73</v>
      </c>
      <c r="E95" s="9">
        <v>8000000</v>
      </c>
    </row>
    <row r="96" spans="1:5">
      <c r="A96" s="5">
        <v>45717</v>
      </c>
      <c r="B96" s="3" t="s">
        <v>82</v>
      </c>
      <c r="C96" s="16" t="s">
        <v>30</v>
      </c>
      <c r="D96" s="3" t="s">
        <v>74</v>
      </c>
      <c r="E96" s="9">
        <v>8000000</v>
      </c>
    </row>
    <row r="97" spans="1:5">
      <c r="A97" s="5">
        <v>45717</v>
      </c>
      <c r="B97" s="3" t="s">
        <v>82</v>
      </c>
      <c r="C97" s="16" t="s">
        <v>30</v>
      </c>
      <c r="D97" s="3" t="s">
        <v>75</v>
      </c>
      <c r="E97" s="9">
        <v>8000000</v>
      </c>
    </row>
    <row r="98" spans="1:5">
      <c r="A98" s="5">
        <v>45748</v>
      </c>
      <c r="B98" s="3" t="s">
        <v>71</v>
      </c>
      <c r="C98" s="16" t="s">
        <v>23</v>
      </c>
      <c r="D98" s="3" t="s">
        <v>72</v>
      </c>
      <c r="E98" s="9">
        <v>8000000</v>
      </c>
    </row>
    <row r="99" spans="1:5">
      <c r="A99" s="5">
        <v>45748</v>
      </c>
      <c r="B99" s="3" t="s">
        <v>71</v>
      </c>
      <c r="C99" s="16" t="s">
        <v>23</v>
      </c>
      <c r="D99" s="3" t="s">
        <v>73</v>
      </c>
      <c r="E99" s="9">
        <v>8000000</v>
      </c>
    </row>
    <row r="100" spans="1:5">
      <c r="A100" s="5">
        <v>45748</v>
      </c>
      <c r="B100" s="3" t="s">
        <v>71</v>
      </c>
      <c r="C100" s="16" t="s">
        <v>23</v>
      </c>
      <c r="D100" s="3" t="s">
        <v>74</v>
      </c>
      <c r="E100" s="9">
        <v>8000000</v>
      </c>
    </row>
    <row r="101" spans="1:5">
      <c r="A101" s="5">
        <v>45748</v>
      </c>
      <c r="B101" s="3" t="s">
        <v>71</v>
      </c>
      <c r="C101" s="16" t="s">
        <v>23</v>
      </c>
      <c r="D101" s="3" t="s">
        <v>75</v>
      </c>
      <c r="E101" s="9">
        <v>8000000</v>
      </c>
    </row>
    <row r="102" spans="1:5">
      <c r="A102" s="5">
        <v>45748</v>
      </c>
      <c r="B102" s="3" t="s">
        <v>76</v>
      </c>
      <c r="C102" s="16" t="s">
        <v>24</v>
      </c>
      <c r="D102" s="3" t="s">
        <v>72</v>
      </c>
      <c r="E102" s="9">
        <v>30000000</v>
      </c>
    </row>
    <row r="103" spans="1:5">
      <c r="A103" s="5">
        <v>45748</v>
      </c>
      <c r="B103" s="3" t="s">
        <v>76</v>
      </c>
      <c r="C103" s="16" t="s">
        <v>24</v>
      </c>
      <c r="D103" s="3" t="s">
        <v>73</v>
      </c>
      <c r="E103" s="9">
        <v>30000000</v>
      </c>
    </row>
    <row r="104" spans="1:5">
      <c r="A104" s="5">
        <v>45748</v>
      </c>
      <c r="B104" s="3" t="s">
        <v>76</v>
      </c>
      <c r="C104" s="16" t="s">
        <v>24</v>
      </c>
      <c r="D104" s="3" t="s">
        <v>74</v>
      </c>
      <c r="E104" s="9">
        <v>30000000</v>
      </c>
    </row>
    <row r="105" spans="1:5">
      <c r="A105" s="5">
        <v>45748</v>
      </c>
      <c r="B105" s="3" t="s">
        <v>76</v>
      </c>
      <c r="C105" s="16" t="s">
        <v>24</v>
      </c>
      <c r="D105" s="3" t="s">
        <v>75</v>
      </c>
      <c r="E105" s="9">
        <v>30000000</v>
      </c>
    </row>
    <row r="106" spans="1:5">
      <c r="A106" s="5">
        <v>45748</v>
      </c>
      <c r="B106" s="3" t="s">
        <v>77</v>
      </c>
      <c r="C106" s="3" t="s">
        <v>25</v>
      </c>
      <c r="D106" s="3" t="s">
        <v>72</v>
      </c>
      <c r="E106" s="9">
        <v>20000000</v>
      </c>
    </row>
    <row r="107" spans="1:5">
      <c r="A107" s="5">
        <v>45748</v>
      </c>
      <c r="B107" s="3" t="s">
        <v>77</v>
      </c>
      <c r="C107" s="3" t="s">
        <v>25</v>
      </c>
      <c r="D107" s="3" t="s">
        <v>73</v>
      </c>
      <c r="E107" s="9">
        <v>20000000</v>
      </c>
    </row>
    <row r="108" spans="1:5">
      <c r="A108" s="5">
        <v>45748</v>
      </c>
      <c r="B108" s="3" t="s">
        <v>77</v>
      </c>
      <c r="C108" s="3" t="s">
        <v>25</v>
      </c>
      <c r="D108" s="3" t="s">
        <v>74</v>
      </c>
      <c r="E108" s="9">
        <v>20000000</v>
      </c>
    </row>
    <row r="109" spans="1:5">
      <c r="A109" s="5">
        <v>45748</v>
      </c>
      <c r="B109" s="3" t="s">
        <v>77</v>
      </c>
      <c r="C109" s="3" t="s">
        <v>25</v>
      </c>
      <c r="D109" s="3" t="s">
        <v>75</v>
      </c>
      <c r="E109" s="9">
        <v>20000000</v>
      </c>
    </row>
    <row r="110" spans="1:5">
      <c r="A110" s="5">
        <v>45748</v>
      </c>
      <c r="B110" s="3" t="s">
        <v>78</v>
      </c>
      <c r="C110" s="3" t="s">
        <v>26</v>
      </c>
      <c r="D110" s="3" t="s">
        <v>72</v>
      </c>
      <c r="E110" s="9">
        <v>8000000</v>
      </c>
    </row>
    <row r="111" spans="1:5">
      <c r="A111" s="5">
        <v>45748</v>
      </c>
      <c r="B111" s="3" t="s">
        <v>78</v>
      </c>
      <c r="C111" s="3" t="s">
        <v>26</v>
      </c>
      <c r="D111" s="3" t="s">
        <v>73</v>
      </c>
      <c r="E111" s="9">
        <v>8000000</v>
      </c>
    </row>
    <row r="112" spans="1:5">
      <c r="A112" s="5">
        <v>45748</v>
      </c>
      <c r="B112" s="3" t="s">
        <v>78</v>
      </c>
      <c r="C112" s="3" t="s">
        <v>26</v>
      </c>
      <c r="D112" s="3" t="s">
        <v>74</v>
      </c>
      <c r="E112" s="9">
        <v>8000000</v>
      </c>
    </row>
    <row r="113" spans="1:5">
      <c r="A113" s="5">
        <v>45748</v>
      </c>
      <c r="B113" s="3" t="s">
        <v>78</v>
      </c>
      <c r="C113" s="3" t="s">
        <v>26</v>
      </c>
      <c r="D113" s="3" t="s">
        <v>75</v>
      </c>
      <c r="E113" s="9">
        <v>8000000</v>
      </c>
    </row>
    <row r="114" spans="1:5">
      <c r="A114" s="5">
        <v>45748</v>
      </c>
      <c r="B114" s="3" t="s">
        <v>79</v>
      </c>
      <c r="C114" s="16" t="s">
        <v>27</v>
      </c>
      <c r="D114" s="3" t="s">
        <v>72</v>
      </c>
      <c r="E114" s="9">
        <v>12000000</v>
      </c>
    </row>
    <row r="115" spans="1:5">
      <c r="A115" s="5">
        <v>45748</v>
      </c>
      <c r="B115" s="3" t="s">
        <v>79</v>
      </c>
      <c r="C115" s="16" t="s">
        <v>27</v>
      </c>
      <c r="D115" s="3" t="s">
        <v>73</v>
      </c>
      <c r="E115" s="9">
        <v>12000000</v>
      </c>
    </row>
    <row r="116" spans="1:5">
      <c r="A116" s="5">
        <v>45748</v>
      </c>
      <c r="B116" s="3" t="s">
        <v>79</v>
      </c>
      <c r="C116" s="16" t="s">
        <v>27</v>
      </c>
      <c r="D116" s="3" t="s">
        <v>74</v>
      </c>
      <c r="E116" s="9">
        <v>12000000</v>
      </c>
    </row>
    <row r="117" spans="1:5">
      <c r="A117" s="5">
        <v>45748</v>
      </c>
      <c r="B117" s="3" t="s">
        <v>79</v>
      </c>
      <c r="C117" s="16" t="s">
        <v>27</v>
      </c>
      <c r="D117" s="3" t="s">
        <v>75</v>
      </c>
      <c r="E117" s="9">
        <v>12000000</v>
      </c>
    </row>
    <row r="118" spans="1:5">
      <c r="A118" s="5">
        <v>45748</v>
      </c>
      <c r="B118" s="3" t="s">
        <v>80</v>
      </c>
      <c r="C118" s="16" t="s">
        <v>28</v>
      </c>
      <c r="D118" s="3" t="s">
        <v>72</v>
      </c>
      <c r="E118" s="9">
        <v>10000000</v>
      </c>
    </row>
    <row r="119" spans="1:5">
      <c r="A119" s="5">
        <v>45748</v>
      </c>
      <c r="B119" s="3" t="s">
        <v>80</v>
      </c>
      <c r="C119" s="16" t="s">
        <v>28</v>
      </c>
      <c r="D119" s="3" t="s">
        <v>73</v>
      </c>
      <c r="E119" s="9">
        <v>10000000</v>
      </c>
    </row>
    <row r="120" spans="1:5">
      <c r="A120" s="5">
        <v>45748</v>
      </c>
      <c r="B120" s="3" t="s">
        <v>80</v>
      </c>
      <c r="C120" s="16" t="s">
        <v>28</v>
      </c>
      <c r="D120" s="3" t="s">
        <v>74</v>
      </c>
      <c r="E120" s="9">
        <v>10000000</v>
      </c>
    </row>
    <row r="121" spans="1:5">
      <c r="A121" s="5">
        <v>45748</v>
      </c>
      <c r="B121" s="3" t="s">
        <v>80</v>
      </c>
      <c r="C121" s="16" t="s">
        <v>28</v>
      </c>
      <c r="D121" s="3" t="s">
        <v>75</v>
      </c>
      <c r="E121" s="9">
        <v>10000000</v>
      </c>
    </row>
    <row r="122" spans="1:5">
      <c r="A122" s="5">
        <v>45748</v>
      </c>
      <c r="B122" s="3" t="s">
        <v>81</v>
      </c>
      <c r="C122" s="16" t="s">
        <v>29</v>
      </c>
      <c r="D122" s="3" t="s">
        <v>72</v>
      </c>
      <c r="E122" s="9">
        <v>3000000</v>
      </c>
    </row>
    <row r="123" spans="1:5">
      <c r="A123" s="5">
        <v>45748</v>
      </c>
      <c r="B123" s="3" t="s">
        <v>81</v>
      </c>
      <c r="C123" s="16" t="s">
        <v>29</v>
      </c>
      <c r="D123" s="3" t="s">
        <v>73</v>
      </c>
      <c r="E123" s="9">
        <v>3000000</v>
      </c>
    </row>
    <row r="124" spans="1:5">
      <c r="A124" s="5">
        <v>45748</v>
      </c>
      <c r="B124" s="3" t="s">
        <v>81</v>
      </c>
      <c r="C124" s="16" t="s">
        <v>29</v>
      </c>
      <c r="D124" s="3" t="s">
        <v>74</v>
      </c>
      <c r="E124" s="9">
        <v>3000000</v>
      </c>
    </row>
    <row r="125" spans="1:5">
      <c r="A125" s="5">
        <v>45748</v>
      </c>
      <c r="B125" s="3" t="s">
        <v>81</v>
      </c>
      <c r="C125" s="16" t="s">
        <v>29</v>
      </c>
      <c r="D125" s="3" t="s">
        <v>75</v>
      </c>
      <c r="E125" s="9">
        <v>3000000</v>
      </c>
    </row>
    <row r="126" spans="1:5">
      <c r="A126" s="5">
        <v>45748</v>
      </c>
      <c r="B126" s="3" t="s">
        <v>82</v>
      </c>
      <c r="C126" s="16" t="s">
        <v>30</v>
      </c>
      <c r="D126" s="3" t="s">
        <v>72</v>
      </c>
      <c r="E126" s="9">
        <v>8000000</v>
      </c>
    </row>
    <row r="127" spans="1:5">
      <c r="A127" s="5">
        <v>45748</v>
      </c>
      <c r="B127" s="3" t="s">
        <v>82</v>
      </c>
      <c r="C127" s="16" t="s">
        <v>30</v>
      </c>
      <c r="D127" s="3" t="s">
        <v>73</v>
      </c>
      <c r="E127" s="9">
        <v>8000000</v>
      </c>
    </row>
    <row r="128" spans="1:5">
      <c r="A128" s="5">
        <v>45748</v>
      </c>
      <c r="B128" s="3" t="s">
        <v>82</v>
      </c>
      <c r="C128" s="16" t="s">
        <v>30</v>
      </c>
      <c r="D128" s="3" t="s">
        <v>74</v>
      </c>
      <c r="E128" s="9">
        <v>8000000</v>
      </c>
    </row>
    <row r="129" spans="1:5">
      <c r="A129" s="5">
        <v>45748</v>
      </c>
      <c r="B129" s="3" t="s">
        <v>82</v>
      </c>
      <c r="C129" s="16" t="s">
        <v>30</v>
      </c>
      <c r="D129" s="3" t="s">
        <v>75</v>
      </c>
      <c r="E129" s="9">
        <v>8000000</v>
      </c>
    </row>
    <row r="130" spans="1:5">
      <c r="A130" s="5">
        <v>45778</v>
      </c>
      <c r="B130" s="3" t="s">
        <v>71</v>
      </c>
      <c r="C130" s="16" t="s">
        <v>23</v>
      </c>
      <c r="D130" s="3" t="s">
        <v>72</v>
      </c>
      <c r="E130" s="9">
        <v>8000000</v>
      </c>
    </row>
    <row r="131" spans="1:5">
      <c r="A131" s="5">
        <v>45778</v>
      </c>
      <c r="B131" s="3" t="s">
        <v>71</v>
      </c>
      <c r="C131" s="16" t="s">
        <v>23</v>
      </c>
      <c r="D131" s="3" t="s">
        <v>73</v>
      </c>
      <c r="E131" s="9">
        <v>8000000</v>
      </c>
    </row>
    <row r="132" spans="1:5">
      <c r="A132" s="5">
        <v>45778</v>
      </c>
      <c r="B132" s="3" t="s">
        <v>71</v>
      </c>
      <c r="C132" s="16" t="s">
        <v>23</v>
      </c>
      <c r="D132" s="3" t="s">
        <v>74</v>
      </c>
      <c r="E132" s="9">
        <v>8000000</v>
      </c>
    </row>
    <row r="133" spans="1:5">
      <c r="A133" s="5">
        <v>45778</v>
      </c>
      <c r="B133" s="3" t="s">
        <v>71</v>
      </c>
      <c r="C133" s="16" t="s">
        <v>23</v>
      </c>
      <c r="D133" s="3" t="s">
        <v>75</v>
      </c>
      <c r="E133" s="9">
        <v>8000000</v>
      </c>
    </row>
    <row r="134" spans="1:5">
      <c r="A134" s="5">
        <v>45778</v>
      </c>
      <c r="B134" s="3" t="s">
        <v>76</v>
      </c>
      <c r="C134" s="16" t="s">
        <v>24</v>
      </c>
      <c r="D134" s="3" t="s">
        <v>72</v>
      </c>
      <c r="E134" s="9">
        <v>30000000</v>
      </c>
    </row>
    <row r="135" spans="1:5">
      <c r="A135" s="5">
        <v>45778</v>
      </c>
      <c r="B135" s="3" t="s">
        <v>76</v>
      </c>
      <c r="C135" s="16" t="s">
        <v>24</v>
      </c>
      <c r="D135" s="3" t="s">
        <v>73</v>
      </c>
      <c r="E135" s="9">
        <v>30000000</v>
      </c>
    </row>
    <row r="136" spans="1:5">
      <c r="A136" s="5">
        <v>45778</v>
      </c>
      <c r="B136" s="3" t="s">
        <v>76</v>
      </c>
      <c r="C136" s="16" t="s">
        <v>24</v>
      </c>
      <c r="D136" s="3" t="s">
        <v>74</v>
      </c>
      <c r="E136" s="9">
        <v>30000000</v>
      </c>
    </row>
    <row r="137" spans="1:5">
      <c r="A137" s="5">
        <v>45778</v>
      </c>
      <c r="B137" s="3" t="s">
        <v>76</v>
      </c>
      <c r="C137" s="16" t="s">
        <v>24</v>
      </c>
      <c r="D137" s="3" t="s">
        <v>75</v>
      </c>
      <c r="E137" s="9">
        <v>30000000</v>
      </c>
    </row>
    <row r="138" spans="1:5">
      <c r="A138" s="5">
        <v>45778</v>
      </c>
      <c r="B138" s="3" t="s">
        <v>77</v>
      </c>
      <c r="C138" s="3" t="s">
        <v>25</v>
      </c>
      <c r="D138" s="3" t="s">
        <v>72</v>
      </c>
      <c r="E138" s="9">
        <v>20000000</v>
      </c>
    </row>
    <row r="139" spans="1:5">
      <c r="A139" s="5">
        <v>45778</v>
      </c>
      <c r="B139" s="3" t="s">
        <v>77</v>
      </c>
      <c r="C139" s="3" t="s">
        <v>25</v>
      </c>
      <c r="D139" s="3" t="s">
        <v>73</v>
      </c>
      <c r="E139" s="9">
        <v>20000000</v>
      </c>
    </row>
    <row r="140" spans="1:5">
      <c r="A140" s="5">
        <v>45778</v>
      </c>
      <c r="B140" s="3" t="s">
        <v>77</v>
      </c>
      <c r="C140" s="3" t="s">
        <v>25</v>
      </c>
      <c r="D140" s="3" t="s">
        <v>74</v>
      </c>
      <c r="E140" s="9">
        <v>20000000</v>
      </c>
    </row>
    <row r="141" spans="1:5">
      <c r="A141" s="5">
        <v>45778</v>
      </c>
      <c r="B141" s="3" t="s">
        <v>77</v>
      </c>
      <c r="C141" s="3" t="s">
        <v>25</v>
      </c>
      <c r="D141" s="3" t="s">
        <v>75</v>
      </c>
      <c r="E141" s="9">
        <v>20000000</v>
      </c>
    </row>
    <row r="142" spans="1:5">
      <c r="A142" s="5">
        <v>45778</v>
      </c>
      <c r="B142" s="3" t="s">
        <v>78</v>
      </c>
      <c r="C142" s="3" t="s">
        <v>26</v>
      </c>
      <c r="D142" s="3" t="s">
        <v>72</v>
      </c>
      <c r="E142" s="9">
        <v>8000000</v>
      </c>
    </row>
    <row r="143" spans="1:5">
      <c r="A143" s="5">
        <v>45778</v>
      </c>
      <c r="B143" s="3" t="s">
        <v>78</v>
      </c>
      <c r="C143" s="3" t="s">
        <v>26</v>
      </c>
      <c r="D143" s="3" t="s">
        <v>73</v>
      </c>
      <c r="E143" s="9">
        <v>8000000</v>
      </c>
    </row>
    <row r="144" spans="1:5">
      <c r="A144" s="5">
        <v>45778</v>
      </c>
      <c r="B144" s="3" t="s">
        <v>78</v>
      </c>
      <c r="C144" s="3" t="s">
        <v>26</v>
      </c>
      <c r="D144" s="3" t="s">
        <v>74</v>
      </c>
      <c r="E144" s="9">
        <v>8000000</v>
      </c>
    </row>
    <row r="145" spans="1:5">
      <c r="A145" s="5">
        <v>45778</v>
      </c>
      <c r="B145" s="3" t="s">
        <v>78</v>
      </c>
      <c r="C145" s="3" t="s">
        <v>26</v>
      </c>
      <c r="D145" s="3" t="s">
        <v>75</v>
      </c>
      <c r="E145" s="9">
        <v>8000000</v>
      </c>
    </row>
    <row r="146" spans="1:5">
      <c r="A146" s="5">
        <v>45778</v>
      </c>
      <c r="B146" s="3" t="s">
        <v>79</v>
      </c>
      <c r="C146" s="16" t="s">
        <v>27</v>
      </c>
      <c r="D146" s="3" t="s">
        <v>72</v>
      </c>
      <c r="E146" s="9">
        <v>12000000</v>
      </c>
    </row>
    <row r="147" spans="1:5">
      <c r="A147" s="5">
        <v>45778</v>
      </c>
      <c r="B147" s="3" t="s">
        <v>79</v>
      </c>
      <c r="C147" s="16" t="s">
        <v>27</v>
      </c>
      <c r="D147" s="3" t="s">
        <v>73</v>
      </c>
      <c r="E147" s="9">
        <v>12000000</v>
      </c>
    </row>
    <row r="148" spans="1:5">
      <c r="A148" s="5">
        <v>45778</v>
      </c>
      <c r="B148" s="3" t="s">
        <v>79</v>
      </c>
      <c r="C148" s="16" t="s">
        <v>27</v>
      </c>
      <c r="D148" s="3" t="s">
        <v>74</v>
      </c>
      <c r="E148" s="9">
        <v>12000000</v>
      </c>
    </row>
    <row r="149" spans="1:5">
      <c r="A149" s="5">
        <v>45778</v>
      </c>
      <c r="B149" s="3" t="s">
        <v>79</v>
      </c>
      <c r="C149" s="16" t="s">
        <v>27</v>
      </c>
      <c r="D149" s="3" t="s">
        <v>75</v>
      </c>
      <c r="E149" s="9">
        <v>12000000</v>
      </c>
    </row>
    <row r="150" spans="1:5">
      <c r="A150" s="5">
        <v>45778</v>
      </c>
      <c r="B150" s="3" t="s">
        <v>80</v>
      </c>
      <c r="C150" s="16" t="s">
        <v>28</v>
      </c>
      <c r="D150" s="3" t="s">
        <v>72</v>
      </c>
      <c r="E150" s="9">
        <v>10000000</v>
      </c>
    </row>
    <row r="151" spans="1:5">
      <c r="A151" s="5">
        <v>45778</v>
      </c>
      <c r="B151" s="3" t="s">
        <v>80</v>
      </c>
      <c r="C151" s="16" t="s">
        <v>28</v>
      </c>
      <c r="D151" s="3" t="s">
        <v>73</v>
      </c>
      <c r="E151" s="9">
        <v>10000000</v>
      </c>
    </row>
    <row r="152" spans="1:5">
      <c r="A152" s="5">
        <v>45778</v>
      </c>
      <c r="B152" s="3" t="s">
        <v>80</v>
      </c>
      <c r="C152" s="16" t="s">
        <v>28</v>
      </c>
      <c r="D152" s="3" t="s">
        <v>74</v>
      </c>
      <c r="E152" s="9">
        <v>10000000</v>
      </c>
    </row>
    <row r="153" spans="1:5">
      <c r="A153" s="5">
        <v>45778</v>
      </c>
      <c r="B153" s="3" t="s">
        <v>80</v>
      </c>
      <c r="C153" s="16" t="s">
        <v>28</v>
      </c>
      <c r="D153" s="3" t="s">
        <v>75</v>
      </c>
      <c r="E153" s="9">
        <v>10000000</v>
      </c>
    </row>
    <row r="154" spans="1:5">
      <c r="A154" s="5">
        <v>45778</v>
      </c>
      <c r="B154" s="3" t="s">
        <v>81</v>
      </c>
      <c r="C154" s="16" t="s">
        <v>29</v>
      </c>
      <c r="D154" s="3" t="s">
        <v>72</v>
      </c>
      <c r="E154" s="9">
        <v>3000000</v>
      </c>
    </row>
    <row r="155" spans="1:5">
      <c r="A155" s="5">
        <v>45778</v>
      </c>
      <c r="B155" s="3" t="s">
        <v>81</v>
      </c>
      <c r="C155" s="16" t="s">
        <v>29</v>
      </c>
      <c r="D155" s="3" t="s">
        <v>73</v>
      </c>
      <c r="E155" s="9">
        <v>3000000</v>
      </c>
    </row>
    <row r="156" spans="1:5">
      <c r="A156" s="5">
        <v>45778</v>
      </c>
      <c r="B156" s="3" t="s">
        <v>81</v>
      </c>
      <c r="C156" s="16" t="s">
        <v>29</v>
      </c>
      <c r="D156" s="3" t="s">
        <v>74</v>
      </c>
      <c r="E156" s="9">
        <v>3000000</v>
      </c>
    </row>
    <row r="157" spans="1:5">
      <c r="A157" s="5">
        <v>45778</v>
      </c>
      <c r="B157" s="3" t="s">
        <v>81</v>
      </c>
      <c r="C157" s="16" t="s">
        <v>29</v>
      </c>
      <c r="D157" s="3" t="s">
        <v>75</v>
      </c>
      <c r="E157" s="9">
        <v>3000000</v>
      </c>
    </row>
    <row r="158" spans="1:5">
      <c r="A158" s="5">
        <v>45778</v>
      </c>
      <c r="B158" s="3" t="s">
        <v>82</v>
      </c>
      <c r="C158" s="16" t="s">
        <v>30</v>
      </c>
      <c r="D158" s="3" t="s">
        <v>72</v>
      </c>
      <c r="E158" s="9">
        <v>8000000</v>
      </c>
    </row>
    <row r="159" spans="1:5">
      <c r="A159" s="5">
        <v>45778</v>
      </c>
      <c r="B159" s="3" t="s">
        <v>82</v>
      </c>
      <c r="C159" s="16" t="s">
        <v>30</v>
      </c>
      <c r="D159" s="3" t="s">
        <v>73</v>
      </c>
      <c r="E159" s="9">
        <v>8000000</v>
      </c>
    </row>
    <row r="160" spans="1:5">
      <c r="A160" s="5">
        <v>45778</v>
      </c>
      <c r="B160" s="3" t="s">
        <v>82</v>
      </c>
      <c r="C160" s="16" t="s">
        <v>30</v>
      </c>
      <c r="D160" s="3" t="s">
        <v>74</v>
      </c>
      <c r="E160" s="9">
        <v>8000000</v>
      </c>
    </row>
    <row r="161" spans="1:5">
      <c r="A161" s="5">
        <v>45778</v>
      </c>
      <c r="B161" s="3" t="s">
        <v>82</v>
      </c>
      <c r="C161" s="16" t="s">
        <v>30</v>
      </c>
      <c r="D161" s="3" t="s">
        <v>75</v>
      </c>
      <c r="E161" s="9">
        <v>8000000</v>
      </c>
    </row>
    <row r="162" spans="1:5">
      <c r="A162" s="5">
        <v>45809</v>
      </c>
      <c r="B162" s="3" t="s">
        <v>71</v>
      </c>
      <c r="C162" s="16" t="s">
        <v>23</v>
      </c>
      <c r="D162" s="3" t="s">
        <v>72</v>
      </c>
      <c r="E162" s="9">
        <v>8000000</v>
      </c>
    </row>
    <row r="163" spans="1:5">
      <c r="A163" s="5">
        <v>45809</v>
      </c>
      <c r="B163" s="3" t="s">
        <v>71</v>
      </c>
      <c r="C163" s="16" t="s">
        <v>23</v>
      </c>
      <c r="D163" s="3" t="s">
        <v>73</v>
      </c>
      <c r="E163" s="9">
        <v>8000000</v>
      </c>
    </row>
    <row r="164" spans="1:5">
      <c r="A164" s="5">
        <v>45809</v>
      </c>
      <c r="B164" s="3" t="s">
        <v>71</v>
      </c>
      <c r="C164" s="16" t="s">
        <v>23</v>
      </c>
      <c r="D164" s="3" t="s">
        <v>74</v>
      </c>
      <c r="E164" s="9">
        <v>8000000</v>
      </c>
    </row>
    <row r="165" spans="1:5">
      <c r="A165" s="5">
        <v>45809</v>
      </c>
      <c r="B165" s="3" t="s">
        <v>71</v>
      </c>
      <c r="C165" s="16" t="s">
        <v>23</v>
      </c>
      <c r="D165" s="3" t="s">
        <v>75</v>
      </c>
      <c r="E165" s="9">
        <v>8000000</v>
      </c>
    </row>
    <row r="166" spans="1:5">
      <c r="A166" s="5">
        <v>45809</v>
      </c>
      <c r="B166" s="3" t="s">
        <v>76</v>
      </c>
      <c r="C166" s="16" t="s">
        <v>24</v>
      </c>
      <c r="D166" s="3" t="s">
        <v>72</v>
      </c>
      <c r="E166" s="9">
        <v>30000000</v>
      </c>
    </row>
    <row r="167" spans="1:5">
      <c r="A167" s="5">
        <v>45809</v>
      </c>
      <c r="B167" s="3" t="s">
        <v>76</v>
      </c>
      <c r="C167" s="16" t="s">
        <v>24</v>
      </c>
      <c r="D167" s="3" t="s">
        <v>73</v>
      </c>
      <c r="E167" s="9">
        <v>30000000</v>
      </c>
    </row>
    <row r="168" spans="1:5">
      <c r="A168" s="5">
        <v>45809</v>
      </c>
      <c r="B168" s="3" t="s">
        <v>76</v>
      </c>
      <c r="C168" s="16" t="s">
        <v>24</v>
      </c>
      <c r="D168" s="3" t="s">
        <v>74</v>
      </c>
      <c r="E168" s="9">
        <v>30000000</v>
      </c>
    </row>
    <row r="169" spans="1:5">
      <c r="A169" s="5">
        <v>45809</v>
      </c>
      <c r="B169" s="3" t="s">
        <v>76</v>
      </c>
      <c r="C169" s="16" t="s">
        <v>24</v>
      </c>
      <c r="D169" s="3" t="s">
        <v>75</v>
      </c>
      <c r="E169" s="9">
        <v>30000000</v>
      </c>
    </row>
    <row r="170" spans="1:5">
      <c r="A170" s="5">
        <v>45809</v>
      </c>
      <c r="B170" s="3" t="s">
        <v>77</v>
      </c>
      <c r="C170" s="3" t="s">
        <v>25</v>
      </c>
      <c r="D170" s="3" t="s">
        <v>72</v>
      </c>
      <c r="E170" s="9">
        <v>20000000</v>
      </c>
    </row>
    <row r="171" spans="1:5">
      <c r="A171" s="5">
        <v>45809</v>
      </c>
      <c r="B171" s="3" t="s">
        <v>77</v>
      </c>
      <c r="C171" s="3" t="s">
        <v>25</v>
      </c>
      <c r="D171" s="3" t="s">
        <v>73</v>
      </c>
      <c r="E171" s="9">
        <v>20000000</v>
      </c>
    </row>
    <row r="172" spans="1:5">
      <c r="A172" s="5">
        <v>45809</v>
      </c>
      <c r="B172" s="3" t="s">
        <v>77</v>
      </c>
      <c r="C172" s="3" t="s">
        <v>25</v>
      </c>
      <c r="D172" s="3" t="s">
        <v>74</v>
      </c>
      <c r="E172" s="9">
        <v>20000000</v>
      </c>
    </row>
    <row r="173" spans="1:5">
      <c r="A173" s="5">
        <v>45809</v>
      </c>
      <c r="B173" s="3" t="s">
        <v>77</v>
      </c>
      <c r="C173" s="3" t="s">
        <v>25</v>
      </c>
      <c r="D173" s="3" t="s">
        <v>75</v>
      </c>
      <c r="E173" s="9">
        <v>20000000</v>
      </c>
    </row>
    <row r="174" spans="1:5">
      <c r="A174" s="5">
        <v>45809</v>
      </c>
      <c r="B174" s="3" t="s">
        <v>78</v>
      </c>
      <c r="C174" s="3" t="s">
        <v>26</v>
      </c>
      <c r="D174" s="3" t="s">
        <v>72</v>
      </c>
      <c r="E174" s="9">
        <v>8000000</v>
      </c>
    </row>
    <row r="175" spans="1:5">
      <c r="A175" s="5">
        <v>45809</v>
      </c>
      <c r="B175" s="3" t="s">
        <v>78</v>
      </c>
      <c r="C175" s="3" t="s">
        <v>26</v>
      </c>
      <c r="D175" s="3" t="s">
        <v>73</v>
      </c>
      <c r="E175" s="9">
        <v>8000000</v>
      </c>
    </row>
    <row r="176" spans="1:5">
      <c r="A176" s="5">
        <v>45809</v>
      </c>
      <c r="B176" s="3" t="s">
        <v>78</v>
      </c>
      <c r="C176" s="3" t="s">
        <v>26</v>
      </c>
      <c r="D176" s="3" t="s">
        <v>74</v>
      </c>
      <c r="E176" s="9">
        <v>8000000</v>
      </c>
    </row>
    <row r="177" spans="1:5">
      <c r="A177" s="5">
        <v>45809</v>
      </c>
      <c r="B177" s="3" t="s">
        <v>78</v>
      </c>
      <c r="C177" s="3" t="s">
        <v>26</v>
      </c>
      <c r="D177" s="3" t="s">
        <v>75</v>
      </c>
      <c r="E177" s="9">
        <v>8000000</v>
      </c>
    </row>
    <row r="178" spans="1:5">
      <c r="A178" s="5">
        <v>45809</v>
      </c>
      <c r="B178" s="3" t="s">
        <v>79</v>
      </c>
      <c r="C178" s="16" t="s">
        <v>27</v>
      </c>
      <c r="D178" s="3" t="s">
        <v>72</v>
      </c>
      <c r="E178" s="9">
        <v>12000000</v>
      </c>
    </row>
    <row r="179" spans="1:5">
      <c r="A179" s="5">
        <v>45809</v>
      </c>
      <c r="B179" s="3" t="s">
        <v>79</v>
      </c>
      <c r="C179" s="16" t="s">
        <v>27</v>
      </c>
      <c r="D179" s="3" t="s">
        <v>73</v>
      </c>
      <c r="E179" s="9">
        <v>12000000</v>
      </c>
    </row>
    <row r="180" spans="1:5">
      <c r="A180" s="5">
        <v>45809</v>
      </c>
      <c r="B180" s="3" t="s">
        <v>79</v>
      </c>
      <c r="C180" s="16" t="s">
        <v>27</v>
      </c>
      <c r="D180" s="3" t="s">
        <v>74</v>
      </c>
      <c r="E180" s="9">
        <v>12000000</v>
      </c>
    </row>
    <row r="181" spans="1:5">
      <c r="A181" s="5">
        <v>45809</v>
      </c>
      <c r="B181" s="3" t="s">
        <v>79</v>
      </c>
      <c r="C181" s="16" t="s">
        <v>27</v>
      </c>
      <c r="D181" s="3" t="s">
        <v>75</v>
      </c>
      <c r="E181" s="9">
        <v>12000000</v>
      </c>
    </row>
    <row r="182" spans="1:5">
      <c r="A182" s="5">
        <v>45809</v>
      </c>
      <c r="B182" s="3" t="s">
        <v>80</v>
      </c>
      <c r="C182" s="16" t="s">
        <v>28</v>
      </c>
      <c r="D182" s="3" t="s">
        <v>72</v>
      </c>
      <c r="E182" s="9">
        <v>10000000</v>
      </c>
    </row>
    <row r="183" spans="1:5">
      <c r="A183" s="5">
        <v>45809</v>
      </c>
      <c r="B183" s="3" t="s">
        <v>80</v>
      </c>
      <c r="C183" s="16" t="s">
        <v>28</v>
      </c>
      <c r="D183" s="3" t="s">
        <v>73</v>
      </c>
      <c r="E183" s="9">
        <v>10000000</v>
      </c>
    </row>
    <row r="184" spans="1:5">
      <c r="A184" s="5">
        <v>45809</v>
      </c>
      <c r="B184" s="3" t="s">
        <v>80</v>
      </c>
      <c r="C184" s="16" t="s">
        <v>28</v>
      </c>
      <c r="D184" s="3" t="s">
        <v>74</v>
      </c>
      <c r="E184" s="9">
        <v>10000000</v>
      </c>
    </row>
    <row r="185" spans="1:5">
      <c r="A185" s="5">
        <v>45809</v>
      </c>
      <c r="B185" s="3" t="s">
        <v>80</v>
      </c>
      <c r="C185" s="16" t="s">
        <v>28</v>
      </c>
      <c r="D185" s="3" t="s">
        <v>75</v>
      </c>
      <c r="E185" s="9">
        <v>10000000</v>
      </c>
    </row>
    <row r="186" spans="1:5">
      <c r="A186" s="5">
        <v>45809</v>
      </c>
      <c r="B186" s="3" t="s">
        <v>81</v>
      </c>
      <c r="C186" s="16" t="s">
        <v>29</v>
      </c>
      <c r="D186" s="3" t="s">
        <v>72</v>
      </c>
      <c r="E186" s="9">
        <v>3000000</v>
      </c>
    </row>
    <row r="187" spans="1:5">
      <c r="A187" s="5">
        <v>45809</v>
      </c>
      <c r="B187" s="3" t="s">
        <v>81</v>
      </c>
      <c r="C187" s="16" t="s">
        <v>29</v>
      </c>
      <c r="D187" s="3" t="s">
        <v>73</v>
      </c>
      <c r="E187" s="9">
        <v>3000000</v>
      </c>
    </row>
    <row r="188" spans="1:5">
      <c r="A188" s="5">
        <v>45809</v>
      </c>
      <c r="B188" s="3" t="s">
        <v>81</v>
      </c>
      <c r="C188" s="16" t="s">
        <v>29</v>
      </c>
      <c r="D188" s="3" t="s">
        <v>74</v>
      </c>
      <c r="E188" s="9">
        <v>3000000</v>
      </c>
    </row>
    <row r="189" spans="1:5">
      <c r="A189" s="5">
        <v>45809</v>
      </c>
      <c r="B189" s="3" t="s">
        <v>81</v>
      </c>
      <c r="C189" s="16" t="s">
        <v>29</v>
      </c>
      <c r="D189" s="3" t="s">
        <v>75</v>
      </c>
      <c r="E189" s="9">
        <v>3000000</v>
      </c>
    </row>
    <row r="190" spans="1:5">
      <c r="A190" s="5">
        <v>45809</v>
      </c>
      <c r="B190" s="3" t="s">
        <v>82</v>
      </c>
      <c r="C190" s="16" t="s">
        <v>30</v>
      </c>
      <c r="D190" s="3" t="s">
        <v>72</v>
      </c>
      <c r="E190" s="9">
        <v>8000000</v>
      </c>
    </row>
    <row r="191" spans="1:5">
      <c r="A191" s="5">
        <v>45809</v>
      </c>
      <c r="B191" s="3" t="s">
        <v>82</v>
      </c>
      <c r="C191" s="16" t="s">
        <v>30</v>
      </c>
      <c r="D191" s="3" t="s">
        <v>73</v>
      </c>
      <c r="E191" s="9">
        <v>8000000</v>
      </c>
    </row>
    <row r="192" spans="1:5">
      <c r="A192" s="5">
        <v>45809</v>
      </c>
      <c r="B192" s="3" t="s">
        <v>82</v>
      </c>
      <c r="C192" s="16" t="s">
        <v>30</v>
      </c>
      <c r="D192" s="3" t="s">
        <v>74</v>
      </c>
      <c r="E192" s="9">
        <v>8000000</v>
      </c>
    </row>
    <row r="193" spans="1:5">
      <c r="A193" s="5">
        <v>45809</v>
      </c>
      <c r="B193" s="3" t="s">
        <v>82</v>
      </c>
      <c r="C193" s="16" t="s">
        <v>30</v>
      </c>
      <c r="D193" s="3" t="s">
        <v>75</v>
      </c>
      <c r="E193" s="9">
        <v>8000000</v>
      </c>
    </row>
    <row r="194" spans="1:5">
      <c r="A194" s="5">
        <v>45839</v>
      </c>
      <c r="B194" s="3" t="s">
        <v>71</v>
      </c>
      <c r="C194" s="16" t="s">
        <v>23</v>
      </c>
      <c r="D194" s="3" t="s">
        <v>72</v>
      </c>
      <c r="E194" s="9">
        <v>8000000</v>
      </c>
    </row>
    <row r="195" spans="1:5">
      <c r="A195" s="5">
        <v>45839</v>
      </c>
      <c r="B195" s="3" t="s">
        <v>71</v>
      </c>
      <c r="C195" s="16" t="s">
        <v>23</v>
      </c>
      <c r="D195" s="3" t="s">
        <v>73</v>
      </c>
      <c r="E195" s="9">
        <v>8000000</v>
      </c>
    </row>
    <row r="196" spans="1:5">
      <c r="A196" s="5">
        <v>45839</v>
      </c>
      <c r="B196" s="3" t="s">
        <v>71</v>
      </c>
      <c r="C196" s="16" t="s">
        <v>23</v>
      </c>
      <c r="D196" s="3" t="s">
        <v>74</v>
      </c>
      <c r="E196" s="9">
        <v>8000000</v>
      </c>
    </row>
    <row r="197" spans="1:5">
      <c r="A197" s="5">
        <v>45839</v>
      </c>
      <c r="B197" s="3" t="s">
        <v>71</v>
      </c>
      <c r="C197" s="16" t="s">
        <v>23</v>
      </c>
      <c r="D197" s="3" t="s">
        <v>75</v>
      </c>
      <c r="E197" s="9">
        <v>8000000</v>
      </c>
    </row>
    <row r="198" spans="1:5">
      <c r="A198" s="5">
        <v>45839</v>
      </c>
      <c r="B198" s="3" t="s">
        <v>76</v>
      </c>
      <c r="C198" s="16" t="s">
        <v>24</v>
      </c>
      <c r="D198" s="3" t="s">
        <v>72</v>
      </c>
      <c r="E198" s="9">
        <v>30000000</v>
      </c>
    </row>
    <row r="199" spans="1:5">
      <c r="A199" s="5">
        <v>45839</v>
      </c>
      <c r="B199" s="3" t="s">
        <v>76</v>
      </c>
      <c r="C199" s="16" t="s">
        <v>24</v>
      </c>
      <c r="D199" s="3" t="s">
        <v>73</v>
      </c>
      <c r="E199" s="9">
        <v>30000000</v>
      </c>
    </row>
    <row r="200" spans="1:5">
      <c r="A200" s="5">
        <v>45839</v>
      </c>
      <c r="B200" s="3" t="s">
        <v>76</v>
      </c>
      <c r="C200" s="16" t="s">
        <v>24</v>
      </c>
      <c r="D200" s="3" t="s">
        <v>74</v>
      </c>
      <c r="E200" s="9">
        <v>30000000</v>
      </c>
    </row>
    <row r="201" spans="1:5">
      <c r="A201" s="5">
        <v>45839</v>
      </c>
      <c r="B201" s="3" t="s">
        <v>76</v>
      </c>
      <c r="C201" s="16" t="s">
        <v>24</v>
      </c>
      <c r="D201" s="3" t="s">
        <v>75</v>
      </c>
      <c r="E201" s="9">
        <v>30000000</v>
      </c>
    </row>
    <row r="202" spans="1:5">
      <c r="A202" s="5">
        <v>45839</v>
      </c>
      <c r="B202" s="3" t="s">
        <v>77</v>
      </c>
      <c r="C202" s="3" t="s">
        <v>25</v>
      </c>
      <c r="D202" s="3" t="s">
        <v>72</v>
      </c>
      <c r="E202" s="9">
        <v>20000000</v>
      </c>
    </row>
    <row r="203" spans="1:5">
      <c r="A203" s="5">
        <v>45839</v>
      </c>
      <c r="B203" s="3" t="s">
        <v>77</v>
      </c>
      <c r="C203" s="3" t="s">
        <v>25</v>
      </c>
      <c r="D203" s="3" t="s">
        <v>73</v>
      </c>
      <c r="E203" s="9">
        <v>20000000</v>
      </c>
    </row>
    <row r="204" spans="1:5">
      <c r="A204" s="5">
        <v>45839</v>
      </c>
      <c r="B204" s="3" t="s">
        <v>77</v>
      </c>
      <c r="C204" s="3" t="s">
        <v>25</v>
      </c>
      <c r="D204" s="3" t="s">
        <v>74</v>
      </c>
      <c r="E204" s="9">
        <v>20000000</v>
      </c>
    </row>
    <row r="205" spans="1:5">
      <c r="A205" s="5">
        <v>45839</v>
      </c>
      <c r="B205" s="3" t="s">
        <v>77</v>
      </c>
      <c r="C205" s="3" t="s">
        <v>25</v>
      </c>
      <c r="D205" s="3" t="s">
        <v>75</v>
      </c>
      <c r="E205" s="9">
        <v>20000000</v>
      </c>
    </row>
    <row r="206" spans="1:5">
      <c r="A206" s="5">
        <v>45839</v>
      </c>
      <c r="B206" s="3" t="s">
        <v>78</v>
      </c>
      <c r="C206" s="3" t="s">
        <v>26</v>
      </c>
      <c r="D206" s="3" t="s">
        <v>72</v>
      </c>
      <c r="E206" s="9">
        <v>8000000</v>
      </c>
    </row>
    <row r="207" spans="1:5">
      <c r="A207" s="5">
        <v>45839</v>
      </c>
      <c r="B207" s="3" t="s">
        <v>78</v>
      </c>
      <c r="C207" s="3" t="s">
        <v>26</v>
      </c>
      <c r="D207" s="3" t="s">
        <v>73</v>
      </c>
      <c r="E207" s="9">
        <v>8000000</v>
      </c>
    </row>
    <row r="208" spans="1:5">
      <c r="A208" s="5">
        <v>45839</v>
      </c>
      <c r="B208" s="3" t="s">
        <v>78</v>
      </c>
      <c r="C208" s="3" t="s">
        <v>26</v>
      </c>
      <c r="D208" s="3" t="s">
        <v>74</v>
      </c>
      <c r="E208" s="9">
        <v>8000000</v>
      </c>
    </row>
    <row r="209" spans="1:5">
      <c r="A209" s="5">
        <v>45839</v>
      </c>
      <c r="B209" s="3" t="s">
        <v>78</v>
      </c>
      <c r="C209" s="3" t="s">
        <v>26</v>
      </c>
      <c r="D209" s="3" t="s">
        <v>75</v>
      </c>
      <c r="E209" s="9">
        <v>8000000</v>
      </c>
    </row>
    <row r="210" spans="1:5">
      <c r="A210" s="5">
        <v>45839</v>
      </c>
      <c r="B210" s="3" t="s">
        <v>79</v>
      </c>
      <c r="C210" s="16" t="s">
        <v>27</v>
      </c>
      <c r="D210" s="3" t="s">
        <v>72</v>
      </c>
      <c r="E210" s="9">
        <v>12000000</v>
      </c>
    </row>
    <row r="211" spans="1:5">
      <c r="A211" s="5">
        <v>45839</v>
      </c>
      <c r="B211" s="3" t="s">
        <v>79</v>
      </c>
      <c r="C211" s="16" t="s">
        <v>27</v>
      </c>
      <c r="D211" s="3" t="s">
        <v>73</v>
      </c>
      <c r="E211" s="9">
        <v>12000000</v>
      </c>
    </row>
    <row r="212" spans="1:5">
      <c r="A212" s="5">
        <v>45839</v>
      </c>
      <c r="B212" s="3" t="s">
        <v>79</v>
      </c>
      <c r="C212" s="16" t="s">
        <v>27</v>
      </c>
      <c r="D212" s="3" t="s">
        <v>74</v>
      </c>
      <c r="E212" s="9">
        <v>12000000</v>
      </c>
    </row>
    <row r="213" spans="1:5">
      <c r="A213" s="5">
        <v>45839</v>
      </c>
      <c r="B213" s="3" t="s">
        <v>79</v>
      </c>
      <c r="C213" s="16" t="s">
        <v>27</v>
      </c>
      <c r="D213" s="3" t="s">
        <v>75</v>
      </c>
      <c r="E213" s="9">
        <v>12000000</v>
      </c>
    </row>
    <row r="214" spans="1:5">
      <c r="A214" s="5">
        <v>45839</v>
      </c>
      <c r="B214" s="3" t="s">
        <v>80</v>
      </c>
      <c r="C214" s="16" t="s">
        <v>28</v>
      </c>
      <c r="D214" s="3" t="s">
        <v>72</v>
      </c>
      <c r="E214" s="9">
        <v>10000000</v>
      </c>
    </row>
    <row r="215" spans="1:5">
      <c r="A215" s="5">
        <v>45839</v>
      </c>
      <c r="B215" s="3" t="s">
        <v>80</v>
      </c>
      <c r="C215" s="16" t="s">
        <v>28</v>
      </c>
      <c r="D215" s="3" t="s">
        <v>73</v>
      </c>
      <c r="E215" s="9">
        <v>10000000</v>
      </c>
    </row>
    <row r="216" spans="1:5">
      <c r="A216" s="5">
        <v>45839</v>
      </c>
      <c r="B216" s="3" t="s">
        <v>80</v>
      </c>
      <c r="C216" s="16" t="s">
        <v>28</v>
      </c>
      <c r="D216" s="3" t="s">
        <v>74</v>
      </c>
      <c r="E216" s="9">
        <v>10000000</v>
      </c>
    </row>
    <row r="217" spans="1:5">
      <c r="A217" s="5">
        <v>45839</v>
      </c>
      <c r="B217" s="3" t="s">
        <v>80</v>
      </c>
      <c r="C217" s="16" t="s">
        <v>28</v>
      </c>
      <c r="D217" s="3" t="s">
        <v>75</v>
      </c>
      <c r="E217" s="9">
        <v>10000000</v>
      </c>
    </row>
    <row r="218" spans="1:5">
      <c r="A218" s="5">
        <v>45839</v>
      </c>
      <c r="B218" s="3" t="s">
        <v>81</v>
      </c>
      <c r="C218" s="16" t="s">
        <v>29</v>
      </c>
      <c r="D218" s="3" t="s">
        <v>72</v>
      </c>
      <c r="E218" s="9">
        <v>3000000</v>
      </c>
    </row>
    <row r="219" spans="1:5">
      <c r="A219" s="5">
        <v>45839</v>
      </c>
      <c r="B219" s="3" t="s">
        <v>81</v>
      </c>
      <c r="C219" s="16" t="s">
        <v>29</v>
      </c>
      <c r="D219" s="3" t="s">
        <v>73</v>
      </c>
      <c r="E219" s="9">
        <v>3000000</v>
      </c>
    </row>
    <row r="220" spans="1:5">
      <c r="A220" s="5">
        <v>45839</v>
      </c>
      <c r="B220" s="3" t="s">
        <v>81</v>
      </c>
      <c r="C220" s="16" t="s">
        <v>29</v>
      </c>
      <c r="D220" s="3" t="s">
        <v>74</v>
      </c>
      <c r="E220" s="9">
        <v>3000000</v>
      </c>
    </row>
    <row r="221" spans="1:5">
      <c r="A221" s="5">
        <v>45839</v>
      </c>
      <c r="B221" s="3" t="s">
        <v>81</v>
      </c>
      <c r="C221" s="16" t="s">
        <v>29</v>
      </c>
      <c r="D221" s="3" t="s">
        <v>75</v>
      </c>
      <c r="E221" s="9">
        <v>3000000</v>
      </c>
    </row>
    <row r="222" spans="1:5">
      <c r="A222" s="5">
        <v>45839</v>
      </c>
      <c r="B222" s="3" t="s">
        <v>82</v>
      </c>
      <c r="C222" s="16" t="s">
        <v>30</v>
      </c>
      <c r="D222" s="3" t="s">
        <v>72</v>
      </c>
      <c r="E222" s="9">
        <v>8000000</v>
      </c>
    </row>
    <row r="223" spans="1:5">
      <c r="A223" s="5">
        <v>45839</v>
      </c>
      <c r="B223" s="3" t="s">
        <v>82</v>
      </c>
      <c r="C223" s="16" t="s">
        <v>30</v>
      </c>
      <c r="D223" s="3" t="s">
        <v>73</v>
      </c>
      <c r="E223" s="9">
        <v>8000000</v>
      </c>
    </row>
    <row r="224" spans="1:5">
      <c r="A224" s="5">
        <v>45839</v>
      </c>
      <c r="B224" s="3" t="s">
        <v>82</v>
      </c>
      <c r="C224" s="16" t="s">
        <v>30</v>
      </c>
      <c r="D224" s="3" t="s">
        <v>74</v>
      </c>
      <c r="E224" s="9">
        <v>8000000</v>
      </c>
    </row>
    <row r="225" spans="1:5">
      <c r="A225" s="5">
        <v>45839</v>
      </c>
      <c r="B225" s="3" t="s">
        <v>82</v>
      </c>
      <c r="C225" s="16" t="s">
        <v>30</v>
      </c>
      <c r="D225" s="3" t="s">
        <v>75</v>
      </c>
      <c r="E225" s="9">
        <v>8000000</v>
      </c>
    </row>
    <row r="226" spans="1:5">
      <c r="A226" s="5">
        <v>45870</v>
      </c>
      <c r="B226" s="3" t="s">
        <v>71</v>
      </c>
      <c r="C226" s="16" t="s">
        <v>23</v>
      </c>
      <c r="D226" s="3" t="s">
        <v>72</v>
      </c>
      <c r="E226" s="9">
        <v>8000000</v>
      </c>
    </row>
    <row r="227" spans="1:5">
      <c r="A227" s="5">
        <v>45870</v>
      </c>
      <c r="B227" s="3" t="s">
        <v>71</v>
      </c>
      <c r="C227" s="16" t="s">
        <v>23</v>
      </c>
      <c r="D227" s="3" t="s">
        <v>73</v>
      </c>
      <c r="E227" s="9">
        <v>8000000</v>
      </c>
    </row>
    <row r="228" spans="1:5">
      <c r="A228" s="5">
        <v>45870</v>
      </c>
      <c r="B228" s="3" t="s">
        <v>71</v>
      </c>
      <c r="C228" s="16" t="s">
        <v>23</v>
      </c>
      <c r="D228" s="3" t="s">
        <v>74</v>
      </c>
      <c r="E228" s="9">
        <v>8000000</v>
      </c>
    </row>
    <row r="229" spans="1:5">
      <c r="A229" s="5">
        <v>45870</v>
      </c>
      <c r="B229" s="3" t="s">
        <v>71</v>
      </c>
      <c r="C229" s="16" t="s">
        <v>23</v>
      </c>
      <c r="D229" s="3" t="s">
        <v>75</v>
      </c>
      <c r="E229" s="9">
        <v>8000000</v>
      </c>
    </row>
    <row r="230" spans="1:5">
      <c r="A230" s="5">
        <v>45870</v>
      </c>
      <c r="B230" s="3" t="s">
        <v>76</v>
      </c>
      <c r="C230" s="16" t="s">
        <v>24</v>
      </c>
      <c r="D230" s="3" t="s">
        <v>72</v>
      </c>
      <c r="E230" s="9">
        <v>30000000</v>
      </c>
    </row>
    <row r="231" spans="1:5">
      <c r="A231" s="5">
        <v>45870</v>
      </c>
      <c r="B231" s="3" t="s">
        <v>76</v>
      </c>
      <c r="C231" s="16" t="s">
        <v>24</v>
      </c>
      <c r="D231" s="3" t="s">
        <v>73</v>
      </c>
      <c r="E231" s="9">
        <v>30000000</v>
      </c>
    </row>
    <row r="232" spans="1:5">
      <c r="A232" s="5">
        <v>45870</v>
      </c>
      <c r="B232" s="3" t="s">
        <v>76</v>
      </c>
      <c r="C232" s="16" t="s">
        <v>24</v>
      </c>
      <c r="D232" s="3" t="s">
        <v>74</v>
      </c>
      <c r="E232" s="9">
        <v>30000000</v>
      </c>
    </row>
    <row r="233" spans="1:5">
      <c r="A233" s="5">
        <v>45870</v>
      </c>
      <c r="B233" s="3" t="s">
        <v>76</v>
      </c>
      <c r="C233" s="16" t="s">
        <v>24</v>
      </c>
      <c r="D233" s="3" t="s">
        <v>75</v>
      </c>
      <c r="E233" s="9">
        <v>30000000</v>
      </c>
    </row>
    <row r="234" spans="1:5">
      <c r="A234" s="5">
        <v>45870</v>
      </c>
      <c r="B234" s="3" t="s">
        <v>77</v>
      </c>
      <c r="C234" s="3" t="s">
        <v>25</v>
      </c>
      <c r="D234" s="3" t="s">
        <v>72</v>
      </c>
      <c r="E234" s="9">
        <v>20000000</v>
      </c>
    </row>
    <row r="235" spans="1:5">
      <c r="A235" s="5">
        <v>45870</v>
      </c>
      <c r="B235" s="3" t="s">
        <v>77</v>
      </c>
      <c r="C235" s="3" t="s">
        <v>25</v>
      </c>
      <c r="D235" s="3" t="s">
        <v>73</v>
      </c>
      <c r="E235" s="9">
        <v>20000000</v>
      </c>
    </row>
    <row r="236" spans="1:5">
      <c r="A236" s="5">
        <v>45870</v>
      </c>
      <c r="B236" s="3" t="s">
        <v>77</v>
      </c>
      <c r="C236" s="3" t="s">
        <v>25</v>
      </c>
      <c r="D236" s="3" t="s">
        <v>74</v>
      </c>
      <c r="E236" s="9">
        <v>20000000</v>
      </c>
    </row>
    <row r="237" spans="1:5">
      <c r="A237" s="5">
        <v>45870</v>
      </c>
      <c r="B237" s="3" t="s">
        <v>77</v>
      </c>
      <c r="C237" s="3" t="s">
        <v>25</v>
      </c>
      <c r="D237" s="3" t="s">
        <v>75</v>
      </c>
      <c r="E237" s="9">
        <v>20000000</v>
      </c>
    </row>
    <row r="238" spans="1:5">
      <c r="A238" s="5">
        <v>45870</v>
      </c>
      <c r="B238" s="3" t="s">
        <v>78</v>
      </c>
      <c r="C238" s="3" t="s">
        <v>26</v>
      </c>
      <c r="D238" s="3" t="s">
        <v>72</v>
      </c>
      <c r="E238" s="9">
        <v>8000000</v>
      </c>
    </row>
    <row r="239" spans="1:5">
      <c r="A239" s="5">
        <v>45870</v>
      </c>
      <c r="B239" s="3" t="s">
        <v>78</v>
      </c>
      <c r="C239" s="3" t="s">
        <v>26</v>
      </c>
      <c r="D239" s="3" t="s">
        <v>73</v>
      </c>
      <c r="E239" s="9">
        <v>8000000</v>
      </c>
    </row>
    <row r="240" spans="1:5">
      <c r="A240" s="5">
        <v>45870</v>
      </c>
      <c r="B240" s="3" t="s">
        <v>78</v>
      </c>
      <c r="C240" s="3" t="s">
        <v>26</v>
      </c>
      <c r="D240" s="3" t="s">
        <v>74</v>
      </c>
      <c r="E240" s="9">
        <v>8000000</v>
      </c>
    </row>
    <row r="241" spans="1:5">
      <c r="A241" s="5">
        <v>45870</v>
      </c>
      <c r="B241" s="3" t="s">
        <v>78</v>
      </c>
      <c r="C241" s="3" t="s">
        <v>26</v>
      </c>
      <c r="D241" s="3" t="s">
        <v>75</v>
      </c>
      <c r="E241" s="9">
        <v>8000000</v>
      </c>
    </row>
    <row r="242" spans="1:5">
      <c r="A242" s="5">
        <v>45870</v>
      </c>
      <c r="B242" s="3" t="s">
        <v>79</v>
      </c>
      <c r="C242" s="16" t="s">
        <v>27</v>
      </c>
      <c r="D242" s="3" t="s">
        <v>72</v>
      </c>
      <c r="E242" s="9">
        <v>12000000</v>
      </c>
    </row>
    <row r="243" spans="1:5">
      <c r="A243" s="5">
        <v>45870</v>
      </c>
      <c r="B243" s="3" t="s">
        <v>79</v>
      </c>
      <c r="C243" s="16" t="s">
        <v>27</v>
      </c>
      <c r="D243" s="3" t="s">
        <v>73</v>
      </c>
      <c r="E243" s="9">
        <v>12000000</v>
      </c>
    </row>
    <row r="244" spans="1:5">
      <c r="A244" s="5">
        <v>45870</v>
      </c>
      <c r="B244" s="3" t="s">
        <v>79</v>
      </c>
      <c r="C244" s="16" t="s">
        <v>27</v>
      </c>
      <c r="D244" s="3" t="s">
        <v>74</v>
      </c>
      <c r="E244" s="9">
        <v>12000000</v>
      </c>
    </row>
    <row r="245" spans="1:5">
      <c r="A245" s="5">
        <v>45870</v>
      </c>
      <c r="B245" s="3" t="s">
        <v>79</v>
      </c>
      <c r="C245" s="16" t="s">
        <v>27</v>
      </c>
      <c r="D245" s="3" t="s">
        <v>75</v>
      </c>
      <c r="E245" s="9">
        <v>12000000</v>
      </c>
    </row>
    <row r="246" spans="1:5">
      <c r="A246" s="5">
        <v>45870</v>
      </c>
      <c r="B246" s="3" t="s">
        <v>80</v>
      </c>
      <c r="C246" s="16" t="s">
        <v>28</v>
      </c>
      <c r="D246" s="3" t="s">
        <v>72</v>
      </c>
      <c r="E246" s="9">
        <v>10000000</v>
      </c>
    </row>
    <row r="247" spans="1:5">
      <c r="A247" s="5">
        <v>45870</v>
      </c>
      <c r="B247" s="3" t="s">
        <v>80</v>
      </c>
      <c r="C247" s="16" t="s">
        <v>28</v>
      </c>
      <c r="D247" s="3" t="s">
        <v>73</v>
      </c>
      <c r="E247" s="9">
        <v>10000000</v>
      </c>
    </row>
    <row r="248" spans="1:5">
      <c r="A248" s="5">
        <v>45870</v>
      </c>
      <c r="B248" s="3" t="s">
        <v>80</v>
      </c>
      <c r="C248" s="16" t="s">
        <v>28</v>
      </c>
      <c r="D248" s="3" t="s">
        <v>74</v>
      </c>
      <c r="E248" s="9">
        <v>10000000</v>
      </c>
    </row>
    <row r="249" spans="1:5">
      <c r="A249" s="5">
        <v>45870</v>
      </c>
      <c r="B249" s="3" t="s">
        <v>80</v>
      </c>
      <c r="C249" s="16" t="s">
        <v>28</v>
      </c>
      <c r="D249" s="3" t="s">
        <v>75</v>
      </c>
      <c r="E249" s="9">
        <v>10000000</v>
      </c>
    </row>
    <row r="250" spans="1:5">
      <c r="A250" s="5">
        <v>45870</v>
      </c>
      <c r="B250" s="3" t="s">
        <v>81</v>
      </c>
      <c r="C250" s="16" t="s">
        <v>29</v>
      </c>
      <c r="D250" s="3" t="s">
        <v>72</v>
      </c>
      <c r="E250" s="9">
        <v>3000000</v>
      </c>
    </row>
    <row r="251" spans="1:5">
      <c r="A251" s="5">
        <v>45870</v>
      </c>
      <c r="B251" s="3" t="s">
        <v>81</v>
      </c>
      <c r="C251" s="16" t="s">
        <v>29</v>
      </c>
      <c r="D251" s="3" t="s">
        <v>73</v>
      </c>
      <c r="E251" s="9">
        <v>3000000</v>
      </c>
    </row>
    <row r="252" spans="1:5">
      <c r="A252" s="5">
        <v>45870</v>
      </c>
      <c r="B252" s="3" t="s">
        <v>81</v>
      </c>
      <c r="C252" s="16" t="s">
        <v>29</v>
      </c>
      <c r="D252" s="3" t="s">
        <v>74</v>
      </c>
      <c r="E252" s="9">
        <v>3000000</v>
      </c>
    </row>
    <row r="253" spans="1:5">
      <c r="A253" s="5">
        <v>45870</v>
      </c>
      <c r="B253" s="3" t="s">
        <v>81</v>
      </c>
      <c r="C253" s="16" t="s">
        <v>29</v>
      </c>
      <c r="D253" s="3" t="s">
        <v>75</v>
      </c>
      <c r="E253" s="9">
        <v>3000000</v>
      </c>
    </row>
    <row r="254" spans="1:5">
      <c r="A254" s="5">
        <v>45870</v>
      </c>
      <c r="B254" s="3" t="s">
        <v>82</v>
      </c>
      <c r="C254" s="16" t="s">
        <v>30</v>
      </c>
      <c r="D254" s="3" t="s">
        <v>72</v>
      </c>
      <c r="E254" s="9">
        <v>8000000</v>
      </c>
    </row>
    <row r="255" spans="1:5">
      <c r="A255" s="5">
        <v>45870</v>
      </c>
      <c r="B255" s="3" t="s">
        <v>82</v>
      </c>
      <c r="C255" s="16" t="s">
        <v>30</v>
      </c>
      <c r="D255" s="3" t="s">
        <v>73</v>
      </c>
      <c r="E255" s="9">
        <v>8000000</v>
      </c>
    </row>
    <row r="256" spans="1:5">
      <c r="A256" s="5">
        <v>45870</v>
      </c>
      <c r="B256" s="3" t="s">
        <v>82</v>
      </c>
      <c r="C256" s="16" t="s">
        <v>30</v>
      </c>
      <c r="D256" s="3" t="s">
        <v>74</v>
      </c>
      <c r="E256" s="9">
        <v>8000000</v>
      </c>
    </row>
    <row r="257" spans="1:5">
      <c r="A257" s="5">
        <v>45870</v>
      </c>
      <c r="B257" s="3" t="s">
        <v>82</v>
      </c>
      <c r="C257" s="16" t="s">
        <v>30</v>
      </c>
      <c r="D257" s="3" t="s">
        <v>75</v>
      </c>
      <c r="E257" s="9">
        <v>8000000</v>
      </c>
    </row>
    <row r="258" spans="1:5">
      <c r="A258" s="5">
        <v>45901</v>
      </c>
      <c r="B258" s="3" t="s">
        <v>71</v>
      </c>
      <c r="C258" s="16" t="s">
        <v>23</v>
      </c>
      <c r="D258" s="3" t="s">
        <v>72</v>
      </c>
      <c r="E258" s="9">
        <v>8000000</v>
      </c>
    </row>
    <row r="259" spans="1:5">
      <c r="A259" s="5">
        <v>45901</v>
      </c>
      <c r="B259" s="3" t="s">
        <v>71</v>
      </c>
      <c r="C259" s="16" t="s">
        <v>23</v>
      </c>
      <c r="D259" s="3" t="s">
        <v>73</v>
      </c>
      <c r="E259" s="9">
        <v>8000000</v>
      </c>
    </row>
    <row r="260" spans="1:5">
      <c r="A260" s="5">
        <v>45901</v>
      </c>
      <c r="B260" s="3" t="s">
        <v>71</v>
      </c>
      <c r="C260" s="16" t="s">
        <v>23</v>
      </c>
      <c r="D260" s="3" t="s">
        <v>74</v>
      </c>
      <c r="E260" s="9">
        <v>8000000</v>
      </c>
    </row>
    <row r="261" spans="1:5">
      <c r="A261" s="5">
        <v>45901</v>
      </c>
      <c r="B261" s="3" t="s">
        <v>71</v>
      </c>
      <c r="C261" s="16" t="s">
        <v>23</v>
      </c>
      <c r="D261" s="3" t="s">
        <v>75</v>
      </c>
      <c r="E261" s="9">
        <v>8000000</v>
      </c>
    </row>
    <row r="262" spans="1:5">
      <c r="A262" s="5">
        <v>45901</v>
      </c>
      <c r="B262" s="3" t="s">
        <v>76</v>
      </c>
      <c r="C262" s="16" t="s">
        <v>24</v>
      </c>
      <c r="D262" s="3" t="s">
        <v>72</v>
      </c>
      <c r="E262" s="9">
        <v>30000000</v>
      </c>
    </row>
    <row r="263" spans="1:5">
      <c r="A263" s="5">
        <v>45901</v>
      </c>
      <c r="B263" s="3" t="s">
        <v>76</v>
      </c>
      <c r="C263" s="16" t="s">
        <v>24</v>
      </c>
      <c r="D263" s="3" t="s">
        <v>73</v>
      </c>
      <c r="E263" s="9">
        <v>30000000</v>
      </c>
    </row>
    <row r="264" spans="1:5">
      <c r="A264" s="5">
        <v>45901</v>
      </c>
      <c r="B264" s="3" t="s">
        <v>76</v>
      </c>
      <c r="C264" s="16" t="s">
        <v>24</v>
      </c>
      <c r="D264" s="3" t="s">
        <v>74</v>
      </c>
      <c r="E264" s="9">
        <v>30000000</v>
      </c>
    </row>
    <row r="265" spans="1:5">
      <c r="A265" s="5">
        <v>45901</v>
      </c>
      <c r="B265" s="3" t="s">
        <v>76</v>
      </c>
      <c r="C265" s="16" t="s">
        <v>24</v>
      </c>
      <c r="D265" s="3" t="s">
        <v>75</v>
      </c>
      <c r="E265" s="9">
        <v>30000000</v>
      </c>
    </row>
    <row r="266" spans="1:5">
      <c r="A266" s="5">
        <v>45901</v>
      </c>
      <c r="B266" s="3" t="s">
        <v>77</v>
      </c>
      <c r="C266" s="3" t="s">
        <v>25</v>
      </c>
      <c r="D266" s="3" t="s">
        <v>72</v>
      </c>
      <c r="E266" s="9">
        <v>20000000</v>
      </c>
    </row>
    <row r="267" spans="1:5">
      <c r="A267" s="5">
        <v>45901</v>
      </c>
      <c r="B267" s="3" t="s">
        <v>77</v>
      </c>
      <c r="C267" s="3" t="s">
        <v>25</v>
      </c>
      <c r="D267" s="3" t="s">
        <v>73</v>
      </c>
      <c r="E267" s="9">
        <v>20000000</v>
      </c>
    </row>
    <row r="268" spans="1:5">
      <c r="A268" s="5">
        <v>45901</v>
      </c>
      <c r="B268" s="3" t="s">
        <v>77</v>
      </c>
      <c r="C268" s="3" t="s">
        <v>25</v>
      </c>
      <c r="D268" s="3" t="s">
        <v>74</v>
      </c>
      <c r="E268" s="9">
        <v>20000000</v>
      </c>
    </row>
    <row r="269" spans="1:5">
      <c r="A269" s="5">
        <v>45901</v>
      </c>
      <c r="B269" s="3" t="s">
        <v>77</v>
      </c>
      <c r="C269" s="3" t="s">
        <v>25</v>
      </c>
      <c r="D269" s="3" t="s">
        <v>75</v>
      </c>
      <c r="E269" s="9">
        <v>20000000</v>
      </c>
    </row>
    <row r="270" spans="1:5">
      <c r="A270" s="5">
        <v>45901</v>
      </c>
      <c r="B270" s="3" t="s">
        <v>78</v>
      </c>
      <c r="C270" s="3" t="s">
        <v>26</v>
      </c>
      <c r="D270" s="3" t="s">
        <v>72</v>
      </c>
      <c r="E270" s="9">
        <v>8000000</v>
      </c>
    </row>
    <row r="271" spans="1:5">
      <c r="A271" s="5">
        <v>45901</v>
      </c>
      <c r="B271" s="3" t="s">
        <v>78</v>
      </c>
      <c r="C271" s="3" t="s">
        <v>26</v>
      </c>
      <c r="D271" s="3" t="s">
        <v>73</v>
      </c>
      <c r="E271" s="9">
        <v>8000000</v>
      </c>
    </row>
    <row r="272" spans="1:5">
      <c r="A272" s="5">
        <v>45901</v>
      </c>
      <c r="B272" s="3" t="s">
        <v>78</v>
      </c>
      <c r="C272" s="3" t="s">
        <v>26</v>
      </c>
      <c r="D272" s="3" t="s">
        <v>74</v>
      </c>
      <c r="E272" s="9">
        <v>8000000</v>
      </c>
    </row>
    <row r="273" spans="1:5">
      <c r="A273" s="5">
        <v>45901</v>
      </c>
      <c r="B273" s="3" t="s">
        <v>78</v>
      </c>
      <c r="C273" s="3" t="s">
        <v>26</v>
      </c>
      <c r="D273" s="3" t="s">
        <v>75</v>
      </c>
      <c r="E273" s="9">
        <v>8000000</v>
      </c>
    </row>
    <row r="274" spans="1:5">
      <c r="A274" s="5">
        <v>45901</v>
      </c>
      <c r="B274" s="3" t="s">
        <v>79</v>
      </c>
      <c r="C274" s="16" t="s">
        <v>27</v>
      </c>
      <c r="D274" s="3" t="s">
        <v>72</v>
      </c>
      <c r="E274" s="9">
        <v>12000000</v>
      </c>
    </row>
    <row r="275" spans="1:5">
      <c r="A275" s="5">
        <v>45901</v>
      </c>
      <c r="B275" s="3" t="s">
        <v>79</v>
      </c>
      <c r="C275" s="16" t="s">
        <v>27</v>
      </c>
      <c r="D275" s="3" t="s">
        <v>73</v>
      </c>
      <c r="E275" s="9">
        <v>12000000</v>
      </c>
    </row>
    <row r="276" spans="1:5">
      <c r="A276" s="5">
        <v>45901</v>
      </c>
      <c r="B276" s="3" t="s">
        <v>79</v>
      </c>
      <c r="C276" s="16" t="s">
        <v>27</v>
      </c>
      <c r="D276" s="3" t="s">
        <v>74</v>
      </c>
      <c r="E276" s="9">
        <v>12000000</v>
      </c>
    </row>
    <row r="277" spans="1:5">
      <c r="A277" s="5">
        <v>45901</v>
      </c>
      <c r="B277" s="3" t="s">
        <v>79</v>
      </c>
      <c r="C277" s="16" t="s">
        <v>27</v>
      </c>
      <c r="D277" s="3" t="s">
        <v>75</v>
      </c>
      <c r="E277" s="9">
        <v>12000000</v>
      </c>
    </row>
    <row r="278" spans="1:5">
      <c r="A278" s="5">
        <v>45901</v>
      </c>
      <c r="B278" s="3" t="s">
        <v>80</v>
      </c>
      <c r="C278" s="16" t="s">
        <v>28</v>
      </c>
      <c r="D278" s="3" t="s">
        <v>72</v>
      </c>
      <c r="E278" s="9">
        <v>10000000</v>
      </c>
    </row>
    <row r="279" spans="1:5">
      <c r="A279" s="5">
        <v>45901</v>
      </c>
      <c r="B279" s="3" t="s">
        <v>80</v>
      </c>
      <c r="C279" s="16" t="s">
        <v>28</v>
      </c>
      <c r="D279" s="3" t="s">
        <v>73</v>
      </c>
      <c r="E279" s="9">
        <v>10000000</v>
      </c>
    </row>
    <row r="280" spans="1:5">
      <c r="A280" s="5">
        <v>45901</v>
      </c>
      <c r="B280" s="3" t="s">
        <v>80</v>
      </c>
      <c r="C280" s="16" t="s">
        <v>28</v>
      </c>
      <c r="D280" s="3" t="s">
        <v>74</v>
      </c>
      <c r="E280" s="9">
        <v>10000000</v>
      </c>
    </row>
    <row r="281" spans="1:5">
      <c r="A281" s="5">
        <v>45901</v>
      </c>
      <c r="B281" s="3" t="s">
        <v>80</v>
      </c>
      <c r="C281" s="16" t="s">
        <v>28</v>
      </c>
      <c r="D281" s="3" t="s">
        <v>75</v>
      </c>
      <c r="E281" s="9">
        <v>10000000</v>
      </c>
    </row>
    <row r="282" spans="1:5">
      <c r="A282" s="5">
        <v>45901</v>
      </c>
      <c r="B282" s="3" t="s">
        <v>81</v>
      </c>
      <c r="C282" s="16" t="s">
        <v>29</v>
      </c>
      <c r="D282" s="3" t="s">
        <v>72</v>
      </c>
      <c r="E282" s="9">
        <v>3000000</v>
      </c>
    </row>
    <row r="283" spans="1:5">
      <c r="A283" s="5">
        <v>45901</v>
      </c>
      <c r="B283" s="3" t="s">
        <v>81</v>
      </c>
      <c r="C283" s="16" t="s">
        <v>29</v>
      </c>
      <c r="D283" s="3" t="s">
        <v>73</v>
      </c>
      <c r="E283" s="9">
        <v>3000000</v>
      </c>
    </row>
    <row r="284" spans="1:5">
      <c r="A284" s="5">
        <v>45901</v>
      </c>
      <c r="B284" s="3" t="s">
        <v>81</v>
      </c>
      <c r="C284" s="16" t="s">
        <v>29</v>
      </c>
      <c r="D284" s="3" t="s">
        <v>74</v>
      </c>
      <c r="E284" s="9">
        <v>3000000</v>
      </c>
    </row>
    <row r="285" spans="1:5">
      <c r="A285" s="5">
        <v>45901</v>
      </c>
      <c r="B285" s="3" t="s">
        <v>81</v>
      </c>
      <c r="C285" s="16" t="s">
        <v>29</v>
      </c>
      <c r="D285" s="3" t="s">
        <v>75</v>
      </c>
      <c r="E285" s="9">
        <v>3000000</v>
      </c>
    </row>
    <row r="286" spans="1:5">
      <c r="A286" s="5">
        <v>45901</v>
      </c>
      <c r="B286" s="3" t="s">
        <v>82</v>
      </c>
      <c r="C286" s="16" t="s">
        <v>30</v>
      </c>
      <c r="D286" s="3" t="s">
        <v>72</v>
      </c>
      <c r="E286" s="9">
        <v>8000000</v>
      </c>
    </row>
    <row r="287" spans="1:5">
      <c r="A287" s="5">
        <v>45901</v>
      </c>
      <c r="B287" s="3" t="s">
        <v>82</v>
      </c>
      <c r="C287" s="16" t="s">
        <v>30</v>
      </c>
      <c r="D287" s="3" t="s">
        <v>73</v>
      </c>
      <c r="E287" s="9">
        <v>8000000</v>
      </c>
    </row>
    <row r="288" spans="1:5">
      <c r="A288" s="5">
        <v>45901</v>
      </c>
      <c r="B288" s="3" t="s">
        <v>82</v>
      </c>
      <c r="C288" s="16" t="s">
        <v>30</v>
      </c>
      <c r="D288" s="3" t="s">
        <v>74</v>
      </c>
      <c r="E288" s="9">
        <v>8000000</v>
      </c>
    </row>
    <row r="289" spans="1:5">
      <c r="A289" s="5">
        <v>45901</v>
      </c>
      <c r="B289" s="3" t="s">
        <v>82</v>
      </c>
      <c r="C289" s="16" t="s">
        <v>30</v>
      </c>
      <c r="D289" s="3" t="s">
        <v>75</v>
      </c>
      <c r="E289" s="9">
        <v>8000000</v>
      </c>
    </row>
    <row r="290" spans="1:5">
      <c r="A290" s="5">
        <v>45931</v>
      </c>
      <c r="B290" s="3" t="s">
        <v>71</v>
      </c>
      <c r="C290" s="16" t="s">
        <v>23</v>
      </c>
      <c r="D290" s="3" t="s">
        <v>72</v>
      </c>
      <c r="E290" s="9">
        <v>8000000</v>
      </c>
    </row>
    <row r="291" spans="1:5">
      <c r="A291" s="5">
        <v>45931</v>
      </c>
      <c r="B291" s="3" t="s">
        <v>71</v>
      </c>
      <c r="C291" s="16" t="s">
        <v>23</v>
      </c>
      <c r="D291" s="3" t="s">
        <v>73</v>
      </c>
      <c r="E291" s="9">
        <v>8000000</v>
      </c>
    </row>
    <row r="292" spans="1:5">
      <c r="A292" s="5">
        <v>45931</v>
      </c>
      <c r="B292" s="3" t="s">
        <v>71</v>
      </c>
      <c r="C292" s="16" t="s">
        <v>23</v>
      </c>
      <c r="D292" s="3" t="s">
        <v>74</v>
      </c>
      <c r="E292" s="9">
        <v>8000000</v>
      </c>
    </row>
    <row r="293" spans="1:5">
      <c r="A293" s="5">
        <v>45931</v>
      </c>
      <c r="B293" s="3" t="s">
        <v>71</v>
      </c>
      <c r="C293" s="16" t="s">
        <v>23</v>
      </c>
      <c r="D293" s="3" t="s">
        <v>75</v>
      </c>
      <c r="E293" s="9">
        <v>8000000</v>
      </c>
    </row>
    <row r="294" spans="1:5">
      <c r="A294" s="5">
        <v>45931</v>
      </c>
      <c r="B294" s="3" t="s">
        <v>76</v>
      </c>
      <c r="C294" s="16" t="s">
        <v>24</v>
      </c>
      <c r="D294" s="3" t="s">
        <v>72</v>
      </c>
      <c r="E294" s="9">
        <v>30000000</v>
      </c>
    </row>
    <row r="295" spans="1:5">
      <c r="A295" s="5">
        <v>45931</v>
      </c>
      <c r="B295" s="3" t="s">
        <v>76</v>
      </c>
      <c r="C295" s="16" t="s">
        <v>24</v>
      </c>
      <c r="D295" s="3" t="s">
        <v>73</v>
      </c>
      <c r="E295" s="9">
        <v>30000000</v>
      </c>
    </row>
    <row r="296" spans="1:5">
      <c r="A296" s="5">
        <v>45931</v>
      </c>
      <c r="B296" s="3" t="s">
        <v>76</v>
      </c>
      <c r="C296" s="16" t="s">
        <v>24</v>
      </c>
      <c r="D296" s="3" t="s">
        <v>74</v>
      </c>
      <c r="E296" s="9">
        <v>30000000</v>
      </c>
    </row>
    <row r="297" spans="1:5">
      <c r="A297" s="5">
        <v>45931</v>
      </c>
      <c r="B297" s="3" t="s">
        <v>76</v>
      </c>
      <c r="C297" s="16" t="s">
        <v>24</v>
      </c>
      <c r="D297" s="3" t="s">
        <v>75</v>
      </c>
      <c r="E297" s="9">
        <v>30000000</v>
      </c>
    </row>
    <row r="298" spans="1:5">
      <c r="A298" s="5">
        <v>45931</v>
      </c>
      <c r="B298" s="3" t="s">
        <v>77</v>
      </c>
      <c r="C298" s="3" t="s">
        <v>25</v>
      </c>
      <c r="D298" s="3" t="s">
        <v>72</v>
      </c>
      <c r="E298" s="9">
        <v>20000000</v>
      </c>
    </row>
    <row r="299" spans="1:5">
      <c r="A299" s="5">
        <v>45931</v>
      </c>
      <c r="B299" s="3" t="s">
        <v>77</v>
      </c>
      <c r="C299" s="3" t="s">
        <v>25</v>
      </c>
      <c r="D299" s="3" t="s">
        <v>73</v>
      </c>
      <c r="E299" s="9">
        <v>20000000</v>
      </c>
    </row>
    <row r="300" spans="1:5">
      <c r="A300" s="5">
        <v>45931</v>
      </c>
      <c r="B300" s="3" t="s">
        <v>77</v>
      </c>
      <c r="C300" s="3" t="s">
        <v>25</v>
      </c>
      <c r="D300" s="3" t="s">
        <v>74</v>
      </c>
      <c r="E300" s="9">
        <v>20000000</v>
      </c>
    </row>
    <row r="301" spans="1:5">
      <c r="A301" s="5">
        <v>45931</v>
      </c>
      <c r="B301" s="3" t="s">
        <v>77</v>
      </c>
      <c r="C301" s="3" t="s">
        <v>25</v>
      </c>
      <c r="D301" s="3" t="s">
        <v>75</v>
      </c>
      <c r="E301" s="9">
        <v>20000000</v>
      </c>
    </row>
    <row r="302" spans="1:5">
      <c r="A302" s="5">
        <v>45931</v>
      </c>
      <c r="B302" s="3" t="s">
        <v>78</v>
      </c>
      <c r="C302" s="3" t="s">
        <v>26</v>
      </c>
      <c r="D302" s="3" t="s">
        <v>72</v>
      </c>
      <c r="E302" s="9">
        <v>8000000</v>
      </c>
    </row>
    <row r="303" spans="1:5">
      <c r="A303" s="5">
        <v>45931</v>
      </c>
      <c r="B303" s="3" t="s">
        <v>78</v>
      </c>
      <c r="C303" s="3" t="s">
        <v>26</v>
      </c>
      <c r="D303" s="3" t="s">
        <v>73</v>
      </c>
      <c r="E303" s="9">
        <v>8000000</v>
      </c>
    </row>
    <row r="304" spans="1:5">
      <c r="A304" s="5">
        <v>45931</v>
      </c>
      <c r="B304" s="3" t="s">
        <v>78</v>
      </c>
      <c r="C304" s="3" t="s">
        <v>26</v>
      </c>
      <c r="D304" s="3" t="s">
        <v>74</v>
      </c>
      <c r="E304" s="9">
        <v>8000000</v>
      </c>
    </row>
    <row r="305" spans="1:5">
      <c r="A305" s="5">
        <v>45931</v>
      </c>
      <c r="B305" s="3" t="s">
        <v>78</v>
      </c>
      <c r="C305" s="3" t="s">
        <v>26</v>
      </c>
      <c r="D305" s="3" t="s">
        <v>75</v>
      </c>
      <c r="E305" s="9">
        <v>8000000</v>
      </c>
    </row>
    <row r="306" spans="1:5">
      <c r="A306" s="5">
        <v>45931</v>
      </c>
      <c r="B306" s="3" t="s">
        <v>79</v>
      </c>
      <c r="C306" s="16" t="s">
        <v>27</v>
      </c>
      <c r="D306" s="3" t="s">
        <v>72</v>
      </c>
      <c r="E306" s="9">
        <v>12000000</v>
      </c>
    </row>
    <row r="307" spans="1:5">
      <c r="A307" s="5">
        <v>45931</v>
      </c>
      <c r="B307" s="3" t="s">
        <v>79</v>
      </c>
      <c r="C307" s="16" t="s">
        <v>27</v>
      </c>
      <c r="D307" s="3" t="s">
        <v>73</v>
      </c>
      <c r="E307" s="9">
        <v>12000000</v>
      </c>
    </row>
    <row r="308" spans="1:5">
      <c r="A308" s="5">
        <v>45931</v>
      </c>
      <c r="B308" s="3" t="s">
        <v>79</v>
      </c>
      <c r="C308" s="16" t="s">
        <v>27</v>
      </c>
      <c r="D308" s="3" t="s">
        <v>74</v>
      </c>
      <c r="E308" s="9">
        <v>12000000</v>
      </c>
    </row>
    <row r="309" spans="1:5">
      <c r="A309" s="5">
        <v>45931</v>
      </c>
      <c r="B309" s="3" t="s">
        <v>79</v>
      </c>
      <c r="C309" s="16" t="s">
        <v>27</v>
      </c>
      <c r="D309" s="3" t="s">
        <v>75</v>
      </c>
      <c r="E309" s="9">
        <v>12000000</v>
      </c>
    </row>
    <row r="310" spans="1:5">
      <c r="A310" s="5">
        <v>45931</v>
      </c>
      <c r="B310" s="3" t="s">
        <v>80</v>
      </c>
      <c r="C310" s="16" t="s">
        <v>28</v>
      </c>
      <c r="D310" s="3" t="s">
        <v>72</v>
      </c>
      <c r="E310" s="9">
        <v>10000000</v>
      </c>
    </row>
    <row r="311" spans="1:5">
      <c r="A311" s="5">
        <v>45931</v>
      </c>
      <c r="B311" s="3" t="s">
        <v>80</v>
      </c>
      <c r="C311" s="16" t="s">
        <v>28</v>
      </c>
      <c r="D311" s="3" t="s">
        <v>73</v>
      </c>
      <c r="E311" s="9">
        <v>10000000</v>
      </c>
    </row>
    <row r="312" spans="1:5">
      <c r="A312" s="5">
        <v>45931</v>
      </c>
      <c r="B312" s="3" t="s">
        <v>80</v>
      </c>
      <c r="C312" s="16" t="s">
        <v>28</v>
      </c>
      <c r="D312" s="3" t="s">
        <v>74</v>
      </c>
      <c r="E312" s="9">
        <v>10000000</v>
      </c>
    </row>
    <row r="313" spans="1:5">
      <c r="A313" s="5">
        <v>45931</v>
      </c>
      <c r="B313" s="3" t="s">
        <v>80</v>
      </c>
      <c r="C313" s="16" t="s">
        <v>28</v>
      </c>
      <c r="D313" s="3" t="s">
        <v>75</v>
      </c>
      <c r="E313" s="9">
        <v>10000000</v>
      </c>
    </row>
    <row r="314" spans="1:5">
      <c r="A314" s="5">
        <v>45931</v>
      </c>
      <c r="B314" s="3" t="s">
        <v>81</v>
      </c>
      <c r="C314" s="16" t="s">
        <v>29</v>
      </c>
      <c r="D314" s="3" t="s">
        <v>72</v>
      </c>
      <c r="E314" s="9">
        <v>3000000</v>
      </c>
    </row>
    <row r="315" spans="1:5">
      <c r="A315" s="5">
        <v>45931</v>
      </c>
      <c r="B315" s="3" t="s">
        <v>81</v>
      </c>
      <c r="C315" s="16" t="s">
        <v>29</v>
      </c>
      <c r="D315" s="3" t="s">
        <v>73</v>
      </c>
      <c r="E315" s="9">
        <v>3000000</v>
      </c>
    </row>
    <row r="316" spans="1:5">
      <c r="A316" s="5">
        <v>45931</v>
      </c>
      <c r="B316" s="3" t="s">
        <v>81</v>
      </c>
      <c r="C316" s="16" t="s">
        <v>29</v>
      </c>
      <c r="D316" s="3" t="s">
        <v>74</v>
      </c>
      <c r="E316" s="9">
        <v>3000000</v>
      </c>
    </row>
    <row r="317" spans="1:5">
      <c r="A317" s="5">
        <v>45931</v>
      </c>
      <c r="B317" s="3" t="s">
        <v>81</v>
      </c>
      <c r="C317" s="16" t="s">
        <v>29</v>
      </c>
      <c r="D317" s="3" t="s">
        <v>75</v>
      </c>
      <c r="E317" s="9">
        <v>3000000</v>
      </c>
    </row>
    <row r="318" spans="1:5">
      <c r="A318" s="5">
        <v>45931</v>
      </c>
      <c r="B318" s="3" t="s">
        <v>82</v>
      </c>
      <c r="C318" s="16" t="s">
        <v>30</v>
      </c>
      <c r="D318" s="3" t="s">
        <v>72</v>
      </c>
      <c r="E318" s="9">
        <v>8000000</v>
      </c>
    </row>
    <row r="319" spans="1:5">
      <c r="A319" s="5">
        <v>45931</v>
      </c>
      <c r="B319" s="3" t="s">
        <v>82</v>
      </c>
      <c r="C319" s="16" t="s">
        <v>30</v>
      </c>
      <c r="D319" s="3" t="s">
        <v>73</v>
      </c>
      <c r="E319" s="9">
        <v>8000000</v>
      </c>
    </row>
    <row r="320" spans="1:5">
      <c r="A320" s="5">
        <v>45931</v>
      </c>
      <c r="B320" s="3" t="s">
        <v>82</v>
      </c>
      <c r="C320" s="16" t="s">
        <v>30</v>
      </c>
      <c r="D320" s="3" t="s">
        <v>74</v>
      </c>
      <c r="E320" s="9">
        <v>8000000</v>
      </c>
    </row>
    <row r="321" spans="1:5">
      <c r="A321" s="5">
        <v>45931</v>
      </c>
      <c r="B321" s="3" t="s">
        <v>82</v>
      </c>
      <c r="C321" s="16" t="s">
        <v>30</v>
      </c>
      <c r="D321" s="3" t="s">
        <v>75</v>
      </c>
      <c r="E321" s="9">
        <v>8000000</v>
      </c>
    </row>
    <row r="322" spans="1:5">
      <c r="A322" s="5">
        <v>45962</v>
      </c>
      <c r="B322" s="3" t="s">
        <v>71</v>
      </c>
      <c r="C322" s="16" t="s">
        <v>23</v>
      </c>
      <c r="D322" s="3" t="s">
        <v>72</v>
      </c>
      <c r="E322" s="9">
        <v>8000000</v>
      </c>
    </row>
    <row r="323" spans="1:5">
      <c r="A323" s="5">
        <v>45962</v>
      </c>
      <c r="B323" s="3" t="s">
        <v>71</v>
      </c>
      <c r="C323" s="16" t="s">
        <v>23</v>
      </c>
      <c r="D323" s="3" t="s">
        <v>73</v>
      </c>
      <c r="E323" s="9">
        <v>8000000</v>
      </c>
    </row>
    <row r="324" spans="1:5">
      <c r="A324" s="5">
        <v>45962</v>
      </c>
      <c r="B324" s="3" t="s">
        <v>71</v>
      </c>
      <c r="C324" s="16" t="s">
        <v>23</v>
      </c>
      <c r="D324" s="3" t="s">
        <v>74</v>
      </c>
      <c r="E324" s="9">
        <v>8000000</v>
      </c>
    </row>
    <row r="325" spans="1:5">
      <c r="A325" s="5">
        <v>45962</v>
      </c>
      <c r="B325" s="3" t="s">
        <v>71</v>
      </c>
      <c r="C325" s="16" t="s">
        <v>23</v>
      </c>
      <c r="D325" s="3" t="s">
        <v>75</v>
      </c>
      <c r="E325" s="9">
        <v>8000000</v>
      </c>
    </row>
    <row r="326" spans="1:5">
      <c r="A326" s="5">
        <v>45962</v>
      </c>
      <c r="B326" s="3" t="s">
        <v>76</v>
      </c>
      <c r="C326" s="16" t="s">
        <v>24</v>
      </c>
      <c r="D326" s="3" t="s">
        <v>72</v>
      </c>
      <c r="E326" s="9">
        <v>30000000</v>
      </c>
    </row>
    <row r="327" spans="1:5">
      <c r="A327" s="5">
        <v>45962</v>
      </c>
      <c r="B327" s="3" t="s">
        <v>76</v>
      </c>
      <c r="C327" s="16" t="s">
        <v>24</v>
      </c>
      <c r="D327" s="3" t="s">
        <v>73</v>
      </c>
      <c r="E327" s="9">
        <v>30000000</v>
      </c>
    </row>
    <row r="328" spans="1:5">
      <c r="A328" s="5">
        <v>45962</v>
      </c>
      <c r="B328" s="3" t="s">
        <v>76</v>
      </c>
      <c r="C328" s="16" t="s">
        <v>24</v>
      </c>
      <c r="D328" s="3" t="s">
        <v>74</v>
      </c>
      <c r="E328" s="9">
        <v>30000000</v>
      </c>
    </row>
    <row r="329" spans="1:5">
      <c r="A329" s="5">
        <v>45962</v>
      </c>
      <c r="B329" s="3" t="s">
        <v>76</v>
      </c>
      <c r="C329" s="16" t="s">
        <v>24</v>
      </c>
      <c r="D329" s="3" t="s">
        <v>75</v>
      </c>
      <c r="E329" s="9">
        <v>30000000</v>
      </c>
    </row>
    <row r="330" spans="1:5">
      <c r="A330" s="5">
        <v>45962</v>
      </c>
      <c r="B330" s="3" t="s">
        <v>77</v>
      </c>
      <c r="C330" s="3" t="s">
        <v>25</v>
      </c>
      <c r="D330" s="3" t="s">
        <v>72</v>
      </c>
      <c r="E330" s="9">
        <v>20000000</v>
      </c>
    </row>
    <row r="331" spans="1:5">
      <c r="A331" s="5">
        <v>45962</v>
      </c>
      <c r="B331" s="3" t="s">
        <v>77</v>
      </c>
      <c r="C331" s="3" t="s">
        <v>25</v>
      </c>
      <c r="D331" s="3" t="s">
        <v>73</v>
      </c>
      <c r="E331" s="9">
        <v>20000000</v>
      </c>
    </row>
    <row r="332" spans="1:5">
      <c r="A332" s="5">
        <v>45962</v>
      </c>
      <c r="B332" s="3" t="s">
        <v>77</v>
      </c>
      <c r="C332" s="3" t="s">
        <v>25</v>
      </c>
      <c r="D332" s="3" t="s">
        <v>74</v>
      </c>
      <c r="E332" s="9">
        <v>20000000</v>
      </c>
    </row>
    <row r="333" spans="1:5">
      <c r="A333" s="5">
        <v>45962</v>
      </c>
      <c r="B333" s="3" t="s">
        <v>77</v>
      </c>
      <c r="C333" s="3" t="s">
        <v>25</v>
      </c>
      <c r="D333" s="3" t="s">
        <v>75</v>
      </c>
      <c r="E333" s="9">
        <v>20000000</v>
      </c>
    </row>
    <row r="334" spans="1:5">
      <c r="A334" s="5">
        <v>45962</v>
      </c>
      <c r="B334" s="3" t="s">
        <v>78</v>
      </c>
      <c r="C334" s="3" t="s">
        <v>26</v>
      </c>
      <c r="D334" s="3" t="s">
        <v>72</v>
      </c>
      <c r="E334" s="9">
        <v>8000000</v>
      </c>
    </row>
    <row r="335" spans="1:5">
      <c r="A335" s="5">
        <v>45962</v>
      </c>
      <c r="B335" s="3" t="s">
        <v>78</v>
      </c>
      <c r="C335" s="3" t="s">
        <v>26</v>
      </c>
      <c r="D335" s="3" t="s">
        <v>73</v>
      </c>
      <c r="E335" s="9">
        <v>8000000</v>
      </c>
    </row>
    <row r="336" spans="1:5">
      <c r="A336" s="5">
        <v>45962</v>
      </c>
      <c r="B336" s="3" t="s">
        <v>78</v>
      </c>
      <c r="C336" s="3" t="s">
        <v>26</v>
      </c>
      <c r="D336" s="3" t="s">
        <v>74</v>
      </c>
      <c r="E336" s="9">
        <v>8000000</v>
      </c>
    </row>
    <row r="337" spans="1:5">
      <c r="A337" s="5">
        <v>45962</v>
      </c>
      <c r="B337" s="3" t="s">
        <v>78</v>
      </c>
      <c r="C337" s="3" t="s">
        <v>26</v>
      </c>
      <c r="D337" s="3" t="s">
        <v>75</v>
      </c>
      <c r="E337" s="9">
        <v>8000000</v>
      </c>
    </row>
    <row r="338" spans="1:5">
      <c r="A338" s="5">
        <v>45962</v>
      </c>
      <c r="B338" s="3" t="s">
        <v>79</v>
      </c>
      <c r="C338" s="16" t="s">
        <v>27</v>
      </c>
      <c r="D338" s="3" t="s">
        <v>72</v>
      </c>
      <c r="E338" s="9">
        <v>12000000</v>
      </c>
    </row>
    <row r="339" spans="1:5">
      <c r="A339" s="5">
        <v>45962</v>
      </c>
      <c r="B339" s="3" t="s">
        <v>79</v>
      </c>
      <c r="C339" s="16" t="s">
        <v>27</v>
      </c>
      <c r="D339" s="3" t="s">
        <v>73</v>
      </c>
      <c r="E339" s="9">
        <v>12000000</v>
      </c>
    </row>
    <row r="340" spans="1:5">
      <c r="A340" s="5">
        <v>45962</v>
      </c>
      <c r="B340" s="3" t="s">
        <v>79</v>
      </c>
      <c r="C340" s="16" t="s">
        <v>27</v>
      </c>
      <c r="D340" s="3" t="s">
        <v>74</v>
      </c>
      <c r="E340" s="9">
        <v>12000000</v>
      </c>
    </row>
    <row r="341" spans="1:5">
      <c r="A341" s="5">
        <v>45962</v>
      </c>
      <c r="B341" s="3" t="s">
        <v>79</v>
      </c>
      <c r="C341" s="16" t="s">
        <v>27</v>
      </c>
      <c r="D341" s="3" t="s">
        <v>75</v>
      </c>
      <c r="E341" s="9">
        <v>12000000</v>
      </c>
    </row>
    <row r="342" spans="1:5">
      <c r="A342" s="5">
        <v>45962</v>
      </c>
      <c r="B342" s="3" t="s">
        <v>80</v>
      </c>
      <c r="C342" s="16" t="s">
        <v>28</v>
      </c>
      <c r="D342" s="3" t="s">
        <v>72</v>
      </c>
      <c r="E342" s="9">
        <v>10000000</v>
      </c>
    </row>
    <row r="343" spans="1:5">
      <c r="A343" s="5">
        <v>45962</v>
      </c>
      <c r="B343" s="3" t="s">
        <v>80</v>
      </c>
      <c r="C343" s="16" t="s">
        <v>28</v>
      </c>
      <c r="D343" s="3" t="s">
        <v>73</v>
      </c>
      <c r="E343" s="9">
        <v>10000000</v>
      </c>
    </row>
    <row r="344" spans="1:5">
      <c r="A344" s="5">
        <v>45962</v>
      </c>
      <c r="B344" s="3" t="s">
        <v>80</v>
      </c>
      <c r="C344" s="16" t="s">
        <v>28</v>
      </c>
      <c r="D344" s="3" t="s">
        <v>74</v>
      </c>
      <c r="E344" s="9">
        <v>10000000</v>
      </c>
    </row>
    <row r="345" spans="1:5">
      <c r="A345" s="5">
        <v>45962</v>
      </c>
      <c r="B345" s="3" t="s">
        <v>80</v>
      </c>
      <c r="C345" s="16" t="s">
        <v>28</v>
      </c>
      <c r="D345" s="3" t="s">
        <v>75</v>
      </c>
      <c r="E345" s="9">
        <v>10000000</v>
      </c>
    </row>
    <row r="346" spans="1:5">
      <c r="A346" s="5">
        <v>45962</v>
      </c>
      <c r="B346" s="3" t="s">
        <v>81</v>
      </c>
      <c r="C346" s="16" t="s">
        <v>29</v>
      </c>
      <c r="D346" s="3" t="s">
        <v>72</v>
      </c>
      <c r="E346" s="9">
        <v>3000000</v>
      </c>
    </row>
    <row r="347" spans="1:5">
      <c r="A347" s="5">
        <v>45962</v>
      </c>
      <c r="B347" s="3" t="s">
        <v>81</v>
      </c>
      <c r="C347" s="16" t="s">
        <v>29</v>
      </c>
      <c r="D347" s="3" t="s">
        <v>73</v>
      </c>
      <c r="E347" s="9">
        <v>3000000</v>
      </c>
    </row>
    <row r="348" spans="1:5">
      <c r="A348" s="5">
        <v>45962</v>
      </c>
      <c r="B348" s="3" t="s">
        <v>81</v>
      </c>
      <c r="C348" s="16" t="s">
        <v>29</v>
      </c>
      <c r="D348" s="3" t="s">
        <v>74</v>
      </c>
      <c r="E348" s="9">
        <v>3000000</v>
      </c>
    </row>
    <row r="349" spans="1:5">
      <c r="A349" s="5">
        <v>45962</v>
      </c>
      <c r="B349" s="3" t="s">
        <v>81</v>
      </c>
      <c r="C349" s="16" t="s">
        <v>29</v>
      </c>
      <c r="D349" s="3" t="s">
        <v>75</v>
      </c>
      <c r="E349" s="9">
        <v>3000000</v>
      </c>
    </row>
    <row r="350" spans="1:5">
      <c r="A350" s="5">
        <v>45962</v>
      </c>
      <c r="B350" s="3" t="s">
        <v>82</v>
      </c>
      <c r="C350" s="16" t="s">
        <v>30</v>
      </c>
      <c r="D350" s="3" t="s">
        <v>72</v>
      </c>
      <c r="E350" s="9">
        <v>8000000</v>
      </c>
    </row>
    <row r="351" spans="1:5">
      <c r="A351" s="5">
        <v>45962</v>
      </c>
      <c r="B351" s="3" t="s">
        <v>82</v>
      </c>
      <c r="C351" s="16" t="s">
        <v>30</v>
      </c>
      <c r="D351" s="3" t="s">
        <v>73</v>
      </c>
      <c r="E351" s="9">
        <v>8000000</v>
      </c>
    </row>
    <row r="352" spans="1:5">
      <c r="A352" s="5">
        <v>45962</v>
      </c>
      <c r="B352" s="3" t="s">
        <v>82</v>
      </c>
      <c r="C352" s="16" t="s">
        <v>30</v>
      </c>
      <c r="D352" s="3" t="s">
        <v>74</v>
      </c>
      <c r="E352" s="9">
        <v>8000000</v>
      </c>
    </row>
    <row r="353" spans="1:5">
      <c r="A353" s="5">
        <v>45962</v>
      </c>
      <c r="B353" s="3" t="s">
        <v>82</v>
      </c>
      <c r="C353" s="16" t="s">
        <v>30</v>
      </c>
      <c r="D353" s="3" t="s">
        <v>75</v>
      </c>
      <c r="E353" s="9">
        <v>8000000</v>
      </c>
    </row>
    <row r="354" spans="1:5">
      <c r="A354" s="5">
        <v>45992</v>
      </c>
      <c r="B354" s="3" t="s">
        <v>71</v>
      </c>
      <c r="C354" s="16" t="s">
        <v>23</v>
      </c>
      <c r="D354" s="3" t="s">
        <v>72</v>
      </c>
      <c r="E354" s="9">
        <v>8000000</v>
      </c>
    </row>
    <row r="355" spans="1:5">
      <c r="A355" s="5">
        <v>45992</v>
      </c>
      <c r="B355" s="3" t="s">
        <v>71</v>
      </c>
      <c r="C355" s="16" t="s">
        <v>23</v>
      </c>
      <c r="D355" s="3" t="s">
        <v>73</v>
      </c>
      <c r="E355" s="9">
        <v>8000000</v>
      </c>
    </row>
    <row r="356" spans="1:5">
      <c r="A356" s="5">
        <v>45992</v>
      </c>
      <c r="B356" s="3" t="s">
        <v>71</v>
      </c>
      <c r="C356" s="16" t="s">
        <v>23</v>
      </c>
      <c r="D356" s="3" t="s">
        <v>74</v>
      </c>
      <c r="E356" s="9">
        <v>8000000</v>
      </c>
    </row>
    <row r="357" spans="1:5">
      <c r="A357" s="5">
        <v>45992</v>
      </c>
      <c r="B357" s="3" t="s">
        <v>71</v>
      </c>
      <c r="C357" s="16" t="s">
        <v>23</v>
      </c>
      <c r="D357" s="3" t="s">
        <v>75</v>
      </c>
      <c r="E357" s="9">
        <v>8000000</v>
      </c>
    </row>
    <row r="358" spans="1:5">
      <c r="A358" s="5">
        <v>45992</v>
      </c>
      <c r="B358" s="3" t="s">
        <v>76</v>
      </c>
      <c r="C358" s="16" t="s">
        <v>24</v>
      </c>
      <c r="D358" s="3" t="s">
        <v>72</v>
      </c>
      <c r="E358" s="9">
        <v>30000000</v>
      </c>
    </row>
    <row r="359" spans="1:5">
      <c r="A359" s="5">
        <v>45992</v>
      </c>
      <c r="B359" s="3" t="s">
        <v>76</v>
      </c>
      <c r="C359" s="16" t="s">
        <v>24</v>
      </c>
      <c r="D359" s="3" t="s">
        <v>73</v>
      </c>
      <c r="E359" s="9">
        <v>30000000</v>
      </c>
    </row>
    <row r="360" spans="1:5">
      <c r="A360" s="5">
        <v>45992</v>
      </c>
      <c r="B360" s="3" t="s">
        <v>76</v>
      </c>
      <c r="C360" s="16" t="s">
        <v>24</v>
      </c>
      <c r="D360" s="3" t="s">
        <v>74</v>
      </c>
      <c r="E360" s="9">
        <v>30000000</v>
      </c>
    </row>
    <row r="361" spans="1:5">
      <c r="A361" s="5">
        <v>45992</v>
      </c>
      <c r="B361" s="3" t="s">
        <v>76</v>
      </c>
      <c r="C361" s="16" t="s">
        <v>24</v>
      </c>
      <c r="D361" s="3" t="s">
        <v>75</v>
      </c>
      <c r="E361" s="9">
        <v>30000000</v>
      </c>
    </row>
    <row r="362" spans="1:5">
      <c r="A362" s="5">
        <v>45992</v>
      </c>
      <c r="B362" s="3" t="s">
        <v>77</v>
      </c>
      <c r="C362" s="3" t="s">
        <v>25</v>
      </c>
      <c r="D362" s="3" t="s">
        <v>72</v>
      </c>
      <c r="E362" s="9">
        <v>20000000</v>
      </c>
    </row>
    <row r="363" spans="1:5">
      <c r="A363" s="5">
        <v>45992</v>
      </c>
      <c r="B363" s="3" t="s">
        <v>77</v>
      </c>
      <c r="C363" s="3" t="s">
        <v>25</v>
      </c>
      <c r="D363" s="3" t="s">
        <v>73</v>
      </c>
      <c r="E363" s="9">
        <v>20000000</v>
      </c>
    </row>
    <row r="364" spans="1:5">
      <c r="A364" s="5">
        <v>45992</v>
      </c>
      <c r="B364" s="3" t="s">
        <v>77</v>
      </c>
      <c r="C364" s="3" t="s">
        <v>25</v>
      </c>
      <c r="D364" s="3" t="s">
        <v>74</v>
      </c>
      <c r="E364" s="9">
        <v>20000000</v>
      </c>
    </row>
    <row r="365" spans="1:5">
      <c r="A365" s="5">
        <v>45992</v>
      </c>
      <c r="B365" s="3" t="s">
        <v>77</v>
      </c>
      <c r="C365" s="3" t="s">
        <v>25</v>
      </c>
      <c r="D365" s="3" t="s">
        <v>75</v>
      </c>
      <c r="E365" s="9">
        <v>20000000</v>
      </c>
    </row>
    <row r="366" spans="1:5">
      <c r="A366" s="5">
        <v>45992</v>
      </c>
      <c r="B366" s="3" t="s">
        <v>78</v>
      </c>
      <c r="C366" s="3" t="s">
        <v>26</v>
      </c>
      <c r="D366" s="3" t="s">
        <v>72</v>
      </c>
      <c r="E366" s="9">
        <v>8000000</v>
      </c>
    </row>
    <row r="367" spans="1:5">
      <c r="A367" s="5">
        <v>45992</v>
      </c>
      <c r="B367" s="3" t="s">
        <v>78</v>
      </c>
      <c r="C367" s="3" t="s">
        <v>26</v>
      </c>
      <c r="D367" s="3" t="s">
        <v>73</v>
      </c>
      <c r="E367" s="9">
        <v>8000000</v>
      </c>
    </row>
    <row r="368" spans="1:5">
      <c r="A368" s="5">
        <v>45992</v>
      </c>
      <c r="B368" s="3" t="s">
        <v>78</v>
      </c>
      <c r="C368" s="3" t="s">
        <v>26</v>
      </c>
      <c r="D368" s="3" t="s">
        <v>74</v>
      </c>
      <c r="E368" s="9">
        <v>8000000</v>
      </c>
    </row>
    <row r="369" spans="1:5">
      <c r="A369" s="5">
        <v>45992</v>
      </c>
      <c r="B369" s="3" t="s">
        <v>78</v>
      </c>
      <c r="C369" s="3" t="s">
        <v>26</v>
      </c>
      <c r="D369" s="3" t="s">
        <v>75</v>
      </c>
      <c r="E369" s="9">
        <v>8000000</v>
      </c>
    </row>
    <row r="370" spans="1:5">
      <c r="A370" s="5">
        <v>45992</v>
      </c>
      <c r="B370" s="3" t="s">
        <v>79</v>
      </c>
      <c r="C370" s="16" t="s">
        <v>27</v>
      </c>
      <c r="D370" s="3" t="s">
        <v>72</v>
      </c>
      <c r="E370" s="9">
        <v>12000000</v>
      </c>
    </row>
    <row r="371" spans="1:5">
      <c r="A371" s="5">
        <v>45992</v>
      </c>
      <c r="B371" s="3" t="s">
        <v>79</v>
      </c>
      <c r="C371" s="16" t="s">
        <v>27</v>
      </c>
      <c r="D371" s="3" t="s">
        <v>73</v>
      </c>
      <c r="E371" s="9">
        <v>12000000</v>
      </c>
    </row>
    <row r="372" spans="1:5">
      <c r="A372" s="5">
        <v>45992</v>
      </c>
      <c r="B372" s="3" t="s">
        <v>79</v>
      </c>
      <c r="C372" s="16" t="s">
        <v>27</v>
      </c>
      <c r="D372" s="3" t="s">
        <v>74</v>
      </c>
      <c r="E372" s="9">
        <v>12000000</v>
      </c>
    </row>
    <row r="373" spans="1:5">
      <c r="A373" s="5">
        <v>45992</v>
      </c>
      <c r="B373" s="3" t="s">
        <v>79</v>
      </c>
      <c r="C373" s="16" t="s">
        <v>27</v>
      </c>
      <c r="D373" s="3" t="s">
        <v>75</v>
      </c>
      <c r="E373" s="9">
        <v>12000000</v>
      </c>
    </row>
    <row r="374" spans="1:5">
      <c r="A374" s="5">
        <v>45992</v>
      </c>
      <c r="B374" s="3" t="s">
        <v>80</v>
      </c>
      <c r="C374" s="16" t="s">
        <v>28</v>
      </c>
      <c r="D374" s="3" t="s">
        <v>72</v>
      </c>
      <c r="E374" s="9">
        <v>10000000</v>
      </c>
    </row>
    <row r="375" spans="1:5">
      <c r="A375" s="5">
        <v>45992</v>
      </c>
      <c r="B375" s="3" t="s">
        <v>80</v>
      </c>
      <c r="C375" s="16" t="s">
        <v>28</v>
      </c>
      <c r="D375" s="3" t="s">
        <v>73</v>
      </c>
      <c r="E375" s="9">
        <v>10000000</v>
      </c>
    </row>
    <row r="376" spans="1:5">
      <c r="A376" s="5">
        <v>45992</v>
      </c>
      <c r="B376" s="3" t="s">
        <v>80</v>
      </c>
      <c r="C376" s="16" t="s">
        <v>28</v>
      </c>
      <c r="D376" s="3" t="s">
        <v>74</v>
      </c>
      <c r="E376" s="9">
        <v>10000000</v>
      </c>
    </row>
    <row r="377" spans="1:5">
      <c r="A377" s="5">
        <v>45992</v>
      </c>
      <c r="B377" s="3" t="s">
        <v>80</v>
      </c>
      <c r="C377" s="16" t="s">
        <v>28</v>
      </c>
      <c r="D377" s="3" t="s">
        <v>75</v>
      </c>
      <c r="E377" s="9">
        <v>10000000</v>
      </c>
    </row>
    <row r="378" spans="1:5">
      <c r="A378" s="5">
        <v>45992</v>
      </c>
      <c r="B378" s="3" t="s">
        <v>81</v>
      </c>
      <c r="C378" s="16" t="s">
        <v>29</v>
      </c>
      <c r="D378" s="3" t="s">
        <v>72</v>
      </c>
      <c r="E378" s="9">
        <v>3000000</v>
      </c>
    </row>
    <row r="379" spans="1:5">
      <c r="A379" s="5">
        <v>45992</v>
      </c>
      <c r="B379" s="3" t="s">
        <v>81</v>
      </c>
      <c r="C379" s="16" t="s">
        <v>29</v>
      </c>
      <c r="D379" s="3" t="s">
        <v>73</v>
      </c>
      <c r="E379" s="9">
        <v>3000000</v>
      </c>
    </row>
    <row r="380" spans="1:5">
      <c r="A380" s="5">
        <v>45992</v>
      </c>
      <c r="B380" s="3" t="s">
        <v>81</v>
      </c>
      <c r="C380" s="16" t="s">
        <v>29</v>
      </c>
      <c r="D380" s="3" t="s">
        <v>74</v>
      </c>
      <c r="E380" s="9">
        <v>3000000</v>
      </c>
    </row>
    <row r="381" spans="1:5">
      <c r="A381" s="5">
        <v>45992</v>
      </c>
      <c r="B381" s="3" t="s">
        <v>81</v>
      </c>
      <c r="C381" s="16" t="s">
        <v>29</v>
      </c>
      <c r="D381" s="3" t="s">
        <v>75</v>
      </c>
      <c r="E381" s="9">
        <v>3000000</v>
      </c>
    </row>
    <row r="382" spans="1:5">
      <c r="A382" s="5">
        <v>45992</v>
      </c>
      <c r="B382" s="3" t="s">
        <v>82</v>
      </c>
      <c r="C382" s="16" t="s">
        <v>30</v>
      </c>
      <c r="D382" s="3" t="s">
        <v>72</v>
      </c>
      <c r="E382" s="9">
        <v>8000000</v>
      </c>
    </row>
    <row r="383" spans="1:5">
      <c r="A383" s="5">
        <v>45992</v>
      </c>
      <c r="B383" s="3" t="s">
        <v>82</v>
      </c>
      <c r="C383" s="16" t="s">
        <v>30</v>
      </c>
      <c r="D383" s="3" t="s">
        <v>73</v>
      </c>
      <c r="E383" s="9">
        <v>8000000</v>
      </c>
    </row>
    <row r="384" spans="1:5">
      <c r="A384" s="5">
        <v>45992</v>
      </c>
      <c r="B384" s="3" t="s">
        <v>82</v>
      </c>
      <c r="C384" s="16" t="s">
        <v>30</v>
      </c>
      <c r="D384" s="3" t="s">
        <v>74</v>
      </c>
      <c r="E384" s="9">
        <v>8000000</v>
      </c>
    </row>
    <row r="385" spans="1:5">
      <c r="A385" s="5">
        <v>45992</v>
      </c>
      <c r="B385" s="3" t="s">
        <v>82</v>
      </c>
      <c r="C385" s="16" t="s">
        <v>30</v>
      </c>
      <c r="D385" s="3" t="s">
        <v>75</v>
      </c>
      <c r="E385" s="9">
        <v>8000000</v>
      </c>
    </row>
    <row r="386" spans="1:5">
      <c r="A386" s="5">
        <v>46023</v>
      </c>
      <c r="B386" s="3" t="s">
        <v>71</v>
      </c>
      <c r="C386" s="16" t="s">
        <v>23</v>
      </c>
      <c r="D386" s="3" t="s">
        <v>72</v>
      </c>
      <c r="E386" s="9">
        <v>8000000</v>
      </c>
    </row>
    <row r="387" spans="1:5">
      <c r="A387" s="5">
        <v>46023</v>
      </c>
      <c r="B387" s="3" t="s">
        <v>71</v>
      </c>
      <c r="C387" s="16" t="s">
        <v>23</v>
      </c>
      <c r="D387" s="3" t="s">
        <v>73</v>
      </c>
      <c r="E387" s="9">
        <v>8000000</v>
      </c>
    </row>
    <row r="388" spans="1:5">
      <c r="A388" s="5">
        <v>46023</v>
      </c>
      <c r="B388" s="3" t="s">
        <v>71</v>
      </c>
      <c r="C388" s="16" t="s">
        <v>23</v>
      </c>
      <c r="D388" s="3" t="s">
        <v>74</v>
      </c>
      <c r="E388" s="9">
        <v>8000000</v>
      </c>
    </row>
    <row r="389" spans="1:5">
      <c r="A389" s="5">
        <v>46023</v>
      </c>
      <c r="B389" s="3" t="s">
        <v>71</v>
      </c>
      <c r="C389" s="16" t="s">
        <v>23</v>
      </c>
      <c r="D389" s="3" t="s">
        <v>75</v>
      </c>
      <c r="E389" s="9">
        <v>8000000</v>
      </c>
    </row>
    <row r="390" spans="1:5">
      <c r="A390" s="5">
        <v>46023</v>
      </c>
      <c r="B390" s="3" t="s">
        <v>76</v>
      </c>
      <c r="C390" s="16" t="s">
        <v>24</v>
      </c>
      <c r="D390" s="3" t="s">
        <v>72</v>
      </c>
      <c r="E390" s="9">
        <v>30000000</v>
      </c>
    </row>
    <row r="391" spans="1:5">
      <c r="A391" s="5">
        <v>46023</v>
      </c>
      <c r="B391" s="3" t="s">
        <v>76</v>
      </c>
      <c r="C391" s="16" t="s">
        <v>24</v>
      </c>
      <c r="D391" s="3" t="s">
        <v>73</v>
      </c>
      <c r="E391" s="9">
        <v>30000000</v>
      </c>
    </row>
    <row r="392" spans="1:5">
      <c r="A392" s="5">
        <v>46023</v>
      </c>
      <c r="B392" s="3" t="s">
        <v>76</v>
      </c>
      <c r="C392" s="16" t="s">
        <v>24</v>
      </c>
      <c r="D392" s="3" t="s">
        <v>74</v>
      </c>
      <c r="E392" s="9">
        <v>30000000</v>
      </c>
    </row>
    <row r="393" spans="1:5">
      <c r="A393" s="5">
        <v>46023</v>
      </c>
      <c r="B393" s="3" t="s">
        <v>76</v>
      </c>
      <c r="C393" s="16" t="s">
        <v>24</v>
      </c>
      <c r="D393" s="3" t="s">
        <v>75</v>
      </c>
      <c r="E393" s="9">
        <v>30000000</v>
      </c>
    </row>
    <row r="394" spans="1:5">
      <c r="A394" s="5">
        <v>46023</v>
      </c>
      <c r="B394" s="3" t="s">
        <v>77</v>
      </c>
      <c r="C394" s="3" t="s">
        <v>25</v>
      </c>
      <c r="D394" s="3" t="s">
        <v>72</v>
      </c>
      <c r="E394" s="9">
        <v>20000000</v>
      </c>
    </row>
    <row r="395" spans="1:5">
      <c r="A395" s="5">
        <v>46023</v>
      </c>
      <c r="B395" s="3" t="s">
        <v>77</v>
      </c>
      <c r="C395" s="3" t="s">
        <v>25</v>
      </c>
      <c r="D395" s="3" t="s">
        <v>73</v>
      </c>
      <c r="E395" s="9">
        <v>20000000</v>
      </c>
    </row>
    <row r="396" spans="1:5">
      <c r="A396" s="5">
        <v>46023</v>
      </c>
      <c r="B396" s="3" t="s">
        <v>77</v>
      </c>
      <c r="C396" s="3" t="s">
        <v>25</v>
      </c>
      <c r="D396" s="3" t="s">
        <v>74</v>
      </c>
      <c r="E396" s="9">
        <v>20000000</v>
      </c>
    </row>
    <row r="397" spans="1:5">
      <c r="A397" s="5">
        <v>46023</v>
      </c>
      <c r="B397" s="3" t="s">
        <v>77</v>
      </c>
      <c r="C397" s="3" t="s">
        <v>25</v>
      </c>
      <c r="D397" s="3" t="s">
        <v>75</v>
      </c>
      <c r="E397" s="9">
        <v>20000000</v>
      </c>
    </row>
    <row r="398" spans="1:5">
      <c r="A398" s="5">
        <v>46023</v>
      </c>
      <c r="B398" s="3" t="s">
        <v>78</v>
      </c>
      <c r="C398" s="3" t="s">
        <v>26</v>
      </c>
      <c r="D398" s="3" t="s">
        <v>72</v>
      </c>
      <c r="E398" s="9">
        <v>8000000</v>
      </c>
    </row>
    <row r="399" spans="1:5">
      <c r="A399" s="5">
        <v>46023</v>
      </c>
      <c r="B399" s="3" t="s">
        <v>78</v>
      </c>
      <c r="C399" s="3" t="s">
        <v>26</v>
      </c>
      <c r="D399" s="3" t="s">
        <v>73</v>
      </c>
      <c r="E399" s="9">
        <v>8000000</v>
      </c>
    </row>
    <row r="400" spans="1:5">
      <c r="A400" s="5">
        <v>46023</v>
      </c>
      <c r="B400" s="3" t="s">
        <v>78</v>
      </c>
      <c r="C400" s="3" t="s">
        <v>26</v>
      </c>
      <c r="D400" s="3" t="s">
        <v>74</v>
      </c>
      <c r="E400" s="9">
        <v>8000000</v>
      </c>
    </row>
    <row r="401" spans="1:5">
      <c r="A401" s="5">
        <v>46023</v>
      </c>
      <c r="B401" s="3" t="s">
        <v>78</v>
      </c>
      <c r="C401" s="3" t="s">
        <v>26</v>
      </c>
      <c r="D401" s="3" t="s">
        <v>75</v>
      </c>
      <c r="E401" s="9">
        <v>8000000</v>
      </c>
    </row>
    <row r="402" spans="1:5">
      <c r="A402" s="5">
        <v>46023</v>
      </c>
      <c r="B402" s="3" t="s">
        <v>79</v>
      </c>
      <c r="C402" s="16" t="s">
        <v>27</v>
      </c>
      <c r="D402" s="3" t="s">
        <v>72</v>
      </c>
      <c r="E402" s="9">
        <v>12000000</v>
      </c>
    </row>
    <row r="403" spans="1:5">
      <c r="A403" s="5">
        <v>46023</v>
      </c>
      <c r="B403" s="3" t="s">
        <v>79</v>
      </c>
      <c r="C403" s="16" t="s">
        <v>27</v>
      </c>
      <c r="D403" s="3" t="s">
        <v>73</v>
      </c>
      <c r="E403" s="9">
        <v>12000000</v>
      </c>
    </row>
    <row r="404" spans="1:5">
      <c r="A404" s="5">
        <v>46023</v>
      </c>
      <c r="B404" s="3" t="s">
        <v>79</v>
      </c>
      <c r="C404" s="16" t="s">
        <v>27</v>
      </c>
      <c r="D404" s="3" t="s">
        <v>74</v>
      </c>
      <c r="E404" s="9">
        <v>12000000</v>
      </c>
    </row>
    <row r="405" spans="1:5">
      <c r="A405" s="5">
        <v>46023</v>
      </c>
      <c r="B405" s="3" t="s">
        <v>79</v>
      </c>
      <c r="C405" s="16" t="s">
        <v>27</v>
      </c>
      <c r="D405" s="3" t="s">
        <v>75</v>
      </c>
      <c r="E405" s="9">
        <v>12000000</v>
      </c>
    </row>
    <row r="406" spans="1:5">
      <c r="A406" s="5">
        <v>46023</v>
      </c>
      <c r="B406" s="3" t="s">
        <v>80</v>
      </c>
      <c r="C406" s="16" t="s">
        <v>28</v>
      </c>
      <c r="D406" s="3" t="s">
        <v>72</v>
      </c>
      <c r="E406" s="9">
        <v>10000000</v>
      </c>
    </row>
    <row r="407" spans="1:5">
      <c r="A407" s="5">
        <v>46023</v>
      </c>
      <c r="B407" s="3" t="s">
        <v>80</v>
      </c>
      <c r="C407" s="16" t="s">
        <v>28</v>
      </c>
      <c r="D407" s="3" t="s">
        <v>73</v>
      </c>
      <c r="E407" s="9">
        <v>10000000</v>
      </c>
    </row>
    <row r="408" spans="1:5">
      <c r="A408" s="5">
        <v>46023</v>
      </c>
      <c r="B408" s="3" t="s">
        <v>80</v>
      </c>
      <c r="C408" s="16" t="s">
        <v>28</v>
      </c>
      <c r="D408" s="3" t="s">
        <v>74</v>
      </c>
      <c r="E408" s="9">
        <v>10000000</v>
      </c>
    </row>
    <row r="409" spans="1:5">
      <c r="A409" s="5">
        <v>46023</v>
      </c>
      <c r="B409" s="3" t="s">
        <v>80</v>
      </c>
      <c r="C409" s="16" t="s">
        <v>28</v>
      </c>
      <c r="D409" s="3" t="s">
        <v>75</v>
      </c>
      <c r="E409" s="9">
        <v>10000000</v>
      </c>
    </row>
    <row r="410" spans="1:5">
      <c r="A410" s="5">
        <v>46023</v>
      </c>
      <c r="B410" s="3" t="s">
        <v>81</v>
      </c>
      <c r="C410" s="16" t="s">
        <v>29</v>
      </c>
      <c r="D410" s="3" t="s">
        <v>72</v>
      </c>
      <c r="E410" s="9">
        <v>3000000</v>
      </c>
    </row>
    <row r="411" spans="1:5">
      <c r="A411" s="5">
        <v>46023</v>
      </c>
      <c r="B411" s="3" t="s">
        <v>81</v>
      </c>
      <c r="C411" s="16" t="s">
        <v>29</v>
      </c>
      <c r="D411" s="3" t="s">
        <v>73</v>
      </c>
      <c r="E411" s="9">
        <v>3000000</v>
      </c>
    </row>
    <row r="412" spans="1:5">
      <c r="A412" s="5">
        <v>46023</v>
      </c>
      <c r="B412" s="3" t="s">
        <v>81</v>
      </c>
      <c r="C412" s="16" t="s">
        <v>29</v>
      </c>
      <c r="D412" s="3" t="s">
        <v>74</v>
      </c>
      <c r="E412" s="9">
        <v>3000000</v>
      </c>
    </row>
    <row r="413" spans="1:5">
      <c r="A413" s="5">
        <v>46023</v>
      </c>
      <c r="B413" s="3" t="s">
        <v>81</v>
      </c>
      <c r="C413" s="16" t="s">
        <v>29</v>
      </c>
      <c r="D413" s="3" t="s">
        <v>75</v>
      </c>
      <c r="E413" s="9">
        <v>3000000</v>
      </c>
    </row>
    <row r="414" spans="1:5">
      <c r="A414" s="5">
        <v>46023</v>
      </c>
      <c r="B414" s="3" t="s">
        <v>82</v>
      </c>
      <c r="C414" s="16" t="s">
        <v>30</v>
      </c>
      <c r="D414" s="3" t="s">
        <v>72</v>
      </c>
      <c r="E414" s="9">
        <v>8000000</v>
      </c>
    </row>
    <row r="415" spans="1:5">
      <c r="A415" s="5">
        <v>46023</v>
      </c>
      <c r="B415" s="3" t="s">
        <v>82</v>
      </c>
      <c r="C415" s="16" t="s">
        <v>30</v>
      </c>
      <c r="D415" s="3" t="s">
        <v>73</v>
      </c>
      <c r="E415" s="9">
        <v>8000000</v>
      </c>
    </row>
    <row r="416" spans="1:5">
      <c r="A416" s="5">
        <v>46023</v>
      </c>
      <c r="B416" s="3" t="s">
        <v>82</v>
      </c>
      <c r="C416" s="16" t="s">
        <v>30</v>
      </c>
      <c r="D416" s="3" t="s">
        <v>74</v>
      </c>
      <c r="E416" s="9">
        <v>8000000</v>
      </c>
    </row>
    <row r="417" spans="1:5">
      <c r="A417" s="5">
        <v>46023</v>
      </c>
      <c r="B417" s="3" t="s">
        <v>82</v>
      </c>
      <c r="C417" s="16" t="s">
        <v>30</v>
      </c>
      <c r="D417" s="3" t="s">
        <v>75</v>
      </c>
      <c r="E417" s="9">
        <v>8000000</v>
      </c>
    </row>
    <row r="418" spans="1:5">
      <c r="A418" s="5">
        <v>46054</v>
      </c>
      <c r="B418" s="3" t="s">
        <v>71</v>
      </c>
      <c r="C418" s="16" t="s">
        <v>23</v>
      </c>
      <c r="D418" s="3" t="s">
        <v>72</v>
      </c>
      <c r="E418" s="9">
        <v>8000000</v>
      </c>
    </row>
    <row r="419" spans="1:5">
      <c r="A419" s="5">
        <v>46054</v>
      </c>
      <c r="B419" s="3" t="s">
        <v>71</v>
      </c>
      <c r="C419" s="16" t="s">
        <v>23</v>
      </c>
      <c r="D419" s="3" t="s">
        <v>73</v>
      </c>
      <c r="E419" s="9">
        <v>8000000</v>
      </c>
    </row>
    <row r="420" spans="1:5">
      <c r="A420" s="5">
        <v>46054</v>
      </c>
      <c r="B420" s="3" t="s">
        <v>71</v>
      </c>
      <c r="C420" s="16" t="s">
        <v>23</v>
      </c>
      <c r="D420" s="3" t="s">
        <v>74</v>
      </c>
      <c r="E420" s="9">
        <v>8000000</v>
      </c>
    </row>
    <row r="421" spans="1:5">
      <c r="A421" s="5">
        <v>46054</v>
      </c>
      <c r="B421" s="3" t="s">
        <v>71</v>
      </c>
      <c r="C421" s="16" t="s">
        <v>23</v>
      </c>
      <c r="D421" s="3" t="s">
        <v>75</v>
      </c>
      <c r="E421" s="9">
        <v>8000000</v>
      </c>
    </row>
    <row r="422" spans="1:5">
      <c r="A422" s="5">
        <v>46054</v>
      </c>
      <c r="B422" s="3" t="s">
        <v>76</v>
      </c>
      <c r="C422" s="16" t="s">
        <v>24</v>
      </c>
      <c r="D422" s="3" t="s">
        <v>72</v>
      </c>
      <c r="E422" s="9">
        <v>30000000</v>
      </c>
    </row>
    <row r="423" spans="1:5">
      <c r="A423" s="5">
        <v>46054</v>
      </c>
      <c r="B423" s="3" t="s">
        <v>76</v>
      </c>
      <c r="C423" s="16" t="s">
        <v>24</v>
      </c>
      <c r="D423" s="3" t="s">
        <v>73</v>
      </c>
      <c r="E423" s="9">
        <v>30000000</v>
      </c>
    </row>
    <row r="424" spans="1:5">
      <c r="A424" s="5">
        <v>46054</v>
      </c>
      <c r="B424" s="3" t="s">
        <v>76</v>
      </c>
      <c r="C424" s="16" t="s">
        <v>24</v>
      </c>
      <c r="D424" s="3" t="s">
        <v>74</v>
      </c>
      <c r="E424" s="9">
        <v>30000000</v>
      </c>
    </row>
    <row r="425" spans="1:5">
      <c r="A425" s="5">
        <v>46054</v>
      </c>
      <c r="B425" s="3" t="s">
        <v>76</v>
      </c>
      <c r="C425" s="16" t="s">
        <v>24</v>
      </c>
      <c r="D425" s="3" t="s">
        <v>75</v>
      </c>
      <c r="E425" s="9">
        <v>30000000</v>
      </c>
    </row>
    <row r="426" spans="1:5">
      <c r="A426" s="5">
        <v>46054</v>
      </c>
      <c r="B426" s="3" t="s">
        <v>77</v>
      </c>
      <c r="C426" s="3" t="s">
        <v>25</v>
      </c>
      <c r="D426" s="3" t="s">
        <v>72</v>
      </c>
      <c r="E426" s="9">
        <v>20000000</v>
      </c>
    </row>
    <row r="427" spans="1:5">
      <c r="A427" s="5">
        <v>46054</v>
      </c>
      <c r="B427" s="3" t="s">
        <v>77</v>
      </c>
      <c r="C427" s="3" t="s">
        <v>25</v>
      </c>
      <c r="D427" s="3" t="s">
        <v>73</v>
      </c>
      <c r="E427" s="9">
        <v>20000000</v>
      </c>
    </row>
    <row r="428" spans="1:5">
      <c r="A428" s="5">
        <v>46054</v>
      </c>
      <c r="B428" s="3" t="s">
        <v>77</v>
      </c>
      <c r="C428" s="3" t="s">
        <v>25</v>
      </c>
      <c r="D428" s="3" t="s">
        <v>74</v>
      </c>
      <c r="E428" s="9">
        <v>20000000</v>
      </c>
    </row>
    <row r="429" spans="1:5">
      <c r="A429" s="5">
        <v>46054</v>
      </c>
      <c r="B429" s="3" t="s">
        <v>77</v>
      </c>
      <c r="C429" s="3" t="s">
        <v>25</v>
      </c>
      <c r="D429" s="3" t="s">
        <v>75</v>
      </c>
      <c r="E429" s="9">
        <v>20000000</v>
      </c>
    </row>
    <row r="430" spans="1:5">
      <c r="A430" s="5">
        <v>46054</v>
      </c>
      <c r="B430" s="3" t="s">
        <v>78</v>
      </c>
      <c r="C430" s="3" t="s">
        <v>26</v>
      </c>
      <c r="D430" s="3" t="s">
        <v>72</v>
      </c>
      <c r="E430" s="9">
        <v>8000000</v>
      </c>
    </row>
    <row r="431" spans="1:5">
      <c r="A431" s="5">
        <v>46054</v>
      </c>
      <c r="B431" s="3" t="s">
        <v>78</v>
      </c>
      <c r="C431" s="3" t="s">
        <v>26</v>
      </c>
      <c r="D431" s="3" t="s">
        <v>73</v>
      </c>
      <c r="E431" s="9">
        <v>8000000</v>
      </c>
    </row>
    <row r="432" spans="1:5">
      <c r="A432" s="5">
        <v>46054</v>
      </c>
      <c r="B432" s="3" t="s">
        <v>78</v>
      </c>
      <c r="C432" s="3" t="s">
        <v>26</v>
      </c>
      <c r="D432" s="3" t="s">
        <v>74</v>
      </c>
      <c r="E432" s="9">
        <v>8000000</v>
      </c>
    </row>
    <row r="433" spans="1:5">
      <c r="A433" s="5">
        <v>46054</v>
      </c>
      <c r="B433" s="3" t="s">
        <v>78</v>
      </c>
      <c r="C433" s="3" t="s">
        <v>26</v>
      </c>
      <c r="D433" s="3" t="s">
        <v>75</v>
      </c>
      <c r="E433" s="9">
        <v>8000000</v>
      </c>
    </row>
    <row r="434" spans="1:5">
      <c r="A434" s="5">
        <v>46054</v>
      </c>
      <c r="B434" s="3" t="s">
        <v>79</v>
      </c>
      <c r="C434" s="16" t="s">
        <v>27</v>
      </c>
      <c r="D434" s="3" t="s">
        <v>72</v>
      </c>
      <c r="E434" s="9">
        <v>12000000</v>
      </c>
    </row>
    <row r="435" spans="1:5">
      <c r="A435" s="5">
        <v>46054</v>
      </c>
      <c r="B435" s="3" t="s">
        <v>79</v>
      </c>
      <c r="C435" s="16" t="s">
        <v>27</v>
      </c>
      <c r="D435" s="3" t="s">
        <v>73</v>
      </c>
      <c r="E435" s="9">
        <v>12000000</v>
      </c>
    </row>
    <row r="436" spans="1:5">
      <c r="A436" s="5">
        <v>46054</v>
      </c>
      <c r="B436" s="3" t="s">
        <v>79</v>
      </c>
      <c r="C436" s="16" t="s">
        <v>27</v>
      </c>
      <c r="D436" s="3" t="s">
        <v>74</v>
      </c>
      <c r="E436" s="9">
        <v>12000000</v>
      </c>
    </row>
    <row r="437" spans="1:5">
      <c r="A437" s="5">
        <v>46054</v>
      </c>
      <c r="B437" s="3" t="s">
        <v>79</v>
      </c>
      <c r="C437" s="16" t="s">
        <v>27</v>
      </c>
      <c r="D437" s="3" t="s">
        <v>75</v>
      </c>
      <c r="E437" s="9">
        <v>12000000</v>
      </c>
    </row>
    <row r="438" spans="1:5">
      <c r="A438" s="5">
        <v>46054</v>
      </c>
      <c r="B438" s="3" t="s">
        <v>80</v>
      </c>
      <c r="C438" s="16" t="s">
        <v>28</v>
      </c>
      <c r="D438" s="3" t="s">
        <v>72</v>
      </c>
      <c r="E438" s="9">
        <v>10000000</v>
      </c>
    </row>
    <row r="439" spans="1:5">
      <c r="A439" s="5">
        <v>46054</v>
      </c>
      <c r="B439" s="3" t="s">
        <v>80</v>
      </c>
      <c r="C439" s="16" t="s">
        <v>28</v>
      </c>
      <c r="D439" s="3" t="s">
        <v>73</v>
      </c>
      <c r="E439" s="9">
        <v>10000000</v>
      </c>
    </row>
    <row r="440" spans="1:5">
      <c r="A440" s="5">
        <v>46054</v>
      </c>
      <c r="B440" s="3" t="s">
        <v>80</v>
      </c>
      <c r="C440" s="16" t="s">
        <v>28</v>
      </c>
      <c r="D440" s="3" t="s">
        <v>74</v>
      </c>
      <c r="E440" s="9">
        <v>10000000</v>
      </c>
    </row>
    <row r="441" spans="1:5">
      <c r="A441" s="5">
        <v>46054</v>
      </c>
      <c r="B441" s="3" t="s">
        <v>80</v>
      </c>
      <c r="C441" s="16" t="s">
        <v>28</v>
      </c>
      <c r="D441" s="3" t="s">
        <v>75</v>
      </c>
      <c r="E441" s="9">
        <v>10000000</v>
      </c>
    </row>
    <row r="442" spans="1:5">
      <c r="A442" s="5">
        <v>46054</v>
      </c>
      <c r="B442" s="3" t="s">
        <v>81</v>
      </c>
      <c r="C442" s="16" t="s">
        <v>29</v>
      </c>
      <c r="D442" s="3" t="s">
        <v>72</v>
      </c>
      <c r="E442" s="9">
        <v>3000000</v>
      </c>
    </row>
    <row r="443" spans="1:5">
      <c r="A443" s="5">
        <v>46054</v>
      </c>
      <c r="B443" s="3" t="s">
        <v>81</v>
      </c>
      <c r="C443" s="16" t="s">
        <v>29</v>
      </c>
      <c r="D443" s="3" t="s">
        <v>73</v>
      </c>
      <c r="E443" s="9">
        <v>3000000</v>
      </c>
    </row>
    <row r="444" spans="1:5">
      <c r="A444" s="5">
        <v>46054</v>
      </c>
      <c r="B444" s="3" t="s">
        <v>81</v>
      </c>
      <c r="C444" s="16" t="s">
        <v>29</v>
      </c>
      <c r="D444" s="3" t="s">
        <v>74</v>
      </c>
      <c r="E444" s="9">
        <v>3000000</v>
      </c>
    </row>
    <row r="445" spans="1:5">
      <c r="A445" s="5">
        <v>46054</v>
      </c>
      <c r="B445" s="3" t="s">
        <v>81</v>
      </c>
      <c r="C445" s="16" t="s">
        <v>29</v>
      </c>
      <c r="D445" s="3" t="s">
        <v>75</v>
      </c>
      <c r="E445" s="9">
        <v>3000000</v>
      </c>
    </row>
    <row r="446" spans="1:5">
      <c r="A446" s="5">
        <v>46054</v>
      </c>
      <c r="B446" s="3" t="s">
        <v>82</v>
      </c>
      <c r="C446" s="16" t="s">
        <v>30</v>
      </c>
      <c r="D446" s="3" t="s">
        <v>72</v>
      </c>
      <c r="E446" s="9">
        <v>8000000</v>
      </c>
    </row>
    <row r="447" spans="1:5">
      <c r="A447" s="5">
        <v>46054</v>
      </c>
      <c r="B447" s="3" t="s">
        <v>82</v>
      </c>
      <c r="C447" s="16" t="s">
        <v>30</v>
      </c>
      <c r="D447" s="3" t="s">
        <v>73</v>
      </c>
      <c r="E447" s="9">
        <v>8000000</v>
      </c>
    </row>
    <row r="448" spans="1:5">
      <c r="A448" s="5">
        <v>46054</v>
      </c>
      <c r="B448" s="3" t="s">
        <v>82</v>
      </c>
      <c r="C448" s="16" t="s">
        <v>30</v>
      </c>
      <c r="D448" s="3" t="s">
        <v>74</v>
      </c>
      <c r="E448" s="9">
        <v>8000000</v>
      </c>
    </row>
    <row r="449" spans="1:5">
      <c r="A449" s="5">
        <v>46054</v>
      </c>
      <c r="B449" s="3" t="s">
        <v>82</v>
      </c>
      <c r="C449" s="16" t="s">
        <v>30</v>
      </c>
      <c r="D449" s="3" t="s">
        <v>75</v>
      </c>
      <c r="E449" s="9">
        <v>8000000</v>
      </c>
    </row>
    <row r="450" spans="1:5">
      <c r="A450" s="5">
        <v>46082</v>
      </c>
      <c r="B450" s="3" t="s">
        <v>71</v>
      </c>
      <c r="C450" s="16" t="s">
        <v>23</v>
      </c>
      <c r="D450" s="3" t="s">
        <v>72</v>
      </c>
      <c r="E450" s="9">
        <v>8000000</v>
      </c>
    </row>
    <row r="451" spans="1:5">
      <c r="A451" s="5">
        <v>46082</v>
      </c>
      <c r="B451" s="3" t="s">
        <v>71</v>
      </c>
      <c r="C451" s="16" t="s">
        <v>23</v>
      </c>
      <c r="D451" s="3" t="s">
        <v>73</v>
      </c>
      <c r="E451" s="9">
        <v>8000000</v>
      </c>
    </row>
    <row r="452" spans="1:5">
      <c r="A452" s="5">
        <v>46082</v>
      </c>
      <c r="B452" s="3" t="s">
        <v>71</v>
      </c>
      <c r="C452" s="16" t="s">
        <v>23</v>
      </c>
      <c r="D452" s="3" t="s">
        <v>74</v>
      </c>
      <c r="E452" s="9">
        <v>8000000</v>
      </c>
    </row>
    <row r="453" spans="1:5">
      <c r="A453" s="5">
        <v>46082</v>
      </c>
      <c r="B453" s="3" t="s">
        <v>71</v>
      </c>
      <c r="C453" s="16" t="s">
        <v>23</v>
      </c>
      <c r="D453" s="3" t="s">
        <v>75</v>
      </c>
      <c r="E453" s="9">
        <v>8000000</v>
      </c>
    </row>
    <row r="454" spans="1:5">
      <c r="A454" s="5">
        <v>46082</v>
      </c>
      <c r="B454" s="3" t="s">
        <v>76</v>
      </c>
      <c r="C454" s="16" t="s">
        <v>24</v>
      </c>
      <c r="D454" s="3" t="s">
        <v>72</v>
      </c>
      <c r="E454" s="9">
        <v>30000000</v>
      </c>
    </row>
    <row r="455" spans="1:5">
      <c r="A455" s="5">
        <v>46082</v>
      </c>
      <c r="B455" s="3" t="s">
        <v>76</v>
      </c>
      <c r="C455" s="16" t="s">
        <v>24</v>
      </c>
      <c r="D455" s="3" t="s">
        <v>73</v>
      </c>
      <c r="E455" s="9">
        <v>30000000</v>
      </c>
    </row>
    <row r="456" spans="1:5">
      <c r="A456" s="5">
        <v>46082</v>
      </c>
      <c r="B456" s="3" t="s">
        <v>76</v>
      </c>
      <c r="C456" s="16" t="s">
        <v>24</v>
      </c>
      <c r="D456" s="3" t="s">
        <v>74</v>
      </c>
      <c r="E456" s="9">
        <v>30000000</v>
      </c>
    </row>
    <row r="457" spans="1:5">
      <c r="A457" s="5">
        <v>46082</v>
      </c>
      <c r="B457" s="3" t="s">
        <v>76</v>
      </c>
      <c r="C457" s="16" t="s">
        <v>24</v>
      </c>
      <c r="D457" s="3" t="s">
        <v>75</v>
      </c>
      <c r="E457" s="9">
        <v>30000000</v>
      </c>
    </row>
    <row r="458" spans="1:5">
      <c r="A458" s="5">
        <v>46082</v>
      </c>
      <c r="B458" s="3" t="s">
        <v>77</v>
      </c>
      <c r="C458" s="3" t="s">
        <v>25</v>
      </c>
      <c r="D458" s="3" t="s">
        <v>72</v>
      </c>
      <c r="E458" s="9">
        <v>20000000</v>
      </c>
    </row>
    <row r="459" spans="1:5">
      <c r="A459" s="5">
        <v>46082</v>
      </c>
      <c r="B459" s="3" t="s">
        <v>77</v>
      </c>
      <c r="C459" s="3" t="s">
        <v>25</v>
      </c>
      <c r="D459" s="3" t="s">
        <v>73</v>
      </c>
      <c r="E459" s="9">
        <v>20000000</v>
      </c>
    </row>
    <row r="460" spans="1:5">
      <c r="A460" s="5">
        <v>46082</v>
      </c>
      <c r="B460" s="3" t="s">
        <v>77</v>
      </c>
      <c r="C460" s="3" t="s">
        <v>25</v>
      </c>
      <c r="D460" s="3" t="s">
        <v>74</v>
      </c>
      <c r="E460" s="9">
        <v>20000000</v>
      </c>
    </row>
    <row r="461" spans="1:5">
      <c r="A461" s="5">
        <v>46082</v>
      </c>
      <c r="B461" s="3" t="s">
        <v>77</v>
      </c>
      <c r="C461" s="3" t="s">
        <v>25</v>
      </c>
      <c r="D461" s="3" t="s">
        <v>75</v>
      </c>
      <c r="E461" s="9">
        <v>20000000</v>
      </c>
    </row>
    <row r="462" spans="1:5">
      <c r="A462" s="5">
        <v>46082</v>
      </c>
      <c r="B462" s="3" t="s">
        <v>78</v>
      </c>
      <c r="C462" s="3" t="s">
        <v>26</v>
      </c>
      <c r="D462" s="3" t="s">
        <v>72</v>
      </c>
      <c r="E462" s="9">
        <v>8000000</v>
      </c>
    </row>
    <row r="463" spans="1:5">
      <c r="A463" s="5">
        <v>46082</v>
      </c>
      <c r="B463" s="3" t="s">
        <v>78</v>
      </c>
      <c r="C463" s="3" t="s">
        <v>26</v>
      </c>
      <c r="D463" s="3" t="s">
        <v>73</v>
      </c>
      <c r="E463" s="9">
        <v>8000000</v>
      </c>
    </row>
    <row r="464" spans="1:5">
      <c r="A464" s="5">
        <v>46082</v>
      </c>
      <c r="B464" s="3" t="s">
        <v>78</v>
      </c>
      <c r="C464" s="3" t="s">
        <v>26</v>
      </c>
      <c r="D464" s="3" t="s">
        <v>74</v>
      </c>
      <c r="E464" s="9">
        <v>8000000</v>
      </c>
    </row>
    <row r="465" spans="1:5">
      <c r="A465" s="5">
        <v>46082</v>
      </c>
      <c r="B465" s="3" t="s">
        <v>78</v>
      </c>
      <c r="C465" s="3" t="s">
        <v>26</v>
      </c>
      <c r="D465" s="3" t="s">
        <v>75</v>
      </c>
      <c r="E465" s="9">
        <v>8000000</v>
      </c>
    </row>
    <row r="466" spans="1:5">
      <c r="A466" s="5">
        <v>46082</v>
      </c>
      <c r="B466" s="3" t="s">
        <v>79</v>
      </c>
      <c r="C466" s="16" t="s">
        <v>27</v>
      </c>
      <c r="D466" s="3" t="s">
        <v>72</v>
      </c>
      <c r="E466" s="9">
        <v>12000000</v>
      </c>
    </row>
    <row r="467" spans="1:5">
      <c r="A467" s="5">
        <v>46082</v>
      </c>
      <c r="B467" s="3" t="s">
        <v>79</v>
      </c>
      <c r="C467" s="16" t="s">
        <v>27</v>
      </c>
      <c r="D467" s="3" t="s">
        <v>73</v>
      </c>
      <c r="E467" s="9">
        <v>12000000</v>
      </c>
    </row>
    <row r="468" spans="1:5">
      <c r="A468" s="5">
        <v>46082</v>
      </c>
      <c r="B468" s="3" t="s">
        <v>79</v>
      </c>
      <c r="C468" s="16" t="s">
        <v>27</v>
      </c>
      <c r="D468" s="3" t="s">
        <v>74</v>
      </c>
      <c r="E468" s="9">
        <v>12000000</v>
      </c>
    </row>
    <row r="469" spans="1:5">
      <c r="A469" s="5">
        <v>46082</v>
      </c>
      <c r="B469" s="3" t="s">
        <v>79</v>
      </c>
      <c r="C469" s="16" t="s">
        <v>27</v>
      </c>
      <c r="D469" s="3" t="s">
        <v>75</v>
      </c>
      <c r="E469" s="9">
        <v>12000000</v>
      </c>
    </row>
    <row r="470" spans="1:5">
      <c r="A470" s="5">
        <v>46082</v>
      </c>
      <c r="B470" s="3" t="s">
        <v>80</v>
      </c>
      <c r="C470" s="16" t="s">
        <v>28</v>
      </c>
      <c r="D470" s="3" t="s">
        <v>72</v>
      </c>
      <c r="E470" s="9">
        <v>10000000</v>
      </c>
    </row>
    <row r="471" spans="1:5">
      <c r="A471" s="5">
        <v>46082</v>
      </c>
      <c r="B471" s="3" t="s">
        <v>80</v>
      </c>
      <c r="C471" s="16" t="s">
        <v>28</v>
      </c>
      <c r="D471" s="3" t="s">
        <v>73</v>
      </c>
      <c r="E471" s="9">
        <v>10000000</v>
      </c>
    </row>
    <row r="472" spans="1:5">
      <c r="A472" s="5">
        <v>46082</v>
      </c>
      <c r="B472" s="3" t="s">
        <v>80</v>
      </c>
      <c r="C472" s="16" t="s">
        <v>28</v>
      </c>
      <c r="D472" s="3" t="s">
        <v>74</v>
      </c>
      <c r="E472" s="9">
        <v>10000000</v>
      </c>
    </row>
    <row r="473" spans="1:5">
      <c r="A473" s="5">
        <v>46082</v>
      </c>
      <c r="B473" s="3" t="s">
        <v>80</v>
      </c>
      <c r="C473" s="16" t="s">
        <v>28</v>
      </c>
      <c r="D473" s="3" t="s">
        <v>75</v>
      </c>
      <c r="E473" s="9">
        <v>10000000</v>
      </c>
    </row>
    <row r="474" spans="1:5">
      <c r="A474" s="5">
        <v>46082</v>
      </c>
      <c r="B474" s="3" t="s">
        <v>81</v>
      </c>
      <c r="C474" s="16" t="s">
        <v>29</v>
      </c>
      <c r="D474" s="3" t="s">
        <v>72</v>
      </c>
      <c r="E474" s="9">
        <v>3000000</v>
      </c>
    </row>
    <row r="475" spans="1:5">
      <c r="A475" s="5">
        <v>46082</v>
      </c>
      <c r="B475" s="3" t="s">
        <v>81</v>
      </c>
      <c r="C475" s="16" t="s">
        <v>29</v>
      </c>
      <c r="D475" s="3" t="s">
        <v>73</v>
      </c>
      <c r="E475" s="9">
        <v>3000000</v>
      </c>
    </row>
    <row r="476" spans="1:5">
      <c r="A476" s="5">
        <v>46082</v>
      </c>
      <c r="B476" s="3" t="s">
        <v>81</v>
      </c>
      <c r="C476" s="16" t="s">
        <v>29</v>
      </c>
      <c r="D476" s="3" t="s">
        <v>74</v>
      </c>
      <c r="E476" s="9">
        <v>3000000</v>
      </c>
    </row>
    <row r="477" spans="1:5">
      <c r="A477" s="5">
        <v>46082</v>
      </c>
      <c r="B477" s="3" t="s">
        <v>81</v>
      </c>
      <c r="C477" s="16" t="s">
        <v>29</v>
      </c>
      <c r="D477" s="3" t="s">
        <v>75</v>
      </c>
      <c r="E477" s="9">
        <v>3000000</v>
      </c>
    </row>
    <row r="478" spans="1:5">
      <c r="A478" s="5">
        <v>46082</v>
      </c>
      <c r="B478" s="3" t="s">
        <v>82</v>
      </c>
      <c r="C478" s="16" t="s">
        <v>30</v>
      </c>
      <c r="D478" s="3" t="s">
        <v>72</v>
      </c>
      <c r="E478" s="9">
        <v>8000000</v>
      </c>
    </row>
    <row r="479" spans="1:5">
      <c r="A479" s="5">
        <v>46082</v>
      </c>
      <c r="B479" s="3" t="s">
        <v>82</v>
      </c>
      <c r="C479" s="16" t="s">
        <v>30</v>
      </c>
      <c r="D479" s="3" t="s">
        <v>73</v>
      </c>
      <c r="E479" s="9">
        <v>8000000</v>
      </c>
    </row>
    <row r="480" spans="1:5">
      <c r="A480" s="5">
        <v>46082</v>
      </c>
      <c r="B480" s="3" t="s">
        <v>82</v>
      </c>
      <c r="C480" s="16" t="s">
        <v>30</v>
      </c>
      <c r="D480" s="3" t="s">
        <v>74</v>
      </c>
      <c r="E480" s="9">
        <v>8000000</v>
      </c>
    </row>
    <row r="481" spans="1:5">
      <c r="A481" s="5">
        <v>46082</v>
      </c>
      <c r="B481" s="3" t="s">
        <v>82</v>
      </c>
      <c r="C481" s="16" t="s">
        <v>30</v>
      </c>
      <c r="D481" s="3" t="s">
        <v>75</v>
      </c>
      <c r="E481" s="9">
        <v>8000000</v>
      </c>
    </row>
    <row r="482" spans="1:5">
      <c r="A482" s="5">
        <v>46113</v>
      </c>
      <c r="B482" s="3" t="s">
        <v>71</v>
      </c>
      <c r="C482" s="16" t="s">
        <v>23</v>
      </c>
      <c r="D482" s="3" t="s">
        <v>72</v>
      </c>
      <c r="E482" s="9">
        <v>8000000</v>
      </c>
    </row>
    <row r="483" spans="1:5">
      <c r="A483" s="5">
        <v>46113</v>
      </c>
      <c r="B483" s="3" t="s">
        <v>71</v>
      </c>
      <c r="C483" s="16" t="s">
        <v>23</v>
      </c>
      <c r="D483" s="3" t="s">
        <v>73</v>
      </c>
      <c r="E483" s="9">
        <v>8000000</v>
      </c>
    </row>
    <row r="484" spans="1:5">
      <c r="A484" s="5">
        <v>46113</v>
      </c>
      <c r="B484" s="3" t="s">
        <v>71</v>
      </c>
      <c r="C484" s="16" t="s">
        <v>23</v>
      </c>
      <c r="D484" s="3" t="s">
        <v>74</v>
      </c>
      <c r="E484" s="9">
        <v>8000000</v>
      </c>
    </row>
    <row r="485" spans="1:5">
      <c r="A485" s="5">
        <v>46113</v>
      </c>
      <c r="B485" s="3" t="s">
        <v>71</v>
      </c>
      <c r="C485" s="16" t="s">
        <v>23</v>
      </c>
      <c r="D485" s="3" t="s">
        <v>75</v>
      </c>
      <c r="E485" s="9">
        <v>8000000</v>
      </c>
    </row>
    <row r="486" spans="1:5">
      <c r="A486" s="5">
        <v>46113</v>
      </c>
      <c r="B486" s="3" t="s">
        <v>76</v>
      </c>
      <c r="C486" s="16" t="s">
        <v>24</v>
      </c>
      <c r="D486" s="3" t="s">
        <v>72</v>
      </c>
      <c r="E486" s="9">
        <v>30000000</v>
      </c>
    </row>
    <row r="487" spans="1:5">
      <c r="A487" s="5">
        <v>46113</v>
      </c>
      <c r="B487" s="3" t="s">
        <v>76</v>
      </c>
      <c r="C487" s="16" t="s">
        <v>24</v>
      </c>
      <c r="D487" s="3" t="s">
        <v>73</v>
      </c>
      <c r="E487" s="9">
        <v>30000000</v>
      </c>
    </row>
    <row r="488" spans="1:5">
      <c r="A488" s="5">
        <v>46113</v>
      </c>
      <c r="B488" s="3" t="s">
        <v>76</v>
      </c>
      <c r="C488" s="16" t="s">
        <v>24</v>
      </c>
      <c r="D488" s="3" t="s">
        <v>74</v>
      </c>
      <c r="E488" s="9">
        <v>30000000</v>
      </c>
    </row>
    <row r="489" spans="1:5">
      <c r="A489" s="5">
        <v>46113</v>
      </c>
      <c r="B489" s="3" t="s">
        <v>76</v>
      </c>
      <c r="C489" s="16" t="s">
        <v>24</v>
      </c>
      <c r="D489" s="3" t="s">
        <v>75</v>
      </c>
      <c r="E489" s="9">
        <v>30000000</v>
      </c>
    </row>
    <row r="490" spans="1:5">
      <c r="A490" s="5">
        <v>46113</v>
      </c>
      <c r="B490" s="3" t="s">
        <v>77</v>
      </c>
      <c r="C490" s="3" t="s">
        <v>25</v>
      </c>
      <c r="D490" s="3" t="s">
        <v>72</v>
      </c>
      <c r="E490" s="9">
        <v>20000000</v>
      </c>
    </row>
    <row r="491" spans="1:5">
      <c r="A491" s="5">
        <v>46113</v>
      </c>
      <c r="B491" s="3" t="s">
        <v>77</v>
      </c>
      <c r="C491" s="3" t="s">
        <v>25</v>
      </c>
      <c r="D491" s="3" t="s">
        <v>73</v>
      </c>
      <c r="E491" s="9">
        <v>20000000</v>
      </c>
    </row>
    <row r="492" spans="1:5">
      <c r="A492" s="5">
        <v>46113</v>
      </c>
      <c r="B492" s="3" t="s">
        <v>77</v>
      </c>
      <c r="C492" s="3" t="s">
        <v>25</v>
      </c>
      <c r="D492" s="3" t="s">
        <v>74</v>
      </c>
      <c r="E492" s="9">
        <v>20000000</v>
      </c>
    </row>
    <row r="493" spans="1:5">
      <c r="A493" s="5">
        <v>46113</v>
      </c>
      <c r="B493" s="3" t="s">
        <v>77</v>
      </c>
      <c r="C493" s="3" t="s">
        <v>25</v>
      </c>
      <c r="D493" s="3" t="s">
        <v>75</v>
      </c>
      <c r="E493" s="9">
        <v>20000000</v>
      </c>
    </row>
    <row r="494" spans="1:5">
      <c r="A494" s="5">
        <v>46113</v>
      </c>
      <c r="B494" s="3" t="s">
        <v>78</v>
      </c>
      <c r="C494" s="3" t="s">
        <v>26</v>
      </c>
      <c r="D494" s="3" t="s">
        <v>72</v>
      </c>
      <c r="E494" s="9">
        <v>8000000</v>
      </c>
    </row>
    <row r="495" spans="1:5">
      <c r="A495" s="5">
        <v>46113</v>
      </c>
      <c r="B495" s="3" t="s">
        <v>78</v>
      </c>
      <c r="C495" s="3" t="s">
        <v>26</v>
      </c>
      <c r="D495" s="3" t="s">
        <v>73</v>
      </c>
      <c r="E495" s="9">
        <v>8000000</v>
      </c>
    </row>
    <row r="496" spans="1:5">
      <c r="A496" s="5">
        <v>46113</v>
      </c>
      <c r="B496" s="3" t="s">
        <v>78</v>
      </c>
      <c r="C496" s="3" t="s">
        <v>26</v>
      </c>
      <c r="D496" s="3" t="s">
        <v>74</v>
      </c>
      <c r="E496" s="9">
        <v>8000000</v>
      </c>
    </row>
    <row r="497" spans="1:5">
      <c r="A497" s="5">
        <v>46113</v>
      </c>
      <c r="B497" s="3" t="s">
        <v>78</v>
      </c>
      <c r="C497" s="3" t="s">
        <v>26</v>
      </c>
      <c r="D497" s="3" t="s">
        <v>75</v>
      </c>
      <c r="E497" s="9">
        <v>8000000</v>
      </c>
    </row>
    <row r="498" spans="1:5">
      <c r="A498" s="5">
        <v>46113</v>
      </c>
      <c r="B498" s="3" t="s">
        <v>79</v>
      </c>
      <c r="C498" s="16" t="s">
        <v>27</v>
      </c>
      <c r="D498" s="3" t="s">
        <v>72</v>
      </c>
      <c r="E498" s="9">
        <v>12000000</v>
      </c>
    </row>
    <row r="499" spans="1:5">
      <c r="A499" s="5">
        <v>46113</v>
      </c>
      <c r="B499" s="3" t="s">
        <v>79</v>
      </c>
      <c r="C499" s="16" t="s">
        <v>27</v>
      </c>
      <c r="D499" s="3" t="s">
        <v>73</v>
      </c>
      <c r="E499" s="9">
        <v>12000000</v>
      </c>
    </row>
    <row r="500" spans="1:5">
      <c r="A500" s="5">
        <v>46113</v>
      </c>
      <c r="B500" s="3" t="s">
        <v>79</v>
      </c>
      <c r="C500" s="16" t="s">
        <v>27</v>
      </c>
      <c r="D500" s="3" t="s">
        <v>74</v>
      </c>
      <c r="E500" s="9">
        <v>12000000</v>
      </c>
    </row>
    <row r="501" spans="1:5">
      <c r="A501" s="5">
        <v>46113</v>
      </c>
      <c r="B501" s="3" t="s">
        <v>79</v>
      </c>
      <c r="C501" s="16" t="s">
        <v>27</v>
      </c>
      <c r="D501" s="3" t="s">
        <v>75</v>
      </c>
      <c r="E501" s="9">
        <v>12000000</v>
      </c>
    </row>
    <row r="502" spans="1:5">
      <c r="A502" s="5">
        <v>46113</v>
      </c>
      <c r="B502" s="3" t="s">
        <v>80</v>
      </c>
      <c r="C502" s="16" t="s">
        <v>28</v>
      </c>
      <c r="D502" s="3" t="s">
        <v>72</v>
      </c>
      <c r="E502" s="9">
        <v>10000000</v>
      </c>
    </row>
    <row r="503" spans="1:5">
      <c r="A503" s="5">
        <v>46113</v>
      </c>
      <c r="B503" s="3" t="s">
        <v>80</v>
      </c>
      <c r="C503" s="16" t="s">
        <v>28</v>
      </c>
      <c r="D503" s="3" t="s">
        <v>73</v>
      </c>
      <c r="E503" s="9">
        <v>10000000</v>
      </c>
    </row>
    <row r="504" spans="1:5">
      <c r="A504" s="5">
        <v>46113</v>
      </c>
      <c r="B504" s="3" t="s">
        <v>80</v>
      </c>
      <c r="C504" s="16" t="s">
        <v>28</v>
      </c>
      <c r="D504" s="3" t="s">
        <v>74</v>
      </c>
      <c r="E504" s="9">
        <v>10000000</v>
      </c>
    </row>
    <row r="505" spans="1:5">
      <c r="A505" s="5">
        <v>46113</v>
      </c>
      <c r="B505" s="3" t="s">
        <v>80</v>
      </c>
      <c r="C505" s="16" t="s">
        <v>28</v>
      </c>
      <c r="D505" s="3" t="s">
        <v>75</v>
      </c>
      <c r="E505" s="9">
        <v>10000000</v>
      </c>
    </row>
    <row r="506" spans="1:5">
      <c r="A506" s="5">
        <v>46113</v>
      </c>
      <c r="B506" s="3" t="s">
        <v>81</v>
      </c>
      <c r="C506" s="16" t="s">
        <v>29</v>
      </c>
      <c r="D506" s="3" t="s">
        <v>72</v>
      </c>
      <c r="E506" s="9">
        <v>3000000</v>
      </c>
    </row>
    <row r="507" spans="1:5">
      <c r="A507" s="5">
        <v>46113</v>
      </c>
      <c r="B507" s="3" t="s">
        <v>81</v>
      </c>
      <c r="C507" s="16" t="s">
        <v>29</v>
      </c>
      <c r="D507" s="3" t="s">
        <v>73</v>
      </c>
      <c r="E507" s="9">
        <v>3000000</v>
      </c>
    </row>
    <row r="508" spans="1:5">
      <c r="A508" s="5">
        <v>46113</v>
      </c>
      <c r="B508" s="3" t="s">
        <v>81</v>
      </c>
      <c r="C508" s="16" t="s">
        <v>29</v>
      </c>
      <c r="D508" s="3" t="s">
        <v>74</v>
      </c>
      <c r="E508" s="9">
        <v>3000000</v>
      </c>
    </row>
    <row r="509" spans="1:5">
      <c r="A509" s="5">
        <v>46113</v>
      </c>
      <c r="B509" s="3" t="s">
        <v>81</v>
      </c>
      <c r="C509" s="16" t="s">
        <v>29</v>
      </c>
      <c r="D509" s="3" t="s">
        <v>75</v>
      </c>
      <c r="E509" s="9">
        <v>3000000</v>
      </c>
    </row>
    <row r="510" spans="1:5">
      <c r="A510" s="5">
        <v>46113</v>
      </c>
      <c r="B510" s="3" t="s">
        <v>82</v>
      </c>
      <c r="C510" s="16" t="s">
        <v>30</v>
      </c>
      <c r="D510" s="3" t="s">
        <v>72</v>
      </c>
      <c r="E510" s="9">
        <v>8000000</v>
      </c>
    </row>
    <row r="511" spans="1:5">
      <c r="A511" s="5">
        <v>46113</v>
      </c>
      <c r="B511" s="3" t="s">
        <v>82</v>
      </c>
      <c r="C511" s="16" t="s">
        <v>30</v>
      </c>
      <c r="D511" s="3" t="s">
        <v>73</v>
      </c>
      <c r="E511" s="9">
        <v>8000000</v>
      </c>
    </row>
    <row r="512" spans="1:5">
      <c r="A512" s="5">
        <v>46113</v>
      </c>
      <c r="B512" s="3" t="s">
        <v>82</v>
      </c>
      <c r="C512" s="16" t="s">
        <v>30</v>
      </c>
      <c r="D512" s="3" t="s">
        <v>74</v>
      </c>
      <c r="E512" s="9">
        <v>8000000</v>
      </c>
    </row>
    <row r="513" spans="1:5">
      <c r="A513" s="5">
        <v>46113</v>
      </c>
      <c r="B513" s="3" t="s">
        <v>82</v>
      </c>
      <c r="C513" s="16" t="s">
        <v>30</v>
      </c>
      <c r="D513" s="3" t="s">
        <v>75</v>
      </c>
      <c r="E513" s="9">
        <v>8000000</v>
      </c>
    </row>
    <row r="514" spans="1:5">
      <c r="A514" s="5">
        <v>46143</v>
      </c>
      <c r="B514" s="3" t="s">
        <v>71</v>
      </c>
      <c r="C514" s="16" t="s">
        <v>23</v>
      </c>
      <c r="D514" s="3" t="s">
        <v>72</v>
      </c>
      <c r="E514" s="9">
        <v>8000000</v>
      </c>
    </row>
    <row r="515" spans="1:5">
      <c r="A515" s="5">
        <v>46143</v>
      </c>
      <c r="B515" s="3" t="s">
        <v>71</v>
      </c>
      <c r="C515" s="16" t="s">
        <v>23</v>
      </c>
      <c r="D515" s="3" t="s">
        <v>73</v>
      </c>
      <c r="E515" s="9">
        <v>8000000</v>
      </c>
    </row>
    <row r="516" spans="1:5">
      <c r="A516" s="5">
        <v>46143</v>
      </c>
      <c r="B516" s="3" t="s">
        <v>71</v>
      </c>
      <c r="C516" s="16" t="s">
        <v>23</v>
      </c>
      <c r="D516" s="3" t="s">
        <v>74</v>
      </c>
      <c r="E516" s="9">
        <v>8000000</v>
      </c>
    </row>
    <row r="517" spans="1:5">
      <c r="A517" s="5">
        <v>46143</v>
      </c>
      <c r="B517" s="3" t="s">
        <v>71</v>
      </c>
      <c r="C517" s="16" t="s">
        <v>23</v>
      </c>
      <c r="D517" s="3" t="s">
        <v>75</v>
      </c>
      <c r="E517" s="9">
        <v>8000000</v>
      </c>
    </row>
    <row r="518" spans="1:5">
      <c r="A518" s="5">
        <v>46143</v>
      </c>
      <c r="B518" s="3" t="s">
        <v>76</v>
      </c>
      <c r="C518" s="16" t="s">
        <v>24</v>
      </c>
      <c r="D518" s="3" t="s">
        <v>72</v>
      </c>
      <c r="E518" s="9">
        <v>30000000</v>
      </c>
    </row>
    <row r="519" spans="1:5">
      <c r="A519" s="5">
        <v>46143</v>
      </c>
      <c r="B519" s="3" t="s">
        <v>76</v>
      </c>
      <c r="C519" s="16" t="s">
        <v>24</v>
      </c>
      <c r="D519" s="3" t="s">
        <v>73</v>
      </c>
      <c r="E519" s="9">
        <v>30000000</v>
      </c>
    </row>
    <row r="520" spans="1:5">
      <c r="A520" s="5">
        <v>46143</v>
      </c>
      <c r="B520" s="3" t="s">
        <v>76</v>
      </c>
      <c r="C520" s="16" t="s">
        <v>24</v>
      </c>
      <c r="D520" s="3" t="s">
        <v>74</v>
      </c>
      <c r="E520" s="9">
        <v>30000000</v>
      </c>
    </row>
    <row r="521" spans="1:5">
      <c r="A521" s="5">
        <v>46143</v>
      </c>
      <c r="B521" s="3" t="s">
        <v>76</v>
      </c>
      <c r="C521" s="16" t="s">
        <v>24</v>
      </c>
      <c r="D521" s="3" t="s">
        <v>75</v>
      </c>
      <c r="E521" s="9">
        <v>30000000</v>
      </c>
    </row>
    <row r="522" spans="1:5">
      <c r="A522" s="5">
        <v>46143</v>
      </c>
      <c r="B522" s="3" t="s">
        <v>77</v>
      </c>
      <c r="C522" s="3" t="s">
        <v>25</v>
      </c>
      <c r="D522" s="3" t="s">
        <v>72</v>
      </c>
      <c r="E522" s="9">
        <v>20000000</v>
      </c>
    </row>
    <row r="523" spans="1:5">
      <c r="A523" s="5">
        <v>46143</v>
      </c>
      <c r="B523" s="3" t="s">
        <v>77</v>
      </c>
      <c r="C523" s="3" t="s">
        <v>25</v>
      </c>
      <c r="D523" s="3" t="s">
        <v>73</v>
      </c>
      <c r="E523" s="9">
        <v>20000000</v>
      </c>
    </row>
    <row r="524" spans="1:5">
      <c r="A524" s="5">
        <v>46143</v>
      </c>
      <c r="B524" s="3" t="s">
        <v>77</v>
      </c>
      <c r="C524" s="3" t="s">
        <v>25</v>
      </c>
      <c r="D524" s="3" t="s">
        <v>74</v>
      </c>
      <c r="E524" s="9">
        <v>20000000</v>
      </c>
    </row>
    <row r="525" spans="1:5">
      <c r="A525" s="5">
        <v>46143</v>
      </c>
      <c r="B525" s="3" t="s">
        <v>77</v>
      </c>
      <c r="C525" s="3" t="s">
        <v>25</v>
      </c>
      <c r="D525" s="3" t="s">
        <v>75</v>
      </c>
      <c r="E525" s="9">
        <v>20000000</v>
      </c>
    </row>
    <row r="526" spans="1:5">
      <c r="A526" s="5">
        <v>46143</v>
      </c>
      <c r="B526" s="3" t="s">
        <v>78</v>
      </c>
      <c r="C526" s="3" t="s">
        <v>26</v>
      </c>
      <c r="D526" s="3" t="s">
        <v>72</v>
      </c>
      <c r="E526" s="9">
        <v>8000000</v>
      </c>
    </row>
    <row r="527" spans="1:5">
      <c r="A527" s="5">
        <v>46143</v>
      </c>
      <c r="B527" s="3" t="s">
        <v>78</v>
      </c>
      <c r="C527" s="3" t="s">
        <v>26</v>
      </c>
      <c r="D527" s="3" t="s">
        <v>73</v>
      </c>
      <c r="E527" s="9">
        <v>8000000</v>
      </c>
    </row>
    <row r="528" spans="1:5">
      <c r="A528" s="5">
        <v>46143</v>
      </c>
      <c r="B528" s="3" t="s">
        <v>78</v>
      </c>
      <c r="C528" s="3" t="s">
        <v>26</v>
      </c>
      <c r="D528" s="3" t="s">
        <v>74</v>
      </c>
      <c r="E528" s="9">
        <v>8000000</v>
      </c>
    </row>
    <row r="529" spans="1:5">
      <c r="A529" s="5">
        <v>46143</v>
      </c>
      <c r="B529" s="3" t="s">
        <v>78</v>
      </c>
      <c r="C529" s="3" t="s">
        <v>26</v>
      </c>
      <c r="D529" s="3" t="s">
        <v>75</v>
      </c>
      <c r="E529" s="9">
        <v>8000000</v>
      </c>
    </row>
    <row r="530" spans="1:5">
      <c r="A530" s="5">
        <v>46143</v>
      </c>
      <c r="B530" s="3" t="s">
        <v>79</v>
      </c>
      <c r="C530" s="16" t="s">
        <v>27</v>
      </c>
      <c r="D530" s="3" t="s">
        <v>72</v>
      </c>
      <c r="E530" s="9">
        <v>12000000</v>
      </c>
    </row>
    <row r="531" spans="1:5">
      <c r="A531" s="5">
        <v>46143</v>
      </c>
      <c r="B531" s="3" t="s">
        <v>79</v>
      </c>
      <c r="C531" s="16" t="s">
        <v>27</v>
      </c>
      <c r="D531" s="3" t="s">
        <v>73</v>
      </c>
      <c r="E531" s="9">
        <v>12000000</v>
      </c>
    </row>
    <row r="532" spans="1:5">
      <c r="A532" s="5">
        <v>46143</v>
      </c>
      <c r="B532" s="3" t="s">
        <v>79</v>
      </c>
      <c r="C532" s="16" t="s">
        <v>27</v>
      </c>
      <c r="D532" s="3" t="s">
        <v>74</v>
      </c>
      <c r="E532" s="9">
        <v>12000000</v>
      </c>
    </row>
    <row r="533" spans="1:5">
      <c r="A533" s="5">
        <v>46143</v>
      </c>
      <c r="B533" s="3" t="s">
        <v>79</v>
      </c>
      <c r="C533" s="16" t="s">
        <v>27</v>
      </c>
      <c r="D533" s="3" t="s">
        <v>75</v>
      </c>
      <c r="E533" s="9">
        <v>12000000</v>
      </c>
    </row>
    <row r="534" spans="1:5">
      <c r="A534" s="5">
        <v>46143</v>
      </c>
      <c r="B534" s="3" t="s">
        <v>80</v>
      </c>
      <c r="C534" s="16" t="s">
        <v>28</v>
      </c>
      <c r="D534" s="3" t="s">
        <v>72</v>
      </c>
      <c r="E534" s="9">
        <v>10000000</v>
      </c>
    </row>
    <row r="535" spans="1:5">
      <c r="A535" s="5">
        <v>46143</v>
      </c>
      <c r="B535" s="3" t="s">
        <v>80</v>
      </c>
      <c r="C535" s="16" t="s">
        <v>28</v>
      </c>
      <c r="D535" s="3" t="s">
        <v>73</v>
      </c>
      <c r="E535" s="9">
        <v>10000000</v>
      </c>
    </row>
    <row r="536" spans="1:5">
      <c r="A536" s="5">
        <v>46143</v>
      </c>
      <c r="B536" s="3" t="s">
        <v>80</v>
      </c>
      <c r="C536" s="16" t="s">
        <v>28</v>
      </c>
      <c r="D536" s="3" t="s">
        <v>74</v>
      </c>
      <c r="E536" s="9">
        <v>10000000</v>
      </c>
    </row>
    <row r="537" spans="1:5">
      <c r="A537" s="5">
        <v>46143</v>
      </c>
      <c r="B537" s="3" t="s">
        <v>80</v>
      </c>
      <c r="C537" s="16" t="s">
        <v>28</v>
      </c>
      <c r="D537" s="3" t="s">
        <v>75</v>
      </c>
      <c r="E537" s="9">
        <v>10000000</v>
      </c>
    </row>
    <row r="538" spans="1:5">
      <c r="A538" s="5">
        <v>46143</v>
      </c>
      <c r="B538" s="3" t="s">
        <v>81</v>
      </c>
      <c r="C538" s="16" t="s">
        <v>29</v>
      </c>
      <c r="D538" s="3" t="s">
        <v>72</v>
      </c>
      <c r="E538" s="9">
        <v>3000000</v>
      </c>
    </row>
    <row r="539" spans="1:5">
      <c r="A539" s="5">
        <v>46143</v>
      </c>
      <c r="B539" s="3" t="s">
        <v>81</v>
      </c>
      <c r="C539" s="16" t="s">
        <v>29</v>
      </c>
      <c r="D539" s="3" t="s">
        <v>73</v>
      </c>
      <c r="E539" s="9">
        <v>3000000</v>
      </c>
    </row>
    <row r="540" spans="1:5">
      <c r="A540" s="5">
        <v>46143</v>
      </c>
      <c r="B540" s="3" t="s">
        <v>81</v>
      </c>
      <c r="C540" s="16" t="s">
        <v>29</v>
      </c>
      <c r="D540" s="3" t="s">
        <v>74</v>
      </c>
      <c r="E540" s="9">
        <v>3000000</v>
      </c>
    </row>
    <row r="541" spans="1:5">
      <c r="A541" s="5">
        <v>46143</v>
      </c>
      <c r="B541" s="3" t="s">
        <v>81</v>
      </c>
      <c r="C541" s="16" t="s">
        <v>29</v>
      </c>
      <c r="D541" s="3" t="s">
        <v>75</v>
      </c>
      <c r="E541" s="9">
        <v>3000000</v>
      </c>
    </row>
    <row r="542" spans="1:5">
      <c r="A542" s="5">
        <v>46143</v>
      </c>
      <c r="B542" s="3" t="s">
        <v>82</v>
      </c>
      <c r="C542" s="16" t="s">
        <v>30</v>
      </c>
      <c r="D542" s="3" t="s">
        <v>72</v>
      </c>
      <c r="E542" s="9">
        <v>8000000</v>
      </c>
    </row>
    <row r="543" spans="1:5">
      <c r="A543" s="5">
        <v>46143</v>
      </c>
      <c r="B543" s="3" t="s">
        <v>82</v>
      </c>
      <c r="C543" s="16" t="s">
        <v>30</v>
      </c>
      <c r="D543" s="3" t="s">
        <v>73</v>
      </c>
      <c r="E543" s="9">
        <v>8000000</v>
      </c>
    </row>
    <row r="544" spans="1:5">
      <c r="A544" s="5">
        <v>46143</v>
      </c>
      <c r="B544" s="3" t="s">
        <v>82</v>
      </c>
      <c r="C544" s="16" t="s">
        <v>30</v>
      </c>
      <c r="D544" s="3" t="s">
        <v>74</v>
      </c>
      <c r="E544" s="9">
        <v>8000000</v>
      </c>
    </row>
    <row r="545" spans="1:5">
      <c r="A545" s="5">
        <v>46143</v>
      </c>
      <c r="B545" s="3" t="s">
        <v>82</v>
      </c>
      <c r="C545" s="16" t="s">
        <v>30</v>
      </c>
      <c r="D545" s="3" t="s">
        <v>75</v>
      </c>
      <c r="E545" s="9">
        <v>8000000</v>
      </c>
    </row>
    <row r="546" spans="1:5">
      <c r="A546" s="5">
        <v>46174</v>
      </c>
      <c r="B546" s="3" t="s">
        <v>71</v>
      </c>
      <c r="C546" s="16" t="s">
        <v>23</v>
      </c>
      <c r="D546" s="3" t="s">
        <v>72</v>
      </c>
      <c r="E546" s="9">
        <v>8000000</v>
      </c>
    </row>
    <row r="547" spans="1:5">
      <c r="A547" s="5">
        <v>46174</v>
      </c>
      <c r="B547" s="3" t="s">
        <v>71</v>
      </c>
      <c r="C547" s="16" t="s">
        <v>23</v>
      </c>
      <c r="D547" s="3" t="s">
        <v>73</v>
      </c>
      <c r="E547" s="9">
        <v>8000000</v>
      </c>
    </row>
    <row r="548" spans="1:5">
      <c r="A548" s="5">
        <v>46174</v>
      </c>
      <c r="B548" s="3" t="s">
        <v>71</v>
      </c>
      <c r="C548" s="16" t="s">
        <v>23</v>
      </c>
      <c r="D548" s="3" t="s">
        <v>74</v>
      </c>
      <c r="E548" s="9">
        <v>8000000</v>
      </c>
    </row>
    <row r="549" spans="1:5">
      <c r="A549" s="5">
        <v>46174</v>
      </c>
      <c r="B549" s="3" t="s">
        <v>71</v>
      </c>
      <c r="C549" s="16" t="s">
        <v>23</v>
      </c>
      <c r="D549" s="3" t="s">
        <v>75</v>
      </c>
      <c r="E549" s="9">
        <v>8000000</v>
      </c>
    </row>
    <row r="550" spans="1:5">
      <c r="A550" s="5">
        <v>46174</v>
      </c>
      <c r="B550" s="3" t="s">
        <v>76</v>
      </c>
      <c r="C550" s="16" t="s">
        <v>24</v>
      </c>
      <c r="D550" s="3" t="s">
        <v>72</v>
      </c>
      <c r="E550" s="9">
        <v>30000000</v>
      </c>
    </row>
    <row r="551" spans="1:5">
      <c r="A551" s="5">
        <v>46174</v>
      </c>
      <c r="B551" s="3" t="s">
        <v>76</v>
      </c>
      <c r="C551" s="16" t="s">
        <v>24</v>
      </c>
      <c r="D551" s="3" t="s">
        <v>73</v>
      </c>
      <c r="E551" s="9">
        <v>30000000</v>
      </c>
    </row>
    <row r="552" spans="1:5">
      <c r="A552" s="5">
        <v>46174</v>
      </c>
      <c r="B552" s="3" t="s">
        <v>76</v>
      </c>
      <c r="C552" s="16" t="s">
        <v>24</v>
      </c>
      <c r="D552" s="3" t="s">
        <v>74</v>
      </c>
      <c r="E552" s="9">
        <v>30000000</v>
      </c>
    </row>
    <row r="553" spans="1:5">
      <c r="A553" s="5">
        <v>46174</v>
      </c>
      <c r="B553" s="3" t="s">
        <v>76</v>
      </c>
      <c r="C553" s="16" t="s">
        <v>24</v>
      </c>
      <c r="D553" s="3" t="s">
        <v>75</v>
      </c>
      <c r="E553" s="9">
        <v>30000000</v>
      </c>
    </row>
    <row r="554" spans="1:5">
      <c r="A554" s="5">
        <v>46174</v>
      </c>
      <c r="B554" s="3" t="s">
        <v>77</v>
      </c>
      <c r="C554" s="3" t="s">
        <v>25</v>
      </c>
      <c r="D554" s="3" t="s">
        <v>72</v>
      </c>
      <c r="E554" s="9">
        <v>20000000</v>
      </c>
    </row>
    <row r="555" spans="1:5">
      <c r="A555" s="5">
        <v>46174</v>
      </c>
      <c r="B555" s="3" t="s">
        <v>77</v>
      </c>
      <c r="C555" s="3" t="s">
        <v>25</v>
      </c>
      <c r="D555" s="3" t="s">
        <v>73</v>
      </c>
      <c r="E555" s="9">
        <v>20000000</v>
      </c>
    </row>
    <row r="556" spans="1:5">
      <c r="A556" s="5">
        <v>46174</v>
      </c>
      <c r="B556" s="3" t="s">
        <v>77</v>
      </c>
      <c r="C556" s="3" t="s">
        <v>25</v>
      </c>
      <c r="D556" s="3" t="s">
        <v>74</v>
      </c>
      <c r="E556" s="9">
        <v>20000000</v>
      </c>
    </row>
    <row r="557" spans="1:5">
      <c r="A557" s="5">
        <v>46174</v>
      </c>
      <c r="B557" s="3" t="s">
        <v>77</v>
      </c>
      <c r="C557" s="3" t="s">
        <v>25</v>
      </c>
      <c r="D557" s="3" t="s">
        <v>75</v>
      </c>
      <c r="E557" s="9">
        <v>20000000</v>
      </c>
    </row>
    <row r="558" spans="1:5">
      <c r="A558" s="5">
        <v>46174</v>
      </c>
      <c r="B558" s="3" t="s">
        <v>78</v>
      </c>
      <c r="C558" s="3" t="s">
        <v>26</v>
      </c>
      <c r="D558" s="3" t="s">
        <v>72</v>
      </c>
      <c r="E558" s="9">
        <v>8000000</v>
      </c>
    </row>
    <row r="559" spans="1:5">
      <c r="A559" s="5">
        <v>46174</v>
      </c>
      <c r="B559" s="3" t="s">
        <v>78</v>
      </c>
      <c r="C559" s="3" t="s">
        <v>26</v>
      </c>
      <c r="D559" s="3" t="s">
        <v>73</v>
      </c>
      <c r="E559" s="9">
        <v>8000000</v>
      </c>
    </row>
    <row r="560" spans="1:5">
      <c r="A560" s="5">
        <v>46174</v>
      </c>
      <c r="B560" s="3" t="s">
        <v>78</v>
      </c>
      <c r="C560" s="3" t="s">
        <v>26</v>
      </c>
      <c r="D560" s="3" t="s">
        <v>74</v>
      </c>
      <c r="E560" s="9">
        <v>8000000</v>
      </c>
    </row>
    <row r="561" spans="1:5">
      <c r="A561" s="5">
        <v>46174</v>
      </c>
      <c r="B561" s="3" t="s">
        <v>78</v>
      </c>
      <c r="C561" s="3" t="s">
        <v>26</v>
      </c>
      <c r="D561" s="3" t="s">
        <v>75</v>
      </c>
      <c r="E561" s="9">
        <v>8000000</v>
      </c>
    </row>
    <row r="562" spans="1:5">
      <c r="A562" s="5">
        <v>46174</v>
      </c>
      <c r="B562" s="3" t="s">
        <v>79</v>
      </c>
      <c r="C562" s="16" t="s">
        <v>27</v>
      </c>
      <c r="D562" s="3" t="s">
        <v>72</v>
      </c>
      <c r="E562" s="9">
        <v>12000000</v>
      </c>
    </row>
    <row r="563" spans="1:5">
      <c r="A563" s="5">
        <v>46174</v>
      </c>
      <c r="B563" s="3" t="s">
        <v>79</v>
      </c>
      <c r="C563" s="16" t="s">
        <v>27</v>
      </c>
      <c r="D563" s="3" t="s">
        <v>73</v>
      </c>
      <c r="E563" s="9">
        <v>12000000</v>
      </c>
    </row>
    <row r="564" spans="1:5">
      <c r="A564" s="5">
        <v>46174</v>
      </c>
      <c r="B564" s="3" t="s">
        <v>79</v>
      </c>
      <c r="C564" s="16" t="s">
        <v>27</v>
      </c>
      <c r="D564" s="3" t="s">
        <v>74</v>
      </c>
      <c r="E564" s="9">
        <v>12000000</v>
      </c>
    </row>
    <row r="565" spans="1:5">
      <c r="A565" s="5">
        <v>46174</v>
      </c>
      <c r="B565" s="3" t="s">
        <v>79</v>
      </c>
      <c r="C565" s="16" t="s">
        <v>27</v>
      </c>
      <c r="D565" s="3" t="s">
        <v>75</v>
      </c>
      <c r="E565" s="9">
        <v>12000000</v>
      </c>
    </row>
    <row r="566" spans="1:5">
      <c r="A566" s="5">
        <v>46174</v>
      </c>
      <c r="B566" s="3" t="s">
        <v>80</v>
      </c>
      <c r="C566" s="16" t="s">
        <v>28</v>
      </c>
      <c r="D566" s="3" t="s">
        <v>72</v>
      </c>
      <c r="E566" s="9">
        <v>10000000</v>
      </c>
    </row>
    <row r="567" spans="1:5">
      <c r="A567" s="5">
        <v>46174</v>
      </c>
      <c r="B567" s="3" t="s">
        <v>80</v>
      </c>
      <c r="C567" s="16" t="s">
        <v>28</v>
      </c>
      <c r="D567" s="3" t="s">
        <v>73</v>
      </c>
      <c r="E567" s="9">
        <v>10000000</v>
      </c>
    </row>
    <row r="568" spans="1:5">
      <c r="A568" s="5">
        <v>46174</v>
      </c>
      <c r="B568" s="3" t="s">
        <v>80</v>
      </c>
      <c r="C568" s="16" t="s">
        <v>28</v>
      </c>
      <c r="D568" s="3" t="s">
        <v>74</v>
      </c>
      <c r="E568" s="9">
        <v>10000000</v>
      </c>
    </row>
    <row r="569" spans="1:5">
      <c r="A569" s="5">
        <v>46174</v>
      </c>
      <c r="B569" s="3" t="s">
        <v>80</v>
      </c>
      <c r="C569" s="16" t="s">
        <v>28</v>
      </c>
      <c r="D569" s="3" t="s">
        <v>75</v>
      </c>
      <c r="E569" s="9">
        <v>10000000</v>
      </c>
    </row>
    <row r="570" spans="1:5">
      <c r="A570" s="5">
        <v>46174</v>
      </c>
      <c r="B570" s="3" t="s">
        <v>81</v>
      </c>
      <c r="C570" s="16" t="s">
        <v>29</v>
      </c>
      <c r="D570" s="3" t="s">
        <v>72</v>
      </c>
      <c r="E570" s="9">
        <v>3000000</v>
      </c>
    </row>
    <row r="571" spans="1:5">
      <c r="A571" s="5">
        <v>46174</v>
      </c>
      <c r="B571" s="3" t="s">
        <v>81</v>
      </c>
      <c r="C571" s="16" t="s">
        <v>29</v>
      </c>
      <c r="D571" s="3" t="s">
        <v>73</v>
      </c>
      <c r="E571" s="9">
        <v>3000000</v>
      </c>
    </row>
    <row r="572" spans="1:5">
      <c r="A572" s="5">
        <v>46174</v>
      </c>
      <c r="B572" s="3" t="s">
        <v>81</v>
      </c>
      <c r="C572" s="16" t="s">
        <v>29</v>
      </c>
      <c r="D572" s="3" t="s">
        <v>74</v>
      </c>
      <c r="E572" s="9">
        <v>3000000</v>
      </c>
    </row>
    <row r="573" spans="1:5">
      <c r="A573" s="5">
        <v>46174</v>
      </c>
      <c r="B573" s="3" t="s">
        <v>81</v>
      </c>
      <c r="C573" s="16" t="s">
        <v>29</v>
      </c>
      <c r="D573" s="3" t="s">
        <v>75</v>
      </c>
      <c r="E573" s="9">
        <v>3000000</v>
      </c>
    </row>
    <row r="574" spans="1:5">
      <c r="A574" s="5">
        <v>46174</v>
      </c>
      <c r="B574" s="3" t="s">
        <v>82</v>
      </c>
      <c r="C574" s="16" t="s">
        <v>30</v>
      </c>
      <c r="D574" s="3" t="s">
        <v>72</v>
      </c>
      <c r="E574" s="9">
        <v>8000000</v>
      </c>
    </row>
    <row r="575" spans="1:5">
      <c r="A575" s="5">
        <v>46174</v>
      </c>
      <c r="B575" s="3" t="s">
        <v>82</v>
      </c>
      <c r="C575" s="16" t="s">
        <v>30</v>
      </c>
      <c r="D575" s="3" t="s">
        <v>73</v>
      </c>
      <c r="E575" s="9">
        <v>8000000</v>
      </c>
    </row>
    <row r="576" spans="1:5">
      <c r="A576" s="5">
        <v>46174</v>
      </c>
      <c r="B576" s="3" t="s">
        <v>82</v>
      </c>
      <c r="C576" s="16" t="s">
        <v>30</v>
      </c>
      <c r="D576" s="3" t="s">
        <v>74</v>
      </c>
      <c r="E576" s="9">
        <v>8000000</v>
      </c>
    </row>
    <row r="577" spans="1:5">
      <c r="A577" s="5">
        <v>46174</v>
      </c>
      <c r="B577" s="3" t="s">
        <v>82</v>
      </c>
      <c r="C577" s="16" t="s">
        <v>30</v>
      </c>
      <c r="D577" s="3" t="s">
        <v>75</v>
      </c>
      <c r="E577" s="9">
        <v>8000000</v>
      </c>
    </row>
    <row r="579" spans="1:5">
      <c r="A579" s="6" t="s">
        <v>83</v>
      </c>
      <c r="B579" s="9">
        <f>SUM(E2:E577)</f>
        <v>7128000000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8"/>
  <sheetViews>
    <sheetView workbookViewId="0"/>
  </sheetViews>
  <sheetFormatPr defaultRowHeight="15"/>
  <cols>
    <col min="1" max="2" width="21.42578125" style="3" customWidth="1"/>
    <col min="3" max="3" width="21.42578125" style="11" customWidth="1"/>
    <col min="4" max="4" width="24.140625" style="9" bestFit="1" customWidth="1"/>
  </cols>
  <sheetData>
    <row r="1" spans="1:4">
      <c r="A1" s="6" t="s">
        <v>41</v>
      </c>
      <c r="B1" s="6" t="s">
        <v>67</v>
      </c>
      <c r="C1" s="10" t="s">
        <v>84</v>
      </c>
      <c r="D1" s="8" t="s">
        <v>85</v>
      </c>
    </row>
    <row r="2" spans="1:4">
      <c r="A2" s="5">
        <v>45658</v>
      </c>
      <c r="B2" s="3" t="s">
        <v>71</v>
      </c>
      <c r="C2" s="11">
        <v>700</v>
      </c>
      <c r="D2" s="9">
        <v>70000</v>
      </c>
    </row>
    <row r="3" spans="1:4">
      <c r="A3" s="5">
        <v>45658</v>
      </c>
      <c r="B3" s="3" t="s">
        <v>76</v>
      </c>
      <c r="C3" s="11">
        <v>450</v>
      </c>
      <c r="D3" s="9">
        <v>75000</v>
      </c>
    </row>
    <row r="4" spans="1:4">
      <c r="A4" s="5">
        <v>45658</v>
      </c>
      <c r="B4" s="3" t="s">
        <v>77</v>
      </c>
      <c r="C4" s="11">
        <v>1100</v>
      </c>
      <c r="D4" s="9">
        <v>95000</v>
      </c>
    </row>
    <row r="5" spans="1:4">
      <c r="A5" s="5">
        <v>45658</v>
      </c>
      <c r="B5" s="3" t="s">
        <v>78</v>
      </c>
      <c r="C5" s="11">
        <v>400</v>
      </c>
      <c r="D5" s="9">
        <v>85000</v>
      </c>
    </row>
    <row r="6" spans="1:4">
      <c r="A6" s="5">
        <v>45658</v>
      </c>
      <c r="B6" s="3" t="s">
        <v>79</v>
      </c>
      <c r="C6" s="11">
        <v>350</v>
      </c>
      <c r="D6" s="9">
        <v>90000</v>
      </c>
    </row>
    <row r="7" spans="1:4">
      <c r="A7" s="5">
        <v>45658</v>
      </c>
      <c r="B7" s="3" t="s">
        <v>80</v>
      </c>
      <c r="C7" s="11">
        <v>700</v>
      </c>
      <c r="D7" s="9">
        <v>65000</v>
      </c>
    </row>
    <row r="8" spans="1:4">
      <c r="A8" s="5">
        <v>45658</v>
      </c>
      <c r="B8" s="3" t="s">
        <v>81</v>
      </c>
      <c r="C8" s="11">
        <v>150</v>
      </c>
      <c r="D8" s="9">
        <v>70000</v>
      </c>
    </row>
    <row r="9" spans="1:4">
      <c r="A9" s="5">
        <v>45658</v>
      </c>
      <c r="B9" s="3" t="s">
        <v>82</v>
      </c>
      <c r="C9" s="11">
        <v>200</v>
      </c>
      <c r="D9" s="9">
        <v>55000</v>
      </c>
    </row>
    <row r="10" spans="1:4">
      <c r="A10" s="5">
        <v>45689</v>
      </c>
      <c r="B10" s="3" t="s">
        <v>71</v>
      </c>
      <c r="C10" s="11">
        <v>700</v>
      </c>
      <c r="D10" s="9">
        <v>70000</v>
      </c>
    </row>
    <row r="11" spans="1:4">
      <c r="A11" s="5">
        <v>45689</v>
      </c>
      <c r="B11" s="3" t="s">
        <v>76</v>
      </c>
      <c r="C11" s="11">
        <v>450</v>
      </c>
      <c r="D11" s="9">
        <v>75000</v>
      </c>
    </row>
    <row r="12" spans="1:4">
      <c r="A12" s="5">
        <v>45689</v>
      </c>
      <c r="B12" s="3" t="s">
        <v>77</v>
      </c>
      <c r="C12" s="11">
        <v>1100</v>
      </c>
      <c r="D12" s="9">
        <v>95000</v>
      </c>
    </row>
    <row r="13" spans="1:4">
      <c r="A13" s="5">
        <v>45689</v>
      </c>
      <c r="B13" s="3" t="s">
        <v>78</v>
      </c>
      <c r="C13" s="11">
        <v>400</v>
      </c>
      <c r="D13" s="9">
        <v>85000</v>
      </c>
    </row>
    <row r="14" spans="1:4">
      <c r="A14" s="5">
        <v>45689</v>
      </c>
      <c r="B14" s="3" t="s">
        <v>79</v>
      </c>
      <c r="C14" s="11">
        <v>350</v>
      </c>
      <c r="D14" s="9">
        <v>90000</v>
      </c>
    </row>
    <row r="15" spans="1:4">
      <c r="A15" s="5">
        <v>45689</v>
      </c>
      <c r="B15" s="3" t="s">
        <v>80</v>
      </c>
      <c r="C15" s="11">
        <v>700</v>
      </c>
      <c r="D15" s="9">
        <v>65000</v>
      </c>
    </row>
    <row r="16" spans="1:4">
      <c r="A16" s="5">
        <v>45689</v>
      </c>
      <c r="B16" s="3" t="s">
        <v>81</v>
      </c>
      <c r="C16" s="11">
        <v>150</v>
      </c>
      <c r="D16" s="9">
        <v>70000</v>
      </c>
    </row>
    <row r="17" spans="1:4">
      <c r="A17" s="5">
        <v>45689</v>
      </c>
      <c r="B17" s="3" t="s">
        <v>82</v>
      </c>
      <c r="C17" s="11">
        <v>200</v>
      </c>
      <c r="D17" s="9">
        <v>55000</v>
      </c>
    </row>
    <row r="18" spans="1:4">
      <c r="A18" s="5">
        <v>45717</v>
      </c>
      <c r="B18" s="3" t="s">
        <v>71</v>
      </c>
      <c r="C18" s="11">
        <v>700</v>
      </c>
      <c r="D18" s="9">
        <v>70000</v>
      </c>
    </row>
    <row r="19" spans="1:4">
      <c r="A19" s="5">
        <v>45717</v>
      </c>
      <c r="B19" s="3" t="s">
        <v>76</v>
      </c>
      <c r="C19" s="11">
        <v>450</v>
      </c>
      <c r="D19" s="9">
        <v>75000</v>
      </c>
    </row>
    <row r="20" spans="1:4">
      <c r="A20" s="5">
        <v>45717</v>
      </c>
      <c r="B20" s="3" t="s">
        <v>77</v>
      </c>
      <c r="C20" s="11">
        <v>1100</v>
      </c>
      <c r="D20" s="9">
        <v>95000</v>
      </c>
    </row>
    <row r="21" spans="1:4">
      <c r="A21" s="5">
        <v>45717</v>
      </c>
      <c r="B21" s="3" t="s">
        <v>78</v>
      </c>
      <c r="C21" s="11">
        <v>400</v>
      </c>
      <c r="D21" s="9">
        <v>85000</v>
      </c>
    </row>
    <row r="22" spans="1:4">
      <c r="A22" s="5">
        <v>45717</v>
      </c>
      <c r="B22" s="3" t="s">
        <v>79</v>
      </c>
      <c r="C22" s="11">
        <v>350</v>
      </c>
      <c r="D22" s="9">
        <v>90000</v>
      </c>
    </row>
    <row r="23" spans="1:4">
      <c r="A23" s="5">
        <v>45717</v>
      </c>
      <c r="B23" s="3" t="s">
        <v>80</v>
      </c>
      <c r="C23" s="11">
        <v>700</v>
      </c>
      <c r="D23" s="9">
        <v>65000</v>
      </c>
    </row>
    <row r="24" spans="1:4">
      <c r="A24" s="5">
        <v>45717</v>
      </c>
      <c r="B24" s="3" t="s">
        <v>81</v>
      </c>
      <c r="C24" s="11">
        <v>150</v>
      </c>
      <c r="D24" s="9">
        <v>70000</v>
      </c>
    </row>
    <row r="25" spans="1:4">
      <c r="A25" s="5">
        <v>45717</v>
      </c>
      <c r="B25" s="3" t="s">
        <v>82</v>
      </c>
      <c r="C25" s="11">
        <v>200</v>
      </c>
      <c r="D25" s="9">
        <v>55000</v>
      </c>
    </row>
    <row r="26" spans="1:4">
      <c r="A26" s="5">
        <v>45748</v>
      </c>
      <c r="B26" s="3" t="s">
        <v>71</v>
      </c>
      <c r="C26" s="11">
        <v>700</v>
      </c>
      <c r="D26" s="9">
        <v>70000</v>
      </c>
    </row>
    <row r="27" spans="1:4">
      <c r="A27" s="5">
        <v>45748</v>
      </c>
      <c r="B27" s="3" t="s">
        <v>76</v>
      </c>
      <c r="C27" s="11">
        <v>450</v>
      </c>
      <c r="D27" s="9">
        <v>75000</v>
      </c>
    </row>
    <row r="28" spans="1:4">
      <c r="A28" s="5">
        <v>45748</v>
      </c>
      <c r="B28" s="3" t="s">
        <v>77</v>
      </c>
      <c r="C28" s="11">
        <v>1100</v>
      </c>
      <c r="D28" s="9">
        <v>95000</v>
      </c>
    </row>
    <row r="29" spans="1:4">
      <c r="A29" s="5">
        <v>45748</v>
      </c>
      <c r="B29" s="3" t="s">
        <v>78</v>
      </c>
      <c r="C29" s="11">
        <v>400</v>
      </c>
      <c r="D29" s="9">
        <v>85000</v>
      </c>
    </row>
    <row r="30" spans="1:4">
      <c r="A30" s="5">
        <v>45748</v>
      </c>
      <c r="B30" s="3" t="s">
        <v>79</v>
      </c>
      <c r="C30" s="11">
        <v>350</v>
      </c>
      <c r="D30" s="9">
        <v>90000</v>
      </c>
    </row>
    <row r="31" spans="1:4">
      <c r="A31" s="5">
        <v>45748</v>
      </c>
      <c r="B31" s="3" t="s">
        <v>80</v>
      </c>
      <c r="C31" s="11">
        <v>700</v>
      </c>
      <c r="D31" s="9">
        <v>65000</v>
      </c>
    </row>
    <row r="32" spans="1:4">
      <c r="A32" s="5">
        <v>45748</v>
      </c>
      <c r="B32" s="3" t="s">
        <v>81</v>
      </c>
      <c r="C32" s="11">
        <v>150</v>
      </c>
      <c r="D32" s="9">
        <v>70000</v>
      </c>
    </row>
    <row r="33" spans="1:4">
      <c r="A33" s="5">
        <v>45748</v>
      </c>
      <c r="B33" s="3" t="s">
        <v>82</v>
      </c>
      <c r="C33" s="11">
        <v>200</v>
      </c>
      <c r="D33" s="9">
        <v>55000</v>
      </c>
    </row>
    <row r="34" spans="1:4">
      <c r="A34" s="5">
        <v>45778</v>
      </c>
      <c r="B34" s="3" t="s">
        <v>71</v>
      </c>
      <c r="C34" s="11">
        <v>700</v>
      </c>
      <c r="D34" s="9">
        <v>70000</v>
      </c>
    </row>
    <row r="35" spans="1:4">
      <c r="A35" s="5">
        <v>45778</v>
      </c>
      <c r="B35" s="3" t="s">
        <v>76</v>
      </c>
      <c r="C35" s="11">
        <v>450</v>
      </c>
      <c r="D35" s="9">
        <v>75000</v>
      </c>
    </row>
    <row r="36" spans="1:4">
      <c r="A36" s="5">
        <v>45778</v>
      </c>
      <c r="B36" s="3" t="s">
        <v>77</v>
      </c>
      <c r="C36" s="11">
        <v>1100</v>
      </c>
      <c r="D36" s="9">
        <v>95000</v>
      </c>
    </row>
    <row r="37" spans="1:4">
      <c r="A37" s="5">
        <v>45778</v>
      </c>
      <c r="B37" s="3" t="s">
        <v>78</v>
      </c>
      <c r="C37" s="11">
        <v>400</v>
      </c>
      <c r="D37" s="9">
        <v>85000</v>
      </c>
    </row>
    <row r="38" spans="1:4">
      <c r="A38" s="5">
        <v>45778</v>
      </c>
      <c r="B38" s="3" t="s">
        <v>79</v>
      </c>
      <c r="C38" s="11">
        <v>350</v>
      </c>
      <c r="D38" s="9">
        <v>90000</v>
      </c>
    </row>
    <row r="39" spans="1:4">
      <c r="A39" s="5">
        <v>45778</v>
      </c>
      <c r="B39" s="3" t="s">
        <v>80</v>
      </c>
      <c r="C39" s="11">
        <v>700</v>
      </c>
      <c r="D39" s="9">
        <v>65000</v>
      </c>
    </row>
    <row r="40" spans="1:4">
      <c r="A40" s="5">
        <v>45778</v>
      </c>
      <c r="B40" s="3" t="s">
        <v>81</v>
      </c>
      <c r="C40" s="11">
        <v>150</v>
      </c>
      <c r="D40" s="9">
        <v>70000</v>
      </c>
    </row>
    <row r="41" spans="1:4">
      <c r="A41" s="5">
        <v>45778</v>
      </c>
      <c r="B41" s="3" t="s">
        <v>82</v>
      </c>
      <c r="C41" s="11">
        <v>200</v>
      </c>
      <c r="D41" s="9">
        <v>55000</v>
      </c>
    </row>
    <row r="42" spans="1:4">
      <c r="A42" s="5">
        <v>45809</v>
      </c>
      <c r="B42" s="3" t="s">
        <v>71</v>
      </c>
      <c r="C42" s="11">
        <v>700</v>
      </c>
      <c r="D42" s="9">
        <v>70000</v>
      </c>
    </row>
    <row r="43" spans="1:4">
      <c r="A43" s="5">
        <v>45809</v>
      </c>
      <c r="B43" s="3" t="s">
        <v>76</v>
      </c>
      <c r="C43" s="11">
        <v>450</v>
      </c>
      <c r="D43" s="9">
        <v>75000</v>
      </c>
    </row>
    <row r="44" spans="1:4">
      <c r="A44" s="5">
        <v>45809</v>
      </c>
      <c r="B44" s="3" t="s">
        <v>77</v>
      </c>
      <c r="C44" s="11">
        <v>1100</v>
      </c>
      <c r="D44" s="9">
        <v>95000</v>
      </c>
    </row>
    <row r="45" spans="1:4">
      <c r="A45" s="5">
        <v>45809</v>
      </c>
      <c r="B45" s="3" t="s">
        <v>78</v>
      </c>
      <c r="C45" s="11">
        <v>400</v>
      </c>
      <c r="D45" s="9">
        <v>85000</v>
      </c>
    </row>
    <row r="46" spans="1:4">
      <c r="A46" s="5">
        <v>45809</v>
      </c>
      <c r="B46" s="3" t="s">
        <v>79</v>
      </c>
      <c r="C46" s="11">
        <v>350</v>
      </c>
      <c r="D46" s="9">
        <v>90000</v>
      </c>
    </row>
    <row r="47" spans="1:4">
      <c r="A47" s="5">
        <v>45809</v>
      </c>
      <c r="B47" s="3" t="s">
        <v>80</v>
      </c>
      <c r="C47" s="11">
        <v>700</v>
      </c>
      <c r="D47" s="9">
        <v>65000</v>
      </c>
    </row>
    <row r="48" spans="1:4">
      <c r="A48" s="5">
        <v>45809</v>
      </c>
      <c r="B48" s="3" t="s">
        <v>81</v>
      </c>
      <c r="C48" s="11">
        <v>150</v>
      </c>
      <c r="D48" s="9">
        <v>70000</v>
      </c>
    </row>
    <row r="49" spans="1:4">
      <c r="A49" s="5">
        <v>45809</v>
      </c>
      <c r="B49" s="3" t="s">
        <v>82</v>
      </c>
      <c r="C49" s="11">
        <v>200</v>
      </c>
      <c r="D49" s="9">
        <v>55000</v>
      </c>
    </row>
    <row r="50" spans="1:4">
      <c r="A50" s="5">
        <v>45839</v>
      </c>
      <c r="B50" s="3" t="s">
        <v>71</v>
      </c>
      <c r="C50" s="11">
        <v>700</v>
      </c>
      <c r="D50" s="9">
        <v>70000</v>
      </c>
    </row>
    <row r="51" spans="1:4">
      <c r="A51" s="5">
        <v>45839</v>
      </c>
      <c r="B51" s="3" t="s">
        <v>76</v>
      </c>
      <c r="C51" s="11">
        <v>450</v>
      </c>
      <c r="D51" s="9">
        <v>75000</v>
      </c>
    </row>
    <row r="52" spans="1:4">
      <c r="A52" s="5">
        <v>45839</v>
      </c>
      <c r="B52" s="3" t="s">
        <v>77</v>
      </c>
      <c r="C52" s="11">
        <v>1100</v>
      </c>
      <c r="D52" s="9">
        <v>95000</v>
      </c>
    </row>
    <row r="53" spans="1:4">
      <c r="A53" s="5">
        <v>45839</v>
      </c>
      <c r="B53" s="3" t="s">
        <v>78</v>
      </c>
      <c r="C53" s="11">
        <v>400</v>
      </c>
      <c r="D53" s="9">
        <v>85000</v>
      </c>
    </row>
    <row r="54" spans="1:4">
      <c r="A54" s="5">
        <v>45839</v>
      </c>
      <c r="B54" s="3" t="s">
        <v>79</v>
      </c>
      <c r="C54" s="11">
        <v>350</v>
      </c>
      <c r="D54" s="9">
        <v>90000</v>
      </c>
    </row>
    <row r="55" spans="1:4">
      <c r="A55" s="5">
        <v>45839</v>
      </c>
      <c r="B55" s="3" t="s">
        <v>80</v>
      </c>
      <c r="C55" s="11">
        <v>700</v>
      </c>
      <c r="D55" s="9">
        <v>65000</v>
      </c>
    </row>
    <row r="56" spans="1:4">
      <c r="A56" s="5">
        <v>45839</v>
      </c>
      <c r="B56" s="3" t="s">
        <v>81</v>
      </c>
      <c r="C56" s="11">
        <v>150</v>
      </c>
      <c r="D56" s="9">
        <v>70000</v>
      </c>
    </row>
    <row r="57" spans="1:4">
      <c r="A57" s="5">
        <v>45839</v>
      </c>
      <c r="B57" s="3" t="s">
        <v>82</v>
      </c>
      <c r="C57" s="11">
        <v>200</v>
      </c>
      <c r="D57" s="9">
        <v>55000</v>
      </c>
    </row>
    <row r="58" spans="1:4">
      <c r="A58" s="5">
        <v>45870</v>
      </c>
      <c r="B58" s="3" t="s">
        <v>71</v>
      </c>
      <c r="C58" s="11">
        <v>700</v>
      </c>
      <c r="D58" s="9">
        <v>70000</v>
      </c>
    </row>
    <row r="59" spans="1:4">
      <c r="A59" s="5">
        <v>45870</v>
      </c>
      <c r="B59" s="3" t="s">
        <v>76</v>
      </c>
      <c r="C59" s="11">
        <v>450</v>
      </c>
      <c r="D59" s="9">
        <v>75000</v>
      </c>
    </row>
    <row r="60" spans="1:4">
      <c r="A60" s="5">
        <v>45870</v>
      </c>
      <c r="B60" s="3" t="s">
        <v>77</v>
      </c>
      <c r="C60" s="11">
        <v>1100</v>
      </c>
      <c r="D60" s="9">
        <v>95000</v>
      </c>
    </row>
    <row r="61" spans="1:4">
      <c r="A61" s="5">
        <v>45870</v>
      </c>
      <c r="B61" s="3" t="s">
        <v>78</v>
      </c>
      <c r="C61" s="11">
        <v>400</v>
      </c>
      <c r="D61" s="9">
        <v>85000</v>
      </c>
    </row>
    <row r="62" spans="1:4">
      <c r="A62" s="5">
        <v>45870</v>
      </c>
      <c r="B62" s="3" t="s">
        <v>79</v>
      </c>
      <c r="C62" s="11">
        <v>350</v>
      </c>
      <c r="D62" s="9">
        <v>90000</v>
      </c>
    </row>
    <row r="63" spans="1:4">
      <c r="A63" s="5">
        <v>45870</v>
      </c>
      <c r="B63" s="3" t="s">
        <v>80</v>
      </c>
      <c r="C63" s="11">
        <v>700</v>
      </c>
      <c r="D63" s="9">
        <v>65000</v>
      </c>
    </row>
    <row r="64" spans="1:4">
      <c r="A64" s="5">
        <v>45870</v>
      </c>
      <c r="B64" s="3" t="s">
        <v>81</v>
      </c>
      <c r="C64" s="11">
        <v>150</v>
      </c>
      <c r="D64" s="9">
        <v>70000</v>
      </c>
    </row>
    <row r="65" spans="1:4">
      <c r="A65" s="5">
        <v>45870</v>
      </c>
      <c r="B65" s="3" t="s">
        <v>82</v>
      </c>
      <c r="C65" s="11">
        <v>200</v>
      </c>
      <c r="D65" s="9">
        <v>55000</v>
      </c>
    </row>
    <row r="66" spans="1:4">
      <c r="A66" s="5">
        <v>45901</v>
      </c>
      <c r="B66" s="3" t="s">
        <v>71</v>
      </c>
      <c r="C66" s="11">
        <v>700</v>
      </c>
      <c r="D66" s="9">
        <v>70000</v>
      </c>
    </row>
    <row r="67" spans="1:4">
      <c r="A67" s="5">
        <v>45901</v>
      </c>
      <c r="B67" s="3" t="s">
        <v>76</v>
      </c>
      <c r="C67" s="11">
        <v>450</v>
      </c>
      <c r="D67" s="9">
        <v>75000</v>
      </c>
    </row>
    <row r="68" spans="1:4">
      <c r="A68" s="5">
        <v>45901</v>
      </c>
      <c r="B68" s="3" t="s">
        <v>77</v>
      </c>
      <c r="C68" s="11">
        <v>1100</v>
      </c>
      <c r="D68" s="9">
        <v>95000</v>
      </c>
    </row>
    <row r="69" spans="1:4">
      <c r="A69" s="5">
        <v>45901</v>
      </c>
      <c r="B69" s="3" t="s">
        <v>78</v>
      </c>
      <c r="C69" s="11">
        <v>400</v>
      </c>
      <c r="D69" s="9">
        <v>85000</v>
      </c>
    </row>
    <row r="70" spans="1:4">
      <c r="A70" s="5">
        <v>45901</v>
      </c>
      <c r="B70" s="3" t="s">
        <v>79</v>
      </c>
      <c r="C70" s="11">
        <v>350</v>
      </c>
      <c r="D70" s="9">
        <v>90000</v>
      </c>
    </row>
    <row r="71" spans="1:4">
      <c r="A71" s="5">
        <v>45901</v>
      </c>
      <c r="B71" s="3" t="s">
        <v>80</v>
      </c>
      <c r="C71" s="11">
        <v>700</v>
      </c>
      <c r="D71" s="9">
        <v>65000</v>
      </c>
    </row>
    <row r="72" spans="1:4">
      <c r="A72" s="5">
        <v>45901</v>
      </c>
      <c r="B72" s="3" t="s">
        <v>81</v>
      </c>
      <c r="C72" s="11">
        <v>150</v>
      </c>
      <c r="D72" s="9">
        <v>70000</v>
      </c>
    </row>
    <row r="73" spans="1:4">
      <c r="A73" s="5">
        <v>45901</v>
      </c>
      <c r="B73" s="3" t="s">
        <v>82</v>
      </c>
      <c r="C73" s="11">
        <v>200</v>
      </c>
      <c r="D73" s="9">
        <v>55000</v>
      </c>
    </row>
    <row r="74" spans="1:4">
      <c r="A74" s="5">
        <v>45931</v>
      </c>
      <c r="B74" s="3" t="s">
        <v>71</v>
      </c>
      <c r="C74" s="11">
        <v>700</v>
      </c>
      <c r="D74" s="9">
        <v>70000</v>
      </c>
    </row>
    <row r="75" spans="1:4">
      <c r="A75" s="5">
        <v>45931</v>
      </c>
      <c r="B75" s="3" t="s">
        <v>76</v>
      </c>
      <c r="C75" s="11">
        <v>450</v>
      </c>
      <c r="D75" s="9">
        <v>75000</v>
      </c>
    </row>
    <row r="76" spans="1:4">
      <c r="A76" s="5">
        <v>45931</v>
      </c>
      <c r="B76" s="3" t="s">
        <v>77</v>
      </c>
      <c r="C76" s="11">
        <v>1100</v>
      </c>
      <c r="D76" s="9">
        <v>95000</v>
      </c>
    </row>
    <row r="77" spans="1:4">
      <c r="A77" s="5">
        <v>45931</v>
      </c>
      <c r="B77" s="3" t="s">
        <v>78</v>
      </c>
      <c r="C77" s="11">
        <v>400</v>
      </c>
      <c r="D77" s="9">
        <v>85000</v>
      </c>
    </row>
    <row r="78" spans="1:4">
      <c r="A78" s="5">
        <v>45931</v>
      </c>
      <c r="B78" s="3" t="s">
        <v>79</v>
      </c>
      <c r="C78" s="11">
        <v>350</v>
      </c>
      <c r="D78" s="9">
        <v>90000</v>
      </c>
    </row>
    <row r="79" spans="1:4">
      <c r="A79" s="5">
        <v>45931</v>
      </c>
      <c r="B79" s="3" t="s">
        <v>80</v>
      </c>
      <c r="C79" s="11">
        <v>700</v>
      </c>
      <c r="D79" s="9">
        <v>65000</v>
      </c>
    </row>
    <row r="80" spans="1:4">
      <c r="A80" s="5">
        <v>45931</v>
      </c>
      <c r="B80" s="3" t="s">
        <v>81</v>
      </c>
      <c r="C80" s="11">
        <v>150</v>
      </c>
      <c r="D80" s="9">
        <v>70000</v>
      </c>
    </row>
    <row r="81" spans="1:4">
      <c r="A81" s="5">
        <v>45931</v>
      </c>
      <c r="B81" s="3" t="s">
        <v>82</v>
      </c>
      <c r="C81" s="11">
        <v>200</v>
      </c>
      <c r="D81" s="9">
        <v>55000</v>
      </c>
    </row>
    <row r="82" spans="1:4">
      <c r="A82" s="5">
        <v>45962</v>
      </c>
      <c r="B82" s="3" t="s">
        <v>71</v>
      </c>
      <c r="C82" s="11">
        <v>700</v>
      </c>
      <c r="D82" s="9">
        <v>70000</v>
      </c>
    </row>
    <row r="83" spans="1:4">
      <c r="A83" s="5">
        <v>45962</v>
      </c>
      <c r="B83" s="3" t="s">
        <v>76</v>
      </c>
      <c r="C83" s="11">
        <v>450</v>
      </c>
      <c r="D83" s="9">
        <v>75000</v>
      </c>
    </row>
    <row r="84" spans="1:4">
      <c r="A84" s="5">
        <v>45962</v>
      </c>
      <c r="B84" s="3" t="s">
        <v>77</v>
      </c>
      <c r="C84" s="11">
        <v>1100</v>
      </c>
      <c r="D84" s="9">
        <v>95000</v>
      </c>
    </row>
    <row r="85" spans="1:4">
      <c r="A85" s="5">
        <v>45962</v>
      </c>
      <c r="B85" s="3" t="s">
        <v>78</v>
      </c>
      <c r="C85" s="11">
        <v>400</v>
      </c>
      <c r="D85" s="9">
        <v>85000</v>
      </c>
    </row>
    <row r="86" spans="1:4">
      <c r="A86" s="5">
        <v>45962</v>
      </c>
      <c r="B86" s="3" t="s">
        <v>79</v>
      </c>
      <c r="C86" s="11">
        <v>350</v>
      </c>
      <c r="D86" s="9">
        <v>90000</v>
      </c>
    </row>
    <row r="87" spans="1:4">
      <c r="A87" s="5">
        <v>45962</v>
      </c>
      <c r="B87" s="3" t="s">
        <v>80</v>
      </c>
      <c r="C87" s="11">
        <v>700</v>
      </c>
      <c r="D87" s="9">
        <v>65000</v>
      </c>
    </row>
    <row r="88" spans="1:4">
      <c r="A88" s="5">
        <v>45962</v>
      </c>
      <c r="B88" s="3" t="s">
        <v>81</v>
      </c>
      <c r="C88" s="11">
        <v>150</v>
      </c>
      <c r="D88" s="9">
        <v>70000</v>
      </c>
    </row>
    <row r="89" spans="1:4">
      <c r="A89" s="5">
        <v>45962</v>
      </c>
      <c r="B89" s="3" t="s">
        <v>82</v>
      </c>
      <c r="C89" s="11">
        <v>200</v>
      </c>
      <c r="D89" s="9">
        <v>55000</v>
      </c>
    </row>
    <row r="90" spans="1:4">
      <c r="A90" s="5">
        <v>45992</v>
      </c>
      <c r="B90" s="3" t="s">
        <v>71</v>
      </c>
      <c r="C90" s="11">
        <v>700</v>
      </c>
      <c r="D90" s="9">
        <v>70000</v>
      </c>
    </row>
    <row r="91" spans="1:4">
      <c r="A91" s="5">
        <v>45992</v>
      </c>
      <c r="B91" s="3" t="s">
        <v>76</v>
      </c>
      <c r="C91" s="11">
        <v>450</v>
      </c>
      <c r="D91" s="9">
        <v>75000</v>
      </c>
    </row>
    <row r="92" spans="1:4">
      <c r="A92" s="5">
        <v>45992</v>
      </c>
      <c r="B92" s="3" t="s">
        <v>77</v>
      </c>
      <c r="C92" s="11">
        <v>1100</v>
      </c>
      <c r="D92" s="9">
        <v>95000</v>
      </c>
    </row>
    <row r="93" spans="1:4">
      <c r="A93" s="5">
        <v>45992</v>
      </c>
      <c r="B93" s="3" t="s">
        <v>78</v>
      </c>
      <c r="C93" s="11">
        <v>400</v>
      </c>
      <c r="D93" s="9">
        <v>85000</v>
      </c>
    </row>
    <row r="94" spans="1:4">
      <c r="A94" s="5">
        <v>45992</v>
      </c>
      <c r="B94" s="3" t="s">
        <v>79</v>
      </c>
      <c r="C94" s="11">
        <v>350</v>
      </c>
      <c r="D94" s="9">
        <v>90000</v>
      </c>
    </row>
    <row r="95" spans="1:4">
      <c r="A95" s="5">
        <v>45992</v>
      </c>
      <c r="B95" s="3" t="s">
        <v>80</v>
      </c>
      <c r="C95" s="11">
        <v>700</v>
      </c>
      <c r="D95" s="9">
        <v>65000</v>
      </c>
    </row>
    <row r="96" spans="1:4">
      <c r="A96" s="5">
        <v>45992</v>
      </c>
      <c r="B96" s="3" t="s">
        <v>81</v>
      </c>
      <c r="C96" s="11">
        <v>150</v>
      </c>
      <c r="D96" s="9">
        <v>70000</v>
      </c>
    </row>
    <row r="97" spans="1:4">
      <c r="A97" s="5">
        <v>45992</v>
      </c>
      <c r="B97" s="3" t="s">
        <v>82</v>
      </c>
      <c r="C97" s="11">
        <v>200</v>
      </c>
      <c r="D97" s="9">
        <v>55000</v>
      </c>
    </row>
    <row r="98" spans="1:4">
      <c r="A98" s="5">
        <v>46023</v>
      </c>
      <c r="B98" s="3" t="s">
        <v>71</v>
      </c>
      <c r="C98" s="11">
        <v>700</v>
      </c>
      <c r="D98" s="9">
        <v>70000</v>
      </c>
    </row>
    <row r="99" spans="1:4">
      <c r="A99" s="5">
        <v>46023</v>
      </c>
      <c r="B99" s="3" t="s">
        <v>76</v>
      </c>
      <c r="C99" s="11">
        <v>450</v>
      </c>
      <c r="D99" s="9">
        <v>75000</v>
      </c>
    </row>
    <row r="100" spans="1:4">
      <c r="A100" s="5">
        <v>46023</v>
      </c>
      <c r="B100" s="3" t="s">
        <v>77</v>
      </c>
      <c r="C100" s="11">
        <v>1100</v>
      </c>
      <c r="D100" s="9">
        <v>95000</v>
      </c>
    </row>
    <row r="101" spans="1:4">
      <c r="A101" s="5">
        <v>46023</v>
      </c>
      <c r="B101" s="3" t="s">
        <v>78</v>
      </c>
      <c r="C101" s="11">
        <v>400</v>
      </c>
      <c r="D101" s="9">
        <v>85000</v>
      </c>
    </row>
    <row r="102" spans="1:4">
      <c r="A102" s="5">
        <v>46023</v>
      </c>
      <c r="B102" s="3" t="s">
        <v>79</v>
      </c>
      <c r="C102" s="11">
        <v>350</v>
      </c>
      <c r="D102" s="9">
        <v>90000</v>
      </c>
    </row>
    <row r="103" spans="1:4">
      <c r="A103" s="5">
        <v>46023</v>
      </c>
      <c r="B103" s="3" t="s">
        <v>80</v>
      </c>
      <c r="C103" s="11">
        <v>700</v>
      </c>
      <c r="D103" s="9">
        <v>65000</v>
      </c>
    </row>
    <row r="104" spans="1:4">
      <c r="A104" s="5">
        <v>46023</v>
      </c>
      <c r="B104" s="3" t="s">
        <v>81</v>
      </c>
      <c r="C104" s="11">
        <v>150</v>
      </c>
      <c r="D104" s="9">
        <v>70000</v>
      </c>
    </row>
    <row r="105" spans="1:4">
      <c r="A105" s="5">
        <v>46023</v>
      </c>
      <c r="B105" s="3" t="s">
        <v>82</v>
      </c>
      <c r="C105" s="11">
        <v>200</v>
      </c>
      <c r="D105" s="9">
        <v>55000</v>
      </c>
    </row>
    <row r="106" spans="1:4">
      <c r="A106" s="5">
        <v>46054</v>
      </c>
      <c r="B106" s="3" t="s">
        <v>71</v>
      </c>
      <c r="C106" s="11">
        <v>700</v>
      </c>
      <c r="D106" s="9">
        <v>70000</v>
      </c>
    </row>
    <row r="107" spans="1:4">
      <c r="A107" s="5">
        <v>46054</v>
      </c>
      <c r="B107" s="3" t="s">
        <v>76</v>
      </c>
      <c r="C107" s="11">
        <v>450</v>
      </c>
      <c r="D107" s="9">
        <v>75000</v>
      </c>
    </row>
    <row r="108" spans="1:4">
      <c r="A108" s="5">
        <v>46054</v>
      </c>
      <c r="B108" s="3" t="s">
        <v>77</v>
      </c>
      <c r="C108" s="11">
        <v>1100</v>
      </c>
      <c r="D108" s="9">
        <v>95000</v>
      </c>
    </row>
    <row r="109" spans="1:4">
      <c r="A109" s="5">
        <v>46054</v>
      </c>
      <c r="B109" s="3" t="s">
        <v>78</v>
      </c>
      <c r="C109" s="11">
        <v>400</v>
      </c>
      <c r="D109" s="9">
        <v>85000</v>
      </c>
    </row>
    <row r="110" spans="1:4">
      <c r="A110" s="5">
        <v>46054</v>
      </c>
      <c r="B110" s="3" t="s">
        <v>79</v>
      </c>
      <c r="C110" s="11">
        <v>350</v>
      </c>
      <c r="D110" s="9">
        <v>90000</v>
      </c>
    </row>
    <row r="111" spans="1:4">
      <c r="A111" s="5">
        <v>46054</v>
      </c>
      <c r="B111" s="3" t="s">
        <v>80</v>
      </c>
      <c r="C111" s="11">
        <v>700</v>
      </c>
      <c r="D111" s="9">
        <v>65000</v>
      </c>
    </row>
    <row r="112" spans="1:4">
      <c r="A112" s="5">
        <v>46054</v>
      </c>
      <c r="B112" s="3" t="s">
        <v>81</v>
      </c>
      <c r="C112" s="11">
        <v>150</v>
      </c>
      <c r="D112" s="9">
        <v>70000</v>
      </c>
    </row>
    <row r="113" spans="1:4">
      <c r="A113" s="5">
        <v>46054</v>
      </c>
      <c r="B113" s="3" t="s">
        <v>82</v>
      </c>
      <c r="C113" s="11">
        <v>200</v>
      </c>
      <c r="D113" s="9">
        <v>55000</v>
      </c>
    </row>
    <row r="114" spans="1:4">
      <c r="A114" s="5">
        <v>46082</v>
      </c>
      <c r="B114" s="3" t="s">
        <v>71</v>
      </c>
      <c r="C114" s="11">
        <v>700</v>
      </c>
      <c r="D114" s="9">
        <v>70000</v>
      </c>
    </row>
    <row r="115" spans="1:4">
      <c r="A115" s="5">
        <v>46082</v>
      </c>
      <c r="B115" s="3" t="s">
        <v>76</v>
      </c>
      <c r="C115" s="11">
        <v>450</v>
      </c>
      <c r="D115" s="9">
        <v>75000</v>
      </c>
    </row>
    <row r="116" spans="1:4">
      <c r="A116" s="5">
        <v>46082</v>
      </c>
      <c r="B116" s="3" t="s">
        <v>77</v>
      </c>
      <c r="C116" s="11">
        <v>1100</v>
      </c>
      <c r="D116" s="9">
        <v>95000</v>
      </c>
    </row>
    <row r="117" spans="1:4">
      <c r="A117" s="5">
        <v>46082</v>
      </c>
      <c r="B117" s="3" t="s">
        <v>78</v>
      </c>
      <c r="C117" s="11">
        <v>400</v>
      </c>
      <c r="D117" s="9">
        <v>85000</v>
      </c>
    </row>
    <row r="118" spans="1:4">
      <c r="A118" s="5">
        <v>46082</v>
      </c>
      <c r="B118" s="3" t="s">
        <v>79</v>
      </c>
      <c r="C118" s="11">
        <v>350</v>
      </c>
      <c r="D118" s="9">
        <v>90000</v>
      </c>
    </row>
    <row r="119" spans="1:4">
      <c r="A119" s="5">
        <v>46082</v>
      </c>
      <c r="B119" s="3" t="s">
        <v>80</v>
      </c>
      <c r="C119" s="11">
        <v>700</v>
      </c>
      <c r="D119" s="9">
        <v>65000</v>
      </c>
    </row>
    <row r="120" spans="1:4">
      <c r="A120" s="5">
        <v>46082</v>
      </c>
      <c r="B120" s="3" t="s">
        <v>81</v>
      </c>
      <c r="C120" s="11">
        <v>150</v>
      </c>
      <c r="D120" s="9">
        <v>70000</v>
      </c>
    </row>
    <row r="121" spans="1:4">
      <c r="A121" s="5">
        <v>46082</v>
      </c>
      <c r="B121" s="3" t="s">
        <v>82</v>
      </c>
      <c r="C121" s="11">
        <v>200</v>
      </c>
      <c r="D121" s="9">
        <v>55000</v>
      </c>
    </row>
    <row r="122" spans="1:4">
      <c r="A122" s="5">
        <v>46113</v>
      </c>
      <c r="B122" s="3" t="s">
        <v>71</v>
      </c>
      <c r="C122" s="11">
        <v>700</v>
      </c>
      <c r="D122" s="9">
        <v>70000</v>
      </c>
    </row>
    <row r="123" spans="1:4">
      <c r="A123" s="5">
        <v>46113</v>
      </c>
      <c r="B123" s="3" t="s">
        <v>76</v>
      </c>
      <c r="C123" s="11">
        <v>450</v>
      </c>
      <c r="D123" s="9">
        <v>75000</v>
      </c>
    </row>
    <row r="124" spans="1:4">
      <c r="A124" s="5">
        <v>46113</v>
      </c>
      <c r="B124" s="3" t="s">
        <v>77</v>
      </c>
      <c r="C124" s="11">
        <v>1100</v>
      </c>
      <c r="D124" s="9">
        <v>95000</v>
      </c>
    </row>
    <row r="125" spans="1:4">
      <c r="A125" s="5">
        <v>46113</v>
      </c>
      <c r="B125" s="3" t="s">
        <v>78</v>
      </c>
      <c r="C125" s="11">
        <v>400</v>
      </c>
      <c r="D125" s="9">
        <v>85000</v>
      </c>
    </row>
    <row r="126" spans="1:4">
      <c r="A126" s="5">
        <v>46113</v>
      </c>
      <c r="B126" s="3" t="s">
        <v>79</v>
      </c>
      <c r="C126" s="11">
        <v>350</v>
      </c>
      <c r="D126" s="9">
        <v>90000</v>
      </c>
    </row>
    <row r="127" spans="1:4">
      <c r="A127" s="5">
        <v>46113</v>
      </c>
      <c r="B127" s="3" t="s">
        <v>80</v>
      </c>
      <c r="C127" s="11">
        <v>700</v>
      </c>
      <c r="D127" s="9">
        <v>65000</v>
      </c>
    </row>
    <row r="128" spans="1:4">
      <c r="A128" s="5">
        <v>46113</v>
      </c>
      <c r="B128" s="3" t="s">
        <v>81</v>
      </c>
      <c r="C128" s="11">
        <v>150</v>
      </c>
      <c r="D128" s="9">
        <v>70000</v>
      </c>
    </row>
    <row r="129" spans="1:4">
      <c r="A129" s="5">
        <v>46113</v>
      </c>
      <c r="B129" s="3" t="s">
        <v>82</v>
      </c>
      <c r="C129" s="11">
        <v>200</v>
      </c>
      <c r="D129" s="9">
        <v>55000</v>
      </c>
    </row>
    <row r="130" spans="1:4">
      <c r="A130" s="5">
        <v>46143</v>
      </c>
      <c r="B130" s="3" t="s">
        <v>71</v>
      </c>
      <c r="C130" s="11">
        <v>700</v>
      </c>
      <c r="D130" s="9">
        <v>70000</v>
      </c>
    </row>
    <row r="131" spans="1:4">
      <c r="A131" s="5">
        <v>46143</v>
      </c>
      <c r="B131" s="3" t="s">
        <v>76</v>
      </c>
      <c r="C131" s="11">
        <v>450</v>
      </c>
      <c r="D131" s="9">
        <v>75000</v>
      </c>
    </row>
    <row r="132" spans="1:4">
      <c r="A132" s="5">
        <v>46143</v>
      </c>
      <c r="B132" s="3" t="s">
        <v>77</v>
      </c>
      <c r="C132" s="11">
        <v>1100</v>
      </c>
      <c r="D132" s="9">
        <v>95000</v>
      </c>
    </row>
    <row r="133" spans="1:4">
      <c r="A133" s="5">
        <v>46143</v>
      </c>
      <c r="B133" s="3" t="s">
        <v>78</v>
      </c>
      <c r="C133" s="11">
        <v>400</v>
      </c>
      <c r="D133" s="9">
        <v>85000</v>
      </c>
    </row>
    <row r="134" spans="1:4">
      <c r="A134" s="5">
        <v>46143</v>
      </c>
      <c r="B134" s="3" t="s">
        <v>79</v>
      </c>
      <c r="C134" s="11">
        <v>350</v>
      </c>
      <c r="D134" s="9">
        <v>90000</v>
      </c>
    </row>
    <row r="135" spans="1:4">
      <c r="A135" s="5">
        <v>46143</v>
      </c>
      <c r="B135" s="3" t="s">
        <v>80</v>
      </c>
      <c r="C135" s="11">
        <v>700</v>
      </c>
      <c r="D135" s="9">
        <v>65000</v>
      </c>
    </row>
    <row r="136" spans="1:4">
      <c r="A136" s="5">
        <v>46143</v>
      </c>
      <c r="B136" s="3" t="s">
        <v>81</v>
      </c>
      <c r="C136" s="11">
        <v>150</v>
      </c>
      <c r="D136" s="9">
        <v>70000</v>
      </c>
    </row>
    <row r="137" spans="1:4">
      <c r="A137" s="5">
        <v>46143</v>
      </c>
      <c r="B137" s="3" t="s">
        <v>82</v>
      </c>
      <c r="C137" s="11">
        <v>200</v>
      </c>
      <c r="D137" s="9">
        <v>55000</v>
      </c>
    </row>
    <row r="138" spans="1:4">
      <c r="A138" s="5">
        <v>46174</v>
      </c>
      <c r="B138" s="3" t="s">
        <v>71</v>
      </c>
      <c r="C138" s="11">
        <v>700</v>
      </c>
      <c r="D138" s="9">
        <v>70000</v>
      </c>
    </row>
    <row r="139" spans="1:4">
      <c r="A139" s="5">
        <v>46174</v>
      </c>
      <c r="B139" s="3" t="s">
        <v>76</v>
      </c>
      <c r="C139" s="11">
        <v>450</v>
      </c>
      <c r="D139" s="9">
        <v>75000</v>
      </c>
    </row>
    <row r="140" spans="1:4">
      <c r="A140" s="5">
        <v>46174</v>
      </c>
      <c r="B140" s="3" t="s">
        <v>77</v>
      </c>
      <c r="C140" s="11">
        <v>1100</v>
      </c>
      <c r="D140" s="9">
        <v>95000</v>
      </c>
    </row>
    <row r="141" spans="1:4">
      <c r="A141" s="5">
        <v>46174</v>
      </c>
      <c r="B141" s="3" t="s">
        <v>78</v>
      </c>
      <c r="C141" s="11">
        <v>400</v>
      </c>
      <c r="D141" s="9">
        <v>85000</v>
      </c>
    </row>
    <row r="142" spans="1:4">
      <c r="A142" s="5">
        <v>46174</v>
      </c>
      <c r="B142" s="3" t="s">
        <v>79</v>
      </c>
      <c r="C142" s="11">
        <v>350</v>
      </c>
      <c r="D142" s="9">
        <v>90000</v>
      </c>
    </row>
    <row r="143" spans="1:4">
      <c r="A143" s="5">
        <v>46174</v>
      </c>
      <c r="B143" s="3" t="s">
        <v>80</v>
      </c>
      <c r="C143" s="11">
        <v>700</v>
      </c>
      <c r="D143" s="9">
        <v>65000</v>
      </c>
    </row>
    <row r="144" spans="1:4">
      <c r="A144" s="5">
        <v>46174</v>
      </c>
      <c r="B144" s="3" t="s">
        <v>81</v>
      </c>
      <c r="C144" s="11">
        <v>150</v>
      </c>
      <c r="D144" s="9">
        <v>70000</v>
      </c>
    </row>
    <row r="145" spans="1:4">
      <c r="A145" s="5">
        <v>46174</v>
      </c>
      <c r="B145" s="3" t="s">
        <v>82</v>
      </c>
      <c r="C145" s="11">
        <v>200</v>
      </c>
      <c r="D145" s="9">
        <v>55000</v>
      </c>
    </row>
    <row r="147" spans="1:4">
      <c r="A147" s="6"/>
      <c r="B147" s="9"/>
    </row>
    <row r="148" spans="1:4">
      <c r="A148" s="6"/>
      <c r="B148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J1827"/>
  <sheetViews>
    <sheetView workbookViewId="0"/>
  </sheetViews>
  <sheetFormatPr defaultRowHeight="15"/>
  <cols>
    <col min="1" max="4" width="21.42578125" style="3" customWidth="1"/>
    <col min="5" max="5" width="24.5703125" style="11" customWidth="1"/>
    <col min="6" max="6" width="21.42578125" style="3" customWidth="1"/>
    <col min="7" max="7" width="21.42578125" style="9" customWidth="1"/>
    <col min="8" max="9" width="21.42578125" style="3" customWidth="1"/>
    <col min="10" max="10" width="22.42578125" style="13" customWidth="1"/>
  </cols>
  <sheetData>
    <row r="1" spans="1:10">
      <c r="A1" s="6" t="s">
        <v>86</v>
      </c>
      <c r="B1" s="6" t="s">
        <v>42</v>
      </c>
      <c r="C1" s="6" t="s">
        <v>43</v>
      </c>
      <c r="D1" s="6" t="s">
        <v>87</v>
      </c>
      <c r="E1" s="10" t="s">
        <v>88</v>
      </c>
      <c r="F1" s="6" t="s">
        <v>89</v>
      </c>
      <c r="G1" s="8" t="s">
        <v>90</v>
      </c>
      <c r="H1" s="6" t="s">
        <v>91</v>
      </c>
      <c r="I1" s="6" t="s">
        <v>92</v>
      </c>
      <c r="J1" s="12" t="s">
        <v>93</v>
      </c>
    </row>
    <row r="2" spans="1:10">
      <c r="A2" s="5">
        <f>'02_Actual_Revenue'!A2</f>
        <v>45658</v>
      </c>
      <c r="B2" s="3" t="str">
        <f>'02_Actual_Revenue'!B2</f>
        <v>P001</v>
      </c>
      <c r="C2" s="3" t="str">
        <f>'02_Actual_Revenue'!C2</f>
        <v>R01</v>
      </c>
      <c r="D2" s="7">
        <f>'02_Actual_Revenue'!D2</f>
        <v>230000</v>
      </c>
      <c r="E2" s="7">
        <f>D2*(1+_xlfn.XLOOKUP("Devices",'01_Assumptions'!$A$4:$A$6,'01_Assumptions'!$B$4:$B$6))</f>
        <v>243800</v>
      </c>
      <c r="F2" s="3">
        <f>'02_Actual_Revenue'!E2*(1+_xlfn.XLOOKUP("Devices",'01_Assumptions'!$A$4:$A$6,'01_Assumptions'!$C$4:$C$6))</f>
        <v>712.98</v>
      </c>
      <c r="G2" s="9">
        <f>E2*F2</f>
        <v>173824524</v>
      </c>
      <c r="H2" s="9">
        <f>G2*'02_Actual_Revenue'!H2</f>
        <v>107771204.88</v>
      </c>
      <c r="I2" s="9">
        <f>G2-H2</f>
        <v>66053319.120000005</v>
      </c>
      <c r="J2" s="13">
        <f>I2/G2</f>
        <v>0.38</v>
      </c>
    </row>
    <row r="3" spans="1:10">
      <c r="A3" s="5">
        <f>'02_Actual_Revenue'!A3</f>
        <v>45658</v>
      </c>
      <c r="B3" s="3" t="str">
        <f>'02_Actual_Revenue'!B3</f>
        <v>P001</v>
      </c>
      <c r="C3" s="3" t="str">
        <f>'02_Actual_Revenue'!C3</f>
        <v>R02</v>
      </c>
      <c r="D3" s="7">
        <f>'02_Actual_Revenue'!D3</f>
        <v>195500</v>
      </c>
      <c r="E3" s="7">
        <f>D3*(1+_xlfn.XLOOKUP("Devices",'01_Assumptions'!$A$4:$A$6,'01_Assumptions'!$B$4:$B$6))</f>
        <v>207230</v>
      </c>
      <c r="F3" s="3">
        <f>'02_Actual_Revenue'!E3*(1+_xlfn.XLOOKUP("Devices",'01_Assumptions'!$A$4:$A$6,'01_Assumptions'!$C$4:$C$6))</f>
        <v>712.98</v>
      </c>
      <c r="G3" s="9">
        <f t="shared" ref="G3:G66" si="0">E3*F3</f>
        <v>147750845.40000001</v>
      </c>
      <c r="H3" s="9">
        <f>G3*'02_Actual_Revenue'!H3</f>
        <v>91605524.148000002</v>
      </c>
      <c r="I3" s="9">
        <f t="shared" ref="I3:I66" si="1">G3-H3</f>
        <v>56145321.252000004</v>
      </c>
      <c r="J3" s="13">
        <f t="shared" ref="J3:J66" si="2">I3/G3</f>
        <v>0.38</v>
      </c>
    </row>
    <row r="4" spans="1:10">
      <c r="A4" s="5">
        <f>'02_Actual_Revenue'!A4</f>
        <v>45658</v>
      </c>
      <c r="B4" s="3" t="str">
        <f>'02_Actual_Revenue'!B4</f>
        <v>P001</v>
      </c>
      <c r="C4" s="3" t="str">
        <f>'02_Actual_Revenue'!C4</f>
        <v>R03</v>
      </c>
      <c r="D4" s="7">
        <f>'02_Actual_Revenue'!D4</f>
        <v>218500</v>
      </c>
      <c r="E4" s="7">
        <f>D4*(1+_xlfn.XLOOKUP("Devices",'01_Assumptions'!$A$4:$A$6,'01_Assumptions'!$B$4:$B$6))</f>
        <v>231610</v>
      </c>
      <c r="F4" s="3">
        <f>'02_Actual_Revenue'!E4*(1+_xlfn.XLOOKUP("Devices",'01_Assumptions'!$A$4:$A$6,'01_Assumptions'!$C$4:$C$6))</f>
        <v>712.98</v>
      </c>
      <c r="G4" s="9">
        <f t="shared" si="0"/>
        <v>165133297.80000001</v>
      </c>
      <c r="H4" s="9">
        <f>G4*'02_Actual_Revenue'!H4</f>
        <v>102382644.63600001</v>
      </c>
      <c r="I4" s="9">
        <f t="shared" si="1"/>
        <v>62750653.164000005</v>
      </c>
      <c r="J4" s="13">
        <f t="shared" si="2"/>
        <v>0.38</v>
      </c>
    </row>
    <row r="5" spans="1:10">
      <c r="A5" s="5">
        <f>'02_Actual_Revenue'!A5</f>
        <v>45658</v>
      </c>
      <c r="B5" s="3" t="str">
        <f>'02_Actual_Revenue'!B5</f>
        <v>P001</v>
      </c>
      <c r="C5" s="3" t="str">
        <f>'02_Actual_Revenue'!C5</f>
        <v>R04</v>
      </c>
      <c r="D5" s="7">
        <f>'02_Actual_Revenue'!D5</f>
        <v>126500</v>
      </c>
      <c r="E5" s="7">
        <f>D5*(1+_xlfn.XLOOKUP("Devices",'01_Assumptions'!$A$4:$A$6,'01_Assumptions'!$B$4:$B$6))</f>
        <v>134090</v>
      </c>
      <c r="F5" s="3">
        <f>'02_Actual_Revenue'!E5*(1+_xlfn.XLOOKUP("Devices",'01_Assumptions'!$A$4:$A$6,'01_Assumptions'!$C$4:$C$6))</f>
        <v>712.98</v>
      </c>
      <c r="G5" s="9">
        <f t="shared" si="0"/>
        <v>95603488.200000003</v>
      </c>
      <c r="H5" s="9">
        <f>G5*'02_Actual_Revenue'!H5</f>
        <v>59274162.684</v>
      </c>
      <c r="I5" s="9">
        <f t="shared" si="1"/>
        <v>36329325.516000003</v>
      </c>
      <c r="J5" s="13">
        <f t="shared" si="2"/>
        <v>0.38</v>
      </c>
    </row>
    <row r="6" spans="1:10">
      <c r="A6" s="5">
        <f>'02_Actual_Revenue'!A6</f>
        <v>45658</v>
      </c>
      <c r="B6" s="3" t="str">
        <f>'02_Actual_Revenue'!B6</f>
        <v>P002</v>
      </c>
      <c r="C6" s="3" t="str">
        <f>'02_Actual_Revenue'!C6</f>
        <v>R01</v>
      </c>
      <c r="D6" s="7">
        <f>'02_Actual_Revenue'!D6</f>
        <v>110400</v>
      </c>
      <c r="E6" s="7">
        <f>D6*(1+_xlfn.XLOOKUP("Devices",'01_Assumptions'!$A$4:$A$6,'01_Assumptions'!$B$4:$B$6))</f>
        <v>117024</v>
      </c>
      <c r="F6" s="3">
        <f>'02_Actual_Revenue'!E6*(1+_xlfn.XLOOKUP("Devices",'01_Assumptions'!$A$4:$A$6,'01_Assumptions'!$C$4:$C$6))</f>
        <v>1018.98</v>
      </c>
      <c r="G6" s="9">
        <f t="shared" si="0"/>
        <v>119245115.52</v>
      </c>
      <c r="H6" s="9">
        <f>G6*'02_Actual_Revenue'!H6</f>
        <v>69162167.001599997</v>
      </c>
      <c r="I6" s="9">
        <f t="shared" si="1"/>
        <v>50082948.518399999</v>
      </c>
      <c r="J6" s="13">
        <f t="shared" si="2"/>
        <v>0.42</v>
      </c>
    </row>
    <row r="7" spans="1:10">
      <c r="A7" s="5">
        <f>'02_Actual_Revenue'!A7</f>
        <v>45658</v>
      </c>
      <c r="B7" s="3" t="str">
        <f>'02_Actual_Revenue'!B7</f>
        <v>P002</v>
      </c>
      <c r="C7" s="3" t="str">
        <f>'02_Actual_Revenue'!C7</f>
        <v>R02</v>
      </c>
      <c r="D7" s="7">
        <f>'02_Actual_Revenue'!D7</f>
        <v>93840</v>
      </c>
      <c r="E7" s="7">
        <f>D7*(1+_xlfn.XLOOKUP("Devices",'01_Assumptions'!$A$4:$A$6,'01_Assumptions'!$B$4:$B$6))</f>
        <v>99470.400000000009</v>
      </c>
      <c r="F7" s="3">
        <f>'02_Actual_Revenue'!E7*(1+_xlfn.XLOOKUP("Devices",'01_Assumptions'!$A$4:$A$6,'01_Assumptions'!$C$4:$C$6))</f>
        <v>1018.98</v>
      </c>
      <c r="G7" s="9">
        <f t="shared" si="0"/>
        <v>101358348.19200002</v>
      </c>
      <c r="H7" s="9">
        <f>G7*'02_Actual_Revenue'!H7</f>
        <v>58787841.951360002</v>
      </c>
      <c r="I7" s="9">
        <f t="shared" si="1"/>
        <v>42570506.240640014</v>
      </c>
      <c r="J7" s="13">
        <f t="shared" si="2"/>
        <v>0.4200000000000001</v>
      </c>
    </row>
    <row r="8" spans="1:10">
      <c r="A8" s="5">
        <f>'02_Actual_Revenue'!A8</f>
        <v>45658</v>
      </c>
      <c r="B8" s="3" t="str">
        <f>'02_Actual_Revenue'!B8</f>
        <v>P002</v>
      </c>
      <c r="C8" s="3" t="str">
        <f>'02_Actual_Revenue'!C8</f>
        <v>R03</v>
      </c>
      <c r="D8" s="7">
        <f>'02_Actual_Revenue'!D8</f>
        <v>104880</v>
      </c>
      <c r="E8" s="7">
        <f>D8*(1+_xlfn.XLOOKUP("Devices",'01_Assumptions'!$A$4:$A$6,'01_Assumptions'!$B$4:$B$6))</f>
        <v>111172.8</v>
      </c>
      <c r="F8" s="3">
        <f>'02_Actual_Revenue'!E8*(1+_xlfn.XLOOKUP("Devices",'01_Assumptions'!$A$4:$A$6,'01_Assumptions'!$C$4:$C$6))</f>
        <v>1018.98</v>
      </c>
      <c r="G8" s="9">
        <f t="shared" si="0"/>
        <v>113282859.744</v>
      </c>
      <c r="H8" s="9">
        <f>G8*'02_Actual_Revenue'!H8</f>
        <v>65704058.651519999</v>
      </c>
      <c r="I8" s="9">
        <f t="shared" si="1"/>
        <v>47578801.092480004</v>
      </c>
      <c r="J8" s="13">
        <f t="shared" si="2"/>
        <v>0.42000000000000004</v>
      </c>
    </row>
    <row r="9" spans="1:10">
      <c r="A9" s="5">
        <f>'02_Actual_Revenue'!A9</f>
        <v>45658</v>
      </c>
      <c r="B9" s="3" t="str">
        <f>'02_Actual_Revenue'!B9</f>
        <v>P002</v>
      </c>
      <c r="C9" s="3" t="str">
        <f>'02_Actual_Revenue'!C9</f>
        <v>R04</v>
      </c>
      <c r="D9" s="7">
        <f>'02_Actual_Revenue'!D9</f>
        <v>60720</v>
      </c>
      <c r="E9" s="7">
        <f>D9*(1+_xlfn.XLOOKUP("Devices",'01_Assumptions'!$A$4:$A$6,'01_Assumptions'!$B$4:$B$6))</f>
        <v>64363.200000000004</v>
      </c>
      <c r="F9" s="3">
        <f>'02_Actual_Revenue'!E9*(1+_xlfn.XLOOKUP("Devices",'01_Assumptions'!$A$4:$A$6,'01_Assumptions'!$C$4:$C$6))</f>
        <v>1018.98</v>
      </c>
      <c r="G9" s="9">
        <f t="shared" si="0"/>
        <v>65584813.536000006</v>
      </c>
      <c r="H9" s="9">
        <f>G9*'02_Actual_Revenue'!H9</f>
        <v>38039191.850880004</v>
      </c>
      <c r="I9" s="9">
        <f t="shared" si="1"/>
        <v>27545621.685120001</v>
      </c>
      <c r="J9" s="13">
        <f t="shared" si="2"/>
        <v>0.42</v>
      </c>
    </row>
    <row r="10" spans="1:10">
      <c r="A10" s="5">
        <f>'02_Actual_Revenue'!A10</f>
        <v>45658</v>
      </c>
      <c r="B10" s="3" t="str">
        <f>'02_Actual_Revenue'!B10</f>
        <v>P003</v>
      </c>
      <c r="C10" s="3" t="str">
        <f>'02_Actual_Revenue'!C10</f>
        <v>R01</v>
      </c>
      <c r="D10" s="7">
        <f>'02_Actual_Revenue'!D10</f>
        <v>128800</v>
      </c>
      <c r="E10" s="7">
        <f>D10*(1+_xlfn.XLOOKUP("Devices",'01_Assumptions'!$A$4:$A$6,'01_Assumptions'!$B$4:$B$6))</f>
        <v>136528</v>
      </c>
      <c r="F10" s="3">
        <f>'02_Actual_Revenue'!E10*(1+_xlfn.XLOOKUP("Devices",'01_Assumptions'!$A$4:$A$6,'01_Assumptions'!$C$4:$C$6))</f>
        <v>559.98</v>
      </c>
      <c r="G10" s="9">
        <f t="shared" si="0"/>
        <v>76452949.439999998</v>
      </c>
      <c r="H10" s="9">
        <f>G10*'02_Actual_Revenue'!H10</f>
        <v>45871769.663999997</v>
      </c>
      <c r="I10" s="9">
        <f t="shared" si="1"/>
        <v>30581179.776000001</v>
      </c>
      <c r="J10" s="13">
        <f t="shared" si="2"/>
        <v>0.4</v>
      </c>
    </row>
    <row r="11" spans="1:10">
      <c r="A11" s="5">
        <f>'02_Actual_Revenue'!A11</f>
        <v>45658</v>
      </c>
      <c r="B11" s="3" t="str">
        <f>'02_Actual_Revenue'!B11</f>
        <v>P003</v>
      </c>
      <c r="C11" s="3" t="str">
        <f>'02_Actual_Revenue'!C11</f>
        <v>R02</v>
      </c>
      <c r="D11" s="7">
        <f>'02_Actual_Revenue'!D11</f>
        <v>109480</v>
      </c>
      <c r="E11" s="7">
        <f>D11*(1+_xlfn.XLOOKUP("Devices",'01_Assumptions'!$A$4:$A$6,'01_Assumptions'!$B$4:$B$6))</f>
        <v>116048.8</v>
      </c>
      <c r="F11" s="3">
        <f>'02_Actual_Revenue'!E11*(1+_xlfn.XLOOKUP("Devices",'01_Assumptions'!$A$4:$A$6,'01_Assumptions'!$C$4:$C$6))</f>
        <v>559.98</v>
      </c>
      <c r="G11" s="9">
        <f t="shared" si="0"/>
        <v>64985007.024000004</v>
      </c>
      <c r="H11" s="9">
        <f>G11*'02_Actual_Revenue'!H11</f>
        <v>38991004.214400001</v>
      </c>
      <c r="I11" s="9">
        <f t="shared" si="1"/>
        <v>25994002.809600003</v>
      </c>
      <c r="J11" s="13">
        <f t="shared" si="2"/>
        <v>0.4</v>
      </c>
    </row>
    <row r="12" spans="1:10">
      <c r="A12" s="5">
        <f>'02_Actual_Revenue'!A12</f>
        <v>45658</v>
      </c>
      <c r="B12" s="3" t="str">
        <f>'02_Actual_Revenue'!B12</f>
        <v>P003</v>
      </c>
      <c r="C12" s="3" t="str">
        <f>'02_Actual_Revenue'!C12</f>
        <v>R03</v>
      </c>
      <c r="D12" s="7">
        <f>'02_Actual_Revenue'!D12</f>
        <v>122360</v>
      </c>
      <c r="E12" s="7">
        <f>D12*(1+_xlfn.XLOOKUP("Devices",'01_Assumptions'!$A$4:$A$6,'01_Assumptions'!$B$4:$B$6))</f>
        <v>129701.6</v>
      </c>
      <c r="F12" s="3">
        <f>'02_Actual_Revenue'!E12*(1+_xlfn.XLOOKUP("Devices",'01_Assumptions'!$A$4:$A$6,'01_Assumptions'!$C$4:$C$6))</f>
        <v>559.98</v>
      </c>
      <c r="G12" s="9">
        <f t="shared" si="0"/>
        <v>72630301.96800001</v>
      </c>
      <c r="H12" s="9">
        <f>G12*'02_Actual_Revenue'!H12</f>
        <v>43578181.180800006</v>
      </c>
      <c r="I12" s="9">
        <f t="shared" si="1"/>
        <v>29052120.787200004</v>
      </c>
      <c r="J12" s="13">
        <f t="shared" si="2"/>
        <v>0.4</v>
      </c>
    </row>
    <row r="13" spans="1:10">
      <c r="A13" s="5">
        <f>'02_Actual_Revenue'!A13</f>
        <v>45658</v>
      </c>
      <c r="B13" s="3" t="str">
        <f>'02_Actual_Revenue'!B13</f>
        <v>P003</v>
      </c>
      <c r="C13" s="3" t="str">
        <f>'02_Actual_Revenue'!C13</f>
        <v>R04</v>
      </c>
      <c r="D13" s="7">
        <f>'02_Actual_Revenue'!D13</f>
        <v>70840</v>
      </c>
      <c r="E13" s="7">
        <f>D13*(1+_xlfn.XLOOKUP("Devices",'01_Assumptions'!$A$4:$A$6,'01_Assumptions'!$B$4:$B$6))</f>
        <v>75090.400000000009</v>
      </c>
      <c r="F13" s="3">
        <f>'02_Actual_Revenue'!E13*(1+_xlfn.XLOOKUP("Devices",'01_Assumptions'!$A$4:$A$6,'01_Assumptions'!$C$4:$C$6))</f>
        <v>559.98</v>
      </c>
      <c r="G13" s="9">
        <f t="shared" si="0"/>
        <v>42049122.192000009</v>
      </c>
      <c r="H13" s="9">
        <f>G13*'02_Actual_Revenue'!H13</f>
        <v>25229473.315200005</v>
      </c>
      <c r="I13" s="9">
        <f t="shared" si="1"/>
        <v>16819648.876800004</v>
      </c>
      <c r="J13" s="13">
        <f t="shared" si="2"/>
        <v>0.4</v>
      </c>
    </row>
    <row r="14" spans="1:10">
      <c r="A14" s="5">
        <f>'02_Actual_Revenue'!A14</f>
        <v>45658</v>
      </c>
      <c r="B14" s="3" t="str">
        <f>'02_Actual_Revenue'!B14</f>
        <v>P004</v>
      </c>
      <c r="C14" s="3" t="str">
        <f>'02_Actual_Revenue'!C14</f>
        <v>R01</v>
      </c>
      <c r="D14" s="7">
        <f>'02_Actual_Revenue'!D14</f>
        <v>64400</v>
      </c>
      <c r="E14" s="7">
        <f>D14*(1+_xlfn.XLOOKUP("Devices",'01_Assumptions'!$A$4:$A$6,'01_Assumptions'!$B$4:$B$6))</f>
        <v>68264</v>
      </c>
      <c r="F14" s="3">
        <f>'02_Actual_Revenue'!E14*(1+_xlfn.XLOOKUP("Devices",'01_Assumptions'!$A$4:$A$6,'01_Assumptions'!$C$4:$C$6))</f>
        <v>1222.98</v>
      </c>
      <c r="G14" s="9">
        <f t="shared" si="0"/>
        <v>83485506.719999999</v>
      </c>
      <c r="H14" s="9">
        <f>G14*'02_Actual_Revenue'!H14</f>
        <v>45917028.696000002</v>
      </c>
      <c r="I14" s="9">
        <f t="shared" si="1"/>
        <v>37568478.023999996</v>
      </c>
      <c r="J14" s="13">
        <f t="shared" si="2"/>
        <v>0.44999999999999996</v>
      </c>
    </row>
    <row r="15" spans="1:10">
      <c r="A15" s="5">
        <f>'02_Actual_Revenue'!A15</f>
        <v>45658</v>
      </c>
      <c r="B15" s="3" t="str">
        <f>'02_Actual_Revenue'!B15</f>
        <v>P004</v>
      </c>
      <c r="C15" s="3" t="str">
        <f>'02_Actual_Revenue'!C15</f>
        <v>R02</v>
      </c>
      <c r="D15" s="7">
        <f>'02_Actual_Revenue'!D15</f>
        <v>54740</v>
      </c>
      <c r="E15" s="7">
        <f>D15*(1+_xlfn.XLOOKUP("Devices",'01_Assumptions'!$A$4:$A$6,'01_Assumptions'!$B$4:$B$6))</f>
        <v>58024.4</v>
      </c>
      <c r="F15" s="3">
        <f>'02_Actual_Revenue'!E15*(1+_xlfn.XLOOKUP("Devices",'01_Assumptions'!$A$4:$A$6,'01_Assumptions'!$C$4:$C$6))</f>
        <v>1222.98</v>
      </c>
      <c r="G15" s="9">
        <f t="shared" si="0"/>
        <v>70962680.711999997</v>
      </c>
      <c r="H15" s="9">
        <f>G15*'02_Actual_Revenue'!H15</f>
        <v>39029474.391600005</v>
      </c>
      <c r="I15" s="9">
        <f t="shared" si="1"/>
        <v>31933206.320399992</v>
      </c>
      <c r="J15" s="13">
        <f t="shared" si="2"/>
        <v>0.4499999999999999</v>
      </c>
    </row>
    <row r="16" spans="1:10">
      <c r="A16" s="5">
        <f>'02_Actual_Revenue'!A16</f>
        <v>45658</v>
      </c>
      <c r="B16" s="3" t="str">
        <f>'02_Actual_Revenue'!B16</f>
        <v>P004</v>
      </c>
      <c r="C16" s="3" t="str">
        <f>'02_Actual_Revenue'!C16</f>
        <v>R03</v>
      </c>
      <c r="D16" s="7">
        <f>'02_Actual_Revenue'!D16</f>
        <v>61180</v>
      </c>
      <c r="E16" s="7">
        <f>D16*(1+_xlfn.XLOOKUP("Devices",'01_Assumptions'!$A$4:$A$6,'01_Assumptions'!$B$4:$B$6))</f>
        <v>64850.8</v>
      </c>
      <c r="F16" s="3">
        <f>'02_Actual_Revenue'!E16*(1+_xlfn.XLOOKUP("Devices",'01_Assumptions'!$A$4:$A$6,'01_Assumptions'!$C$4:$C$6))</f>
        <v>1222.98</v>
      </c>
      <c r="G16" s="9">
        <f t="shared" si="0"/>
        <v>79311231.384000003</v>
      </c>
      <c r="H16" s="9">
        <f>G16*'02_Actual_Revenue'!H16</f>
        <v>43621177.261200003</v>
      </c>
      <c r="I16" s="9">
        <f t="shared" si="1"/>
        <v>35690054.1228</v>
      </c>
      <c r="J16" s="13">
        <f t="shared" si="2"/>
        <v>0.44999999999999996</v>
      </c>
    </row>
    <row r="17" spans="1:10">
      <c r="A17" s="5">
        <f>'02_Actual_Revenue'!A17</f>
        <v>45658</v>
      </c>
      <c r="B17" s="3" t="str">
        <f>'02_Actual_Revenue'!B17</f>
        <v>P004</v>
      </c>
      <c r="C17" s="3" t="str">
        <f>'02_Actual_Revenue'!C17</f>
        <v>R04</v>
      </c>
      <c r="D17" s="7">
        <f>'02_Actual_Revenue'!D17</f>
        <v>35420</v>
      </c>
      <c r="E17" s="7">
        <f>D17*(1+_xlfn.XLOOKUP("Devices",'01_Assumptions'!$A$4:$A$6,'01_Assumptions'!$B$4:$B$6))</f>
        <v>37545.200000000004</v>
      </c>
      <c r="F17" s="3">
        <f>'02_Actual_Revenue'!E17*(1+_xlfn.XLOOKUP("Devices",'01_Assumptions'!$A$4:$A$6,'01_Assumptions'!$C$4:$C$6))</f>
        <v>1222.98</v>
      </c>
      <c r="G17" s="9">
        <f t="shared" si="0"/>
        <v>45917028.696000002</v>
      </c>
      <c r="H17" s="9">
        <f>G17*'02_Actual_Revenue'!H17</f>
        <v>25254365.782800004</v>
      </c>
      <c r="I17" s="9">
        <f t="shared" si="1"/>
        <v>20662662.913199998</v>
      </c>
      <c r="J17" s="13">
        <f t="shared" si="2"/>
        <v>0.44999999999999996</v>
      </c>
    </row>
    <row r="18" spans="1:10">
      <c r="A18" s="5">
        <f>'02_Actual_Revenue'!A18</f>
        <v>45658</v>
      </c>
      <c r="B18" s="3" t="str">
        <f>'02_Actual_Revenue'!B18</f>
        <v>P005</v>
      </c>
      <c r="C18" s="3" t="str">
        <f>'02_Actual_Revenue'!C18</f>
        <v>R01</v>
      </c>
      <c r="D18" s="7">
        <f>'02_Actual_Revenue'!D18</f>
        <v>165600</v>
      </c>
      <c r="E18" s="7">
        <f>D18*(1+_xlfn.XLOOKUP("Devices",'01_Assumptions'!$A$4:$A$6,'01_Assumptions'!$B$4:$B$6))</f>
        <v>175536</v>
      </c>
      <c r="F18" s="3">
        <f>'02_Actual_Revenue'!E18*(1+_xlfn.XLOOKUP("Devices",'01_Assumptions'!$A$4:$A$6,'01_Assumptions'!$C$4:$C$6))</f>
        <v>304.98</v>
      </c>
      <c r="G18" s="9">
        <f t="shared" si="0"/>
        <v>53534969.280000001</v>
      </c>
      <c r="H18" s="9">
        <f>G18*'02_Actual_Revenue'!H18</f>
        <v>26767484.640000001</v>
      </c>
      <c r="I18" s="9">
        <f t="shared" si="1"/>
        <v>26767484.640000001</v>
      </c>
      <c r="J18" s="13">
        <f t="shared" si="2"/>
        <v>0.5</v>
      </c>
    </row>
    <row r="19" spans="1:10">
      <c r="A19" s="5">
        <f>'02_Actual_Revenue'!A19</f>
        <v>45658</v>
      </c>
      <c r="B19" s="3" t="str">
        <f>'02_Actual_Revenue'!B19</f>
        <v>P005</v>
      </c>
      <c r="C19" s="3" t="str">
        <f>'02_Actual_Revenue'!C19</f>
        <v>R02</v>
      </c>
      <c r="D19" s="7">
        <f>'02_Actual_Revenue'!D19</f>
        <v>140760</v>
      </c>
      <c r="E19" s="7">
        <f>D19*(1+_xlfn.XLOOKUP("Devices",'01_Assumptions'!$A$4:$A$6,'01_Assumptions'!$B$4:$B$6))</f>
        <v>149205.6</v>
      </c>
      <c r="F19" s="3">
        <f>'02_Actual_Revenue'!E19*(1+_xlfn.XLOOKUP("Devices",'01_Assumptions'!$A$4:$A$6,'01_Assumptions'!$C$4:$C$6))</f>
        <v>304.98</v>
      </c>
      <c r="G19" s="9">
        <f t="shared" si="0"/>
        <v>45504723.888000004</v>
      </c>
      <c r="H19" s="9">
        <f>G19*'02_Actual_Revenue'!H19</f>
        <v>22752361.944000002</v>
      </c>
      <c r="I19" s="9">
        <f t="shared" si="1"/>
        <v>22752361.944000002</v>
      </c>
      <c r="J19" s="13">
        <f t="shared" si="2"/>
        <v>0.5</v>
      </c>
    </row>
    <row r="20" spans="1:10">
      <c r="A20" s="5">
        <f>'02_Actual_Revenue'!A20</f>
        <v>45658</v>
      </c>
      <c r="B20" s="3" t="str">
        <f>'02_Actual_Revenue'!B20</f>
        <v>P005</v>
      </c>
      <c r="C20" s="3" t="str">
        <f>'02_Actual_Revenue'!C20</f>
        <v>R03</v>
      </c>
      <c r="D20" s="7">
        <f>'02_Actual_Revenue'!D20</f>
        <v>157320</v>
      </c>
      <c r="E20" s="7">
        <f>D20*(1+_xlfn.XLOOKUP("Devices",'01_Assumptions'!$A$4:$A$6,'01_Assumptions'!$B$4:$B$6))</f>
        <v>166759.20000000001</v>
      </c>
      <c r="F20" s="3">
        <f>'02_Actual_Revenue'!E20*(1+_xlfn.XLOOKUP("Devices",'01_Assumptions'!$A$4:$A$6,'01_Assumptions'!$C$4:$C$6))</f>
        <v>304.98</v>
      </c>
      <c r="G20" s="9">
        <f t="shared" si="0"/>
        <v>50858220.816000007</v>
      </c>
      <c r="H20" s="9">
        <f>G20*'02_Actual_Revenue'!H20</f>
        <v>25429110.408000004</v>
      </c>
      <c r="I20" s="9">
        <f t="shared" si="1"/>
        <v>25429110.408000004</v>
      </c>
      <c r="J20" s="13">
        <f t="shared" si="2"/>
        <v>0.5</v>
      </c>
    </row>
    <row r="21" spans="1:10">
      <c r="A21" s="5">
        <f>'02_Actual_Revenue'!A21</f>
        <v>45658</v>
      </c>
      <c r="B21" s="3" t="str">
        <f>'02_Actual_Revenue'!B21</f>
        <v>P005</v>
      </c>
      <c r="C21" s="3" t="str">
        <f>'02_Actual_Revenue'!C21</f>
        <v>R04</v>
      </c>
      <c r="D21" s="7">
        <f>'02_Actual_Revenue'!D21</f>
        <v>91080</v>
      </c>
      <c r="E21" s="7">
        <f>D21*(1+_xlfn.XLOOKUP("Devices",'01_Assumptions'!$A$4:$A$6,'01_Assumptions'!$B$4:$B$6))</f>
        <v>96544.8</v>
      </c>
      <c r="F21" s="3">
        <f>'02_Actual_Revenue'!E21*(1+_xlfn.XLOOKUP("Devices",'01_Assumptions'!$A$4:$A$6,'01_Assumptions'!$C$4:$C$6))</f>
        <v>304.98</v>
      </c>
      <c r="G21" s="9">
        <f t="shared" si="0"/>
        <v>29444233.104000002</v>
      </c>
      <c r="H21" s="9">
        <f>G21*'02_Actual_Revenue'!H21</f>
        <v>14722116.552000001</v>
      </c>
      <c r="I21" s="9">
        <f t="shared" si="1"/>
        <v>14722116.552000001</v>
      </c>
      <c r="J21" s="13">
        <f t="shared" si="2"/>
        <v>0.5</v>
      </c>
    </row>
    <row r="22" spans="1:10">
      <c r="A22" s="5">
        <f>'02_Actual_Revenue'!A22</f>
        <v>45658</v>
      </c>
      <c r="B22" s="3" t="str">
        <f>'02_Actual_Revenue'!B22</f>
        <v>P006</v>
      </c>
      <c r="C22" s="3" t="str">
        <f>'02_Actual_Revenue'!C22</f>
        <v>R01</v>
      </c>
      <c r="D22" s="7">
        <f>'02_Actual_Revenue'!D22</f>
        <v>552000</v>
      </c>
      <c r="E22" s="7">
        <f>D22*(1+_xlfn.XLOOKUP("Cloud &amp; Software",'01_Assumptions'!$A$4:$A$6,'01_Assumptions'!$B$4:$B$6))</f>
        <v>607200</v>
      </c>
      <c r="F22" s="3">
        <f>'02_Actual_Revenue'!E22*(1+_xlfn.XLOOKUP("Cloud &amp; Software",'01_Assumptions'!$A$4:$A$6,'01_Assumptions'!$C$4:$C$6))</f>
        <v>40.17</v>
      </c>
      <c r="G22" s="9">
        <f t="shared" si="0"/>
        <v>24391224</v>
      </c>
      <c r="H22" s="9">
        <f>G22*'02_Actual_Revenue'!H22</f>
        <v>6097806</v>
      </c>
      <c r="I22" s="9">
        <f t="shared" si="1"/>
        <v>18293418</v>
      </c>
      <c r="J22" s="13">
        <f t="shared" si="2"/>
        <v>0.75</v>
      </c>
    </row>
    <row r="23" spans="1:10">
      <c r="A23" s="5">
        <f>'02_Actual_Revenue'!A23</f>
        <v>45658</v>
      </c>
      <c r="B23" s="3" t="str">
        <f>'02_Actual_Revenue'!B23</f>
        <v>P006</v>
      </c>
      <c r="C23" s="3" t="str">
        <f>'02_Actual_Revenue'!C23</f>
        <v>R02</v>
      </c>
      <c r="D23" s="7">
        <f>'02_Actual_Revenue'!D23</f>
        <v>469200</v>
      </c>
      <c r="E23" s="7">
        <f>D23*(1+_xlfn.XLOOKUP("Cloud &amp; Software",'01_Assumptions'!$A$4:$A$6,'01_Assumptions'!$B$4:$B$6))</f>
        <v>516120.00000000006</v>
      </c>
      <c r="F23" s="3">
        <f>'02_Actual_Revenue'!E23*(1+_xlfn.XLOOKUP("Cloud &amp; Software",'01_Assumptions'!$A$4:$A$6,'01_Assumptions'!$C$4:$C$6))</f>
        <v>40.17</v>
      </c>
      <c r="G23" s="9">
        <f t="shared" si="0"/>
        <v>20732540.400000002</v>
      </c>
      <c r="H23" s="9">
        <f>G23*'02_Actual_Revenue'!H23</f>
        <v>5183135.1000000006</v>
      </c>
      <c r="I23" s="9">
        <f t="shared" si="1"/>
        <v>15549405.300000001</v>
      </c>
      <c r="J23" s="13">
        <f t="shared" si="2"/>
        <v>0.75</v>
      </c>
    </row>
    <row r="24" spans="1:10">
      <c r="A24" s="5">
        <f>'02_Actual_Revenue'!A24</f>
        <v>45658</v>
      </c>
      <c r="B24" s="3" t="str">
        <f>'02_Actual_Revenue'!B24</f>
        <v>P006</v>
      </c>
      <c r="C24" s="3" t="str">
        <f>'02_Actual_Revenue'!C24</f>
        <v>R03</v>
      </c>
      <c r="D24" s="7">
        <f>'02_Actual_Revenue'!D24</f>
        <v>524400</v>
      </c>
      <c r="E24" s="7">
        <f>D24*(1+_xlfn.XLOOKUP("Cloud &amp; Software",'01_Assumptions'!$A$4:$A$6,'01_Assumptions'!$B$4:$B$6))</f>
        <v>576840</v>
      </c>
      <c r="F24" s="3">
        <f>'02_Actual_Revenue'!E24*(1+_xlfn.XLOOKUP("Cloud &amp; Software",'01_Assumptions'!$A$4:$A$6,'01_Assumptions'!$C$4:$C$6))</f>
        <v>40.17</v>
      </c>
      <c r="G24" s="9">
        <f t="shared" si="0"/>
        <v>23171662.800000001</v>
      </c>
      <c r="H24" s="9">
        <f>G24*'02_Actual_Revenue'!H24</f>
        <v>5792915.7000000002</v>
      </c>
      <c r="I24" s="9">
        <f t="shared" si="1"/>
        <v>17378747.100000001</v>
      </c>
      <c r="J24" s="13">
        <f t="shared" si="2"/>
        <v>0.75</v>
      </c>
    </row>
    <row r="25" spans="1:10">
      <c r="A25" s="5">
        <f>'02_Actual_Revenue'!A25</f>
        <v>45658</v>
      </c>
      <c r="B25" s="3" t="str">
        <f>'02_Actual_Revenue'!B25</f>
        <v>P006</v>
      </c>
      <c r="C25" s="3" t="str">
        <f>'02_Actual_Revenue'!C25</f>
        <v>R04</v>
      </c>
      <c r="D25" s="7">
        <f>'02_Actual_Revenue'!D25</f>
        <v>303600</v>
      </c>
      <c r="E25" s="7">
        <f>D25*(1+_xlfn.XLOOKUP("Cloud &amp; Software",'01_Assumptions'!$A$4:$A$6,'01_Assumptions'!$B$4:$B$6))</f>
        <v>333960</v>
      </c>
      <c r="F25" s="3">
        <f>'02_Actual_Revenue'!E25*(1+_xlfn.XLOOKUP("Cloud &amp; Software",'01_Assumptions'!$A$4:$A$6,'01_Assumptions'!$C$4:$C$6))</f>
        <v>40.17</v>
      </c>
      <c r="G25" s="9">
        <f t="shared" si="0"/>
        <v>13415173.200000001</v>
      </c>
      <c r="H25" s="9">
        <f>G25*'02_Actual_Revenue'!H25</f>
        <v>3353793.3000000003</v>
      </c>
      <c r="I25" s="9">
        <f t="shared" si="1"/>
        <v>10061379.9</v>
      </c>
      <c r="J25" s="13">
        <f t="shared" si="2"/>
        <v>0.75</v>
      </c>
    </row>
    <row r="26" spans="1:10">
      <c r="A26" s="5">
        <f>'02_Actual_Revenue'!A26</f>
        <v>45658</v>
      </c>
      <c r="B26" s="3" t="str">
        <f>'02_Actual_Revenue'!B26</f>
        <v>P007</v>
      </c>
      <c r="C26" s="3" t="str">
        <f>'02_Actual_Revenue'!C26</f>
        <v>R01</v>
      </c>
      <c r="D26" s="7">
        <f>'02_Actual_Revenue'!D26</f>
        <v>368000</v>
      </c>
      <c r="E26" s="7">
        <f>D26*(1+_xlfn.XLOOKUP("Cloud &amp; Software",'01_Assumptions'!$A$4:$A$6,'01_Assumptions'!$B$4:$B$6))</f>
        <v>404800.00000000006</v>
      </c>
      <c r="F26" s="3">
        <f>'02_Actual_Revenue'!E26*(1+_xlfn.XLOOKUP("Cloud &amp; Software",'01_Assumptions'!$A$4:$A$6,'01_Assumptions'!$C$4:$C$6))</f>
        <v>24.72</v>
      </c>
      <c r="G26" s="9">
        <f t="shared" si="0"/>
        <v>10006656.000000002</v>
      </c>
      <c r="H26" s="9">
        <f>G26*'02_Actual_Revenue'!H26</f>
        <v>2001331.2000000004</v>
      </c>
      <c r="I26" s="9">
        <f t="shared" si="1"/>
        <v>8005324.8000000017</v>
      </c>
      <c r="J26" s="13">
        <f t="shared" si="2"/>
        <v>0.8</v>
      </c>
    </row>
    <row r="27" spans="1:10">
      <c r="A27" s="5">
        <f>'02_Actual_Revenue'!A27</f>
        <v>45658</v>
      </c>
      <c r="B27" s="3" t="str">
        <f>'02_Actual_Revenue'!B27</f>
        <v>P007</v>
      </c>
      <c r="C27" s="3" t="str">
        <f>'02_Actual_Revenue'!C27</f>
        <v>R02</v>
      </c>
      <c r="D27" s="7">
        <f>'02_Actual_Revenue'!D27</f>
        <v>312800</v>
      </c>
      <c r="E27" s="7">
        <f>D27*(1+_xlfn.XLOOKUP("Cloud &amp; Software",'01_Assumptions'!$A$4:$A$6,'01_Assumptions'!$B$4:$B$6))</f>
        <v>344080</v>
      </c>
      <c r="F27" s="3">
        <f>'02_Actual_Revenue'!E27*(1+_xlfn.XLOOKUP("Cloud &amp; Software",'01_Assumptions'!$A$4:$A$6,'01_Assumptions'!$C$4:$C$6))</f>
        <v>24.72</v>
      </c>
      <c r="G27" s="9">
        <f t="shared" si="0"/>
        <v>8505657.5999999996</v>
      </c>
      <c r="H27" s="9">
        <f>G27*'02_Actual_Revenue'!H27</f>
        <v>1701131.52</v>
      </c>
      <c r="I27" s="9">
        <f t="shared" si="1"/>
        <v>6804526.0800000001</v>
      </c>
      <c r="J27" s="13">
        <f t="shared" si="2"/>
        <v>0.8</v>
      </c>
    </row>
    <row r="28" spans="1:10">
      <c r="A28" s="5">
        <f>'02_Actual_Revenue'!A28</f>
        <v>45658</v>
      </c>
      <c r="B28" s="3" t="str">
        <f>'02_Actual_Revenue'!B28</f>
        <v>P007</v>
      </c>
      <c r="C28" s="3" t="str">
        <f>'02_Actual_Revenue'!C28</f>
        <v>R03</v>
      </c>
      <c r="D28" s="7">
        <f>'02_Actual_Revenue'!D28</f>
        <v>349600</v>
      </c>
      <c r="E28" s="7">
        <f>D28*(1+_xlfn.XLOOKUP("Cloud &amp; Software",'01_Assumptions'!$A$4:$A$6,'01_Assumptions'!$B$4:$B$6))</f>
        <v>384560.00000000006</v>
      </c>
      <c r="F28" s="3">
        <f>'02_Actual_Revenue'!E28*(1+_xlfn.XLOOKUP("Cloud &amp; Software",'01_Assumptions'!$A$4:$A$6,'01_Assumptions'!$C$4:$C$6))</f>
        <v>24.72</v>
      </c>
      <c r="G28" s="9">
        <f t="shared" si="0"/>
        <v>9506323.2000000011</v>
      </c>
      <c r="H28" s="9">
        <f>G28*'02_Actual_Revenue'!H28</f>
        <v>1901264.6400000004</v>
      </c>
      <c r="I28" s="9">
        <f t="shared" si="1"/>
        <v>7605058.5600000005</v>
      </c>
      <c r="J28" s="13">
        <f t="shared" si="2"/>
        <v>0.79999999999999993</v>
      </c>
    </row>
    <row r="29" spans="1:10">
      <c r="A29" s="5">
        <f>'02_Actual_Revenue'!A29</f>
        <v>45658</v>
      </c>
      <c r="B29" s="3" t="str">
        <f>'02_Actual_Revenue'!B29</f>
        <v>P007</v>
      </c>
      <c r="C29" s="3" t="str">
        <f>'02_Actual_Revenue'!C29</f>
        <v>R04</v>
      </c>
      <c r="D29" s="7">
        <f>'02_Actual_Revenue'!D29</f>
        <v>202400</v>
      </c>
      <c r="E29" s="7">
        <f>D29*(1+_xlfn.XLOOKUP("Cloud &amp; Software",'01_Assumptions'!$A$4:$A$6,'01_Assumptions'!$B$4:$B$6))</f>
        <v>222640.00000000003</v>
      </c>
      <c r="F29" s="3">
        <f>'02_Actual_Revenue'!E29*(1+_xlfn.XLOOKUP("Cloud &amp; Software",'01_Assumptions'!$A$4:$A$6,'01_Assumptions'!$C$4:$C$6))</f>
        <v>24.72</v>
      </c>
      <c r="G29" s="9">
        <f t="shared" si="0"/>
        <v>5503660.8000000007</v>
      </c>
      <c r="H29" s="9">
        <f>G29*'02_Actual_Revenue'!H29</f>
        <v>1100732.1600000001</v>
      </c>
      <c r="I29" s="9">
        <f t="shared" si="1"/>
        <v>4402928.6400000006</v>
      </c>
      <c r="J29" s="13">
        <f t="shared" si="2"/>
        <v>0.8</v>
      </c>
    </row>
    <row r="30" spans="1:10">
      <c r="A30" s="5">
        <f>'02_Actual_Revenue'!A30</f>
        <v>45658</v>
      </c>
      <c r="B30" s="3" t="str">
        <f>'02_Actual_Revenue'!B30</f>
        <v>P008</v>
      </c>
      <c r="C30" s="3" t="str">
        <f>'02_Actual_Revenue'!C30</f>
        <v>R01</v>
      </c>
      <c r="D30" s="7">
        <f>'02_Actual_Revenue'!D30</f>
        <v>1104000</v>
      </c>
      <c r="E30" s="7">
        <f>D30*(1+_xlfn.XLOOKUP("Digital Services",'01_Assumptions'!$A$4:$A$6,'01_Assumptions'!$B$4:$B$6))</f>
        <v>1192320</v>
      </c>
      <c r="F30" s="3">
        <f>'02_Actual_Revenue'!E30*(1+_xlfn.XLOOKUP("Digital Services",'01_Assumptions'!$A$4:$A$6,'01_Assumptions'!$C$4:$C$6))</f>
        <v>12.24</v>
      </c>
      <c r="G30" s="9">
        <f t="shared" si="0"/>
        <v>14593996.800000001</v>
      </c>
      <c r="H30" s="9">
        <f>G30*'02_Actual_Revenue'!H30</f>
        <v>4378199.04</v>
      </c>
      <c r="I30" s="9">
        <f t="shared" si="1"/>
        <v>10215797.760000002</v>
      </c>
      <c r="J30" s="13">
        <f t="shared" si="2"/>
        <v>0.70000000000000007</v>
      </c>
    </row>
    <row r="31" spans="1:10">
      <c r="A31" s="5">
        <f>'02_Actual_Revenue'!A31</f>
        <v>45658</v>
      </c>
      <c r="B31" s="3" t="str">
        <f>'02_Actual_Revenue'!B31</f>
        <v>P008</v>
      </c>
      <c r="C31" s="3" t="str">
        <f>'02_Actual_Revenue'!C31</f>
        <v>R02</v>
      </c>
      <c r="D31" s="7">
        <f>'02_Actual_Revenue'!D31</f>
        <v>938400</v>
      </c>
      <c r="E31" s="7">
        <f>D31*(1+_xlfn.XLOOKUP("Digital Services",'01_Assumptions'!$A$4:$A$6,'01_Assumptions'!$B$4:$B$6))</f>
        <v>1013472.0000000001</v>
      </c>
      <c r="F31" s="3">
        <f>'02_Actual_Revenue'!E31*(1+_xlfn.XLOOKUP("Digital Services",'01_Assumptions'!$A$4:$A$6,'01_Assumptions'!$C$4:$C$6))</f>
        <v>12.24</v>
      </c>
      <c r="G31" s="9">
        <f t="shared" si="0"/>
        <v>12404897.280000001</v>
      </c>
      <c r="H31" s="9">
        <f>G31*'02_Actual_Revenue'!H31</f>
        <v>3721469.1840000004</v>
      </c>
      <c r="I31" s="9">
        <f t="shared" si="1"/>
        <v>8683428.0960000008</v>
      </c>
      <c r="J31" s="13">
        <f t="shared" si="2"/>
        <v>0.7</v>
      </c>
    </row>
    <row r="32" spans="1:10">
      <c r="A32" s="5">
        <f>'02_Actual_Revenue'!A32</f>
        <v>45658</v>
      </c>
      <c r="B32" s="3" t="str">
        <f>'02_Actual_Revenue'!B32</f>
        <v>P008</v>
      </c>
      <c r="C32" s="3" t="str">
        <f>'02_Actual_Revenue'!C32</f>
        <v>R03</v>
      </c>
      <c r="D32" s="7">
        <f>'02_Actual_Revenue'!D32</f>
        <v>1048800</v>
      </c>
      <c r="E32" s="7">
        <f>D32*(1+_xlfn.XLOOKUP("Digital Services",'01_Assumptions'!$A$4:$A$6,'01_Assumptions'!$B$4:$B$6))</f>
        <v>1132704</v>
      </c>
      <c r="F32" s="3">
        <f>'02_Actual_Revenue'!E32*(1+_xlfn.XLOOKUP("Digital Services",'01_Assumptions'!$A$4:$A$6,'01_Assumptions'!$C$4:$C$6))</f>
        <v>12.24</v>
      </c>
      <c r="G32" s="9">
        <f t="shared" si="0"/>
        <v>13864296.960000001</v>
      </c>
      <c r="H32" s="9">
        <f>G32*'02_Actual_Revenue'!H32</f>
        <v>4159289.088</v>
      </c>
      <c r="I32" s="9">
        <f t="shared" si="1"/>
        <v>9705007.8720000014</v>
      </c>
      <c r="J32" s="13">
        <f t="shared" si="2"/>
        <v>0.70000000000000007</v>
      </c>
    </row>
    <row r="33" spans="1:10">
      <c r="A33" s="5">
        <f>'02_Actual_Revenue'!A33</f>
        <v>45658</v>
      </c>
      <c r="B33" s="3" t="str">
        <f>'02_Actual_Revenue'!B33</f>
        <v>P008</v>
      </c>
      <c r="C33" s="3" t="str">
        <f>'02_Actual_Revenue'!C33</f>
        <v>R04</v>
      </c>
      <c r="D33" s="7">
        <f>'02_Actual_Revenue'!D33</f>
        <v>607200</v>
      </c>
      <c r="E33" s="7">
        <f>D33*(1+_xlfn.XLOOKUP("Digital Services",'01_Assumptions'!$A$4:$A$6,'01_Assumptions'!$B$4:$B$6))</f>
        <v>655776</v>
      </c>
      <c r="F33" s="3">
        <f>'02_Actual_Revenue'!E33*(1+_xlfn.XLOOKUP("Digital Services",'01_Assumptions'!$A$4:$A$6,'01_Assumptions'!$C$4:$C$6))</f>
        <v>12.24</v>
      </c>
      <c r="G33" s="9">
        <f t="shared" si="0"/>
        <v>8026698.2400000002</v>
      </c>
      <c r="H33" s="9">
        <f>G33*'02_Actual_Revenue'!H33</f>
        <v>2408009.4720000001</v>
      </c>
      <c r="I33" s="9">
        <f t="shared" si="1"/>
        <v>5618688.7680000002</v>
      </c>
      <c r="J33" s="13">
        <f t="shared" si="2"/>
        <v>0.7</v>
      </c>
    </row>
    <row r="34" spans="1:10">
      <c r="A34" s="5">
        <f>'02_Actual_Revenue'!A34</f>
        <v>45658</v>
      </c>
      <c r="B34" s="3" t="str">
        <f>'02_Actual_Revenue'!B34</f>
        <v>P009</v>
      </c>
      <c r="C34" s="3" t="str">
        <f>'02_Actual_Revenue'!C34</f>
        <v>R01</v>
      </c>
      <c r="D34" s="7">
        <f>'02_Actual_Revenue'!D34</f>
        <v>736000</v>
      </c>
      <c r="E34" s="7">
        <f>D34*(1+_xlfn.XLOOKUP("Digital Services",'01_Assumptions'!$A$4:$A$6,'01_Assumptions'!$B$4:$B$6))</f>
        <v>794880</v>
      </c>
      <c r="F34" s="3">
        <f>'02_Actual_Revenue'!E34*(1+_xlfn.XLOOKUP("Digital Services",'01_Assumptions'!$A$4:$A$6,'01_Assumptions'!$C$4:$C$6))</f>
        <v>15.3</v>
      </c>
      <c r="G34" s="9">
        <f t="shared" si="0"/>
        <v>12161664</v>
      </c>
      <c r="H34" s="9">
        <f>G34*'02_Actual_Revenue'!H34</f>
        <v>4256582.3999999994</v>
      </c>
      <c r="I34" s="9">
        <f t="shared" si="1"/>
        <v>7905081.6000000006</v>
      </c>
      <c r="J34" s="13">
        <f t="shared" si="2"/>
        <v>0.65</v>
      </c>
    </row>
    <row r="35" spans="1:10">
      <c r="A35" s="5">
        <f>'02_Actual_Revenue'!A35</f>
        <v>45658</v>
      </c>
      <c r="B35" s="3" t="str">
        <f>'02_Actual_Revenue'!B35</f>
        <v>P009</v>
      </c>
      <c r="C35" s="3" t="str">
        <f>'02_Actual_Revenue'!C35</f>
        <v>R02</v>
      </c>
      <c r="D35" s="7">
        <f>'02_Actual_Revenue'!D35</f>
        <v>625600</v>
      </c>
      <c r="E35" s="7">
        <f>D35*(1+_xlfn.XLOOKUP("Digital Services",'01_Assumptions'!$A$4:$A$6,'01_Assumptions'!$B$4:$B$6))</f>
        <v>675648</v>
      </c>
      <c r="F35" s="3">
        <f>'02_Actual_Revenue'!E35*(1+_xlfn.XLOOKUP("Digital Services",'01_Assumptions'!$A$4:$A$6,'01_Assumptions'!$C$4:$C$6))</f>
        <v>15.3</v>
      </c>
      <c r="G35" s="9">
        <f t="shared" si="0"/>
        <v>10337414.4</v>
      </c>
      <c r="H35" s="9">
        <f>G35*'02_Actual_Revenue'!H35</f>
        <v>3618095.04</v>
      </c>
      <c r="I35" s="9">
        <f t="shared" si="1"/>
        <v>6719319.3600000003</v>
      </c>
      <c r="J35" s="13">
        <f t="shared" si="2"/>
        <v>0.65</v>
      </c>
    </row>
    <row r="36" spans="1:10">
      <c r="A36" s="5">
        <f>'02_Actual_Revenue'!A36</f>
        <v>45658</v>
      </c>
      <c r="B36" s="3" t="str">
        <f>'02_Actual_Revenue'!B36</f>
        <v>P009</v>
      </c>
      <c r="C36" s="3" t="str">
        <f>'02_Actual_Revenue'!C36</f>
        <v>R03</v>
      </c>
      <c r="D36" s="7">
        <f>'02_Actual_Revenue'!D36</f>
        <v>699200</v>
      </c>
      <c r="E36" s="7">
        <f>D36*(1+_xlfn.XLOOKUP("Digital Services",'01_Assumptions'!$A$4:$A$6,'01_Assumptions'!$B$4:$B$6))</f>
        <v>755136</v>
      </c>
      <c r="F36" s="3">
        <f>'02_Actual_Revenue'!E36*(1+_xlfn.XLOOKUP("Digital Services",'01_Assumptions'!$A$4:$A$6,'01_Assumptions'!$C$4:$C$6))</f>
        <v>15.3</v>
      </c>
      <c r="G36" s="9">
        <f t="shared" si="0"/>
        <v>11553580.800000001</v>
      </c>
      <c r="H36" s="9">
        <f>G36*'02_Actual_Revenue'!H36</f>
        <v>4043753.28</v>
      </c>
      <c r="I36" s="9">
        <f t="shared" si="1"/>
        <v>7509827.5200000014</v>
      </c>
      <c r="J36" s="13">
        <f t="shared" si="2"/>
        <v>0.65000000000000013</v>
      </c>
    </row>
    <row r="37" spans="1:10">
      <c r="A37" s="5">
        <f>'02_Actual_Revenue'!A37</f>
        <v>45658</v>
      </c>
      <c r="B37" s="3" t="str">
        <f>'02_Actual_Revenue'!B37</f>
        <v>P009</v>
      </c>
      <c r="C37" s="3" t="str">
        <f>'02_Actual_Revenue'!C37</f>
        <v>R04</v>
      </c>
      <c r="D37" s="7">
        <f>'02_Actual_Revenue'!D37</f>
        <v>404800</v>
      </c>
      <c r="E37" s="7">
        <f>D37*(1+_xlfn.XLOOKUP("Digital Services",'01_Assumptions'!$A$4:$A$6,'01_Assumptions'!$B$4:$B$6))</f>
        <v>437184</v>
      </c>
      <c r="F37" s="3">
        <f>'02_Actual_Revenue'!E37*(1+_xlfn.XLOOKUP("Digital Services",'01_Assumptions'!$A$4:$A$6,'01_Assumptions'!$C$4:$C$6))</f>
        <v>15.3</v>
      </c>
      <c r="G37" s="9">
        <f t="shared" si="0"/>
        <v>6688915.2000000002</v>
      </c>
      <c r="H37" s="9">
        <f>G37*'02_Actual_Revenue'!H37</f>
        <v>2341120.3199999998</v>
      </c>
      <c r="I37" s="9">
        <f t="shared" si="1"/>
        <v>4347794.8800000008</v>
      </c>
      <c r="J37" s="13">
        <f t="shared" si="2"/>
        <v>0.65000000000000013</v>
      </c>
    </row>
    <row r="38" spans="1:10">
      <c r="A38" s="5">
        <f>'02_Actual_Revenue'!A38</f>
        <v>45658</v>
      </c>
      <c r="B38" s="3" t="str">
        <f>'02_Actual_Revenue'!B38</f>
        <v>P010</v>
      </c>
      <c r="C38" s="3" t="str">
        <f>'02_Actual_Revenue'!C38</f>
        <v>R01</v>
      </c>
      <c r="D38" s="7">
        <f>'02_Actual_Revenue'!D38</f>
        <v>828000</v>
      </c>
      <c r="E38" s="7">
        <f>D38*(1+_xlfn.XLOOKUP("Digital Services",'01_Assumptions'!$A$4:$A$6,'01_Assumptions'!$B$4:$B$6))</f>
        <v>894240.00000000012</v>
      </c>
      <c r="F38" s="3">
        <f>'02_Actual_Revenue'!E38*(1+_xlfn.XLOOKUP("Digital Services",'01_Assumptions'!$A$4:$A$6,'01_Assumptions'!$C$4:$C$6))</f>
        <v>8.16</v>
      </c>
      <c r="G38" s="9">
        <f t="shared" si="0"/>
        <v>7296998.4000000013</v>
      </c>
      <c r="H38" s="9">
        <f>G38*'02_Actual_Revenue'!H38</f>
        <v>1094549.7600000002</v>
      </c>
      <c r="I38" s="9">
        <f t="shared" si="1"/>
        <v>6202448.6400000006</v>
      </c>
      <c r="J38" s="13">
        <f t="shared" si="2"/>
        <v>0.85</v>
      </c>
    </row>
    <row r="39" spans="1:10">
      <c r="A39" s="5">
        <f>'02_Actual_Revenue'!A39</f>
        <v>45658</v>
      </c>
      <c r="B39" s="3" t="str">
        <f>'02_Actual_Revenue'!B39</f>
        <v>P010</v>
      </c>
      <c r="C39" s="3" t="str">
        <f>'02_Actual_Revenue'!C39</f>
        <v>R02</v>
      </c>
      <c r="D39" s="7">
        <f>'02_Actual_Revenue'!D39</f>
        <v>703800</v>
      </c>
      <c r="E39" s="7">
        <f>D39*(1+_xlfn.XLOOKUP("Digital Services",'01_Assumptions'!$A$4:$A$6,'01_Assumptions'!$B$4:$B$6))</f>
        <v>760104</v>
      </c>
      <c r="F39" s="3">
        <f>'02_Actual_Revenue'!E39*(1+_xlfn.XLOOKUP("Digital Services",'01_Assumptions'!$A$4:$A$6,'01_Assumptions'!$C$4:$C$6))</f>
        <v>8.16</v>
      </c>
      <c r="G39" s="9">
        <f t="shared" si="0"/>
        <v>6202448.6399999997</v>
      </c>
      <c r="H39" s="9">
        <f>G39*'02_Actual_Revenue'!H39</f>
        <v>930367.29599999997</v>
      </c>
      <c r="I39" s="9">
        <f t="shared" si="1"/>
        <v>5272081.3439999996</v>
      </c>
      <c r="J39" s="13">
        <f t="shared" si="2"/>
        <v>0.85</v>
      </c>
    </row>
    <row r="40" spans="1:10">
      <c r="A40" s="5">
        <f>'02_Actual_Revenue'!A40</f>
        <v>45658</v>
      </c>
      <c r="B40" s="3" t="str">
        <f>'02_Actual_Revenue'!B40</f>
        <v>P010</v>
      </c>
      <c r="C40" s="3" t="str">
        <f>'02_Actual_Revenue'!C40</f>
        <v>R03</v>
      </c>
      <c r="D40" s="7">
        <f>'02_Actual_Revenue'!D40</f>
        <v>786600</v>
      </c>
      <c r="E40" s="7">
        <f>D40*(1+_xlfn.XLOOKUP("Digital Services",'01_Assumptions'!$A$4:$A$6,'01_Assumptions'!$B$4:$B$6))</f>
        <v>849528</v>
      </c>
      <c r="F40" s="3">
        <f>'02_Actual_Revenue'!E40*(1+_xlfn.XLOOKUP("Digital Services",'01_Assumptions'!$A$4:$A$6,'01_Assumptions'!$C$4:$C$6))</f>
        <v>8.16</v>
      </c>
      <c r="G40" s="9">
        <f t="shared" si="0"/>
        <v>6932148.4800000004</v>
      </c>
      <c r="H40" s="9">
        <f>G40*'02_Actual_Revenue'!H40</f>
        <v>1039822.272</v>
      </c>
      <c r="I40" s="9">
        <f t="shared" si="1"/>
        <v>5892326.2080000006</v>
      </c>
      <c r="J40" s="13">
        <f t="shared" si="2"/>
        <v>0.85</v>
      </c>
    </row>
    <row r="41" spans="1:10">
      <c r="A41" s="5">
        <f>'02_Actual_Revenue'!A41</f>
        <v>45658</v>
      </c>
      <c r="B41" s="3" t="str">
        <f>'02_Actual_Revenue'!B41</f>
        <v>P010</v>
      </c>
      <c r="C41" s="3" t="str">
        <f>'02_Actual_Revenue'!C41</f>
        <v>R04</v>
      </c>
      <c r="D41" s="7">
        <f>'02_Actual_Revenue'!D41</f>
        <v>455400</v>
      </c>
      <c r="E41" s="7">
        <f>D41*(1+_xlfn.XLOOKUP("Digital Services",'01_Assumptions'!$A$4:$A$6,'01_Assumptions'!$B$4:$B$6))</f>
        <v>491832.00000000006</v>
      </c>
      <c r="F41" s="3">
        <f>'02_Actual_Revenue'!E41*(1+_xlfn.XLOOKUP("Digital Services",'01_Assumptions'!$A$4:$A$6,'01_Assumptions'!$C$4:$C$6))</f>
        <v>8.16</v>
      </c>
      <c r="G41" s="9">
        <f t="shared" si="0"/>
        <v>4013349.1200000006</v>
      </c>
      <c r="H41" s="9">
        <f>G41*'02_Actual_Revenue'!H41</f>
        <v>602002.36800000002</v>
      </c>
      <c r="I41" s="9">
        <f t="shared" si="1"/>
        <v>3411346.7520000003</v>
      </c>
      <c r="J41" s="13">
        <f t="shared" si="2"/>
        <v>0.85</v>
      </c>
    </row>
    <row r="42" spans="1:10">
      <c r="A42" s="5">
        <f>'02_Actual_Revenue'!A42</f>
        <v>45689</v>
      </c>
      <c r="B42" s="3" t="str">
        <f>'02_Actual_Revenue'!B42</f>
        <v>P001</v>
      </c>
      <c r="C42" s="3" t="str">
        <f>'02_Actual_Revenue'!C42</f>
        <v>R01</v>
      </c>
      <c r="D42" s="7">
        <f>'02_Actual_Revenue'!D42</f>
        <v>225000</v>
      </c>
      <c r="E42" s="7">
        <f>D42*(1+_xlfn.XLOOKUP("Devices",'01_Assumptions'!$A$4:$A$6,'01_Assumptions'!$B$4:$B$6))</f>
        <v>238500</v>
      </c>
      <c r="F42" s="3">
        <f>'02_Actual_Revenue'!E42*(1+_xlfn.XLOOKUP("Devices",'01_Assumptions'!$A$4:$A$6,'01_Assumptions'!$C$4:$C$6))</f>
        <v>712.98</v>
      </c>
      <c r="G42" s="9">
        <f t="shared" si="0"/>
        <v>170045730</v>
      </c>
      <c r="H42" s="9">
        <f>G42*'02_Actual_Revenue'!H42</f>
        <v>105428352.59999999</v>
      </c>
      <c r="I42" s="9">
        <f t="shared" si="1"/>
        <v>64617377.400000006</v>
      </c>
      <c r="J42" s="13">
        <f t="shared" si="2"/>
        <v>0.38000000000000006</v>
      </c>
    </row>
    <row r="43" spans="1:10">
      <c r="A43" s="5">
        <f>'02_Actual_Revenue'!A43</f>
        <v>45689</v>
      </c>
      <c r="B43" s="3" t="str">
        <f>'02_Actual_Revenue'!B43</f>
        <v>P001</v>
      </c>
      <c r="C43" s="3" t="str">
        <f>'02_Actual_Revenue'!C43</f>
        <v>R02</v>
      </c>
      <c r="D43" s="7">
        <f>'02_Actual_Revenue'!D43</f>
        <v>191250</v>
      </c>
      <c r="E43" s="7">
        <f>D43*(1+_xlfn.XLOOKUP("Devices",'01_Assumptions'!$A$4:$A$6,'01_Assumptions'!$B$4:$B$6))</f>
        <v>202725</v>
      </c>
      <c r="F43" s="3">
        <f>'02_Actual_Revenue'!E43*(1+_xlfn.XLOOKUP("Devices",'01_Assumptions'!$A$4:$A$6,'01_Assumptions'!$C$4:$C$6))</f>
        <v>712.98</v>
      </c>
      <c r="G43" s="9">
        <f t="shared" si="0"/>
        <v>144538870.5</v>
      </c>
      <c r="H43" s="9">
        <f>G43*'02_Actual_Revenue'!H43</f>
        <v>89614099.709999993</v>
      </c>
      <c r="I43" s="9">
        <f t="shared" si="1"/>
        <v>54924770.790000007</v>
      </c>
      <c r="J43" s="13">
        <f t="shared" si="2"/>
        <v>0.38000000000000006</v>
      </c>
    </row>
    <row r="44" spans="1:10">
      <c r="A44" s="5">
        <f>'02_Actual_Revenue'!A44</f>
        <v>45689</v>
      </c>
      <c r="B44" s="3" t="str">
        <f>'02_Actual_Revenue'!B44</f>
        <v>P001</v>
      </c>
      <c r="C44" s="3" t="str">
        <f>'02_Actual_Revenue'!C44</f>
        <v>R03</v>
      </c>
      <c r="D44" s="7">
        <f>'02_Actual_Revenue'!D44</f>
        <v>213750</v>
      </c>
      <c r="E44" s="7">
        <f>D44*(1+_xlfn.XLOOKUP("Devices",'01_Assumptions'!$A$4:$A$6,'01_Assumptions'!$B$4:$B$6))</f>
        <v>226575</v>
      </c>
      <c r="F44" s="3">
        <f>'02_Actual_Revenue'!E44*(1+_xlfn.XLOOKUP("Devices",'01_Assumptions'!$A$4:$A$6,'01_Assumptions'!$C$4:$C$6))</f>
        <v>712.98</v>
      </c>
      <c r="G44" s="9">
        <f t="shared" si="0"/>
        <v>161543443.5</v>
      </c>
      <c r="H44" s="9">
        <f>G44*'02_Actual_Revenue'!H44</f>
        <v>100156934.97</v>
      </c>
      <c r="I44" s="9">
        <f t="shared" si="1"/>
        <v>61386508.530000001</v>
      </c>
      <c r="J44" s="13">
        <f t="shared" si="2"/>
        <v>0.38</v>
      </c>
    </row>
    <row r="45" spans="1:10">
      <c r="A45" s="5">
        <f>'02_Actual_Revenue'!A45</f>
        <v>45689</v>
      </c>
      <c r="B45" s="3" t="str">
        <f>'02_Actual_Revenue'!B45</f>
        <v>P001</v>
      </c>
      <c r="C45" s="3" t="str">
        <f>'02_Actual_Revenue'!C45</f>
        <v>R04</v>
      </c>
      <c r="D45" s="7">
        <f>'02_Actual_Revenue'!D45</f>
        <v>123750</v>
      </c>
      <c r="E45" s="7">
        <f>D45*(1+_xlfn.XLOOKUP("Devices",'01_Assumptions'!$A$4:$A$6,'01_Assumptions'!$B$4:$B$6))</f>
        <v>131175</v>
      </c>
      <c r="F45" s="3">
        <f>'02_Actual_Revenue'!E45*(1+_xlfn.XLOOKUP("Devices",'01_Assumptions'!$A$4:$A$6,'01_Assumptions'!$C$4:$C$6))</f>
        <v>712.98</v>
      </c>
      <c r="G45" s="9">
        <f t="shared" si="0"/>
        <v>93525151.5</v>
      </c>
      <c r="H45" s="9">
        <f>G45*'02_Actual_Revenue'!H45</f>
        <v>57985593.93</v>
      </c>
      <c r="I45" s="9">
        <f t="shared" si="1"/>
        <v>35539557.57</v>
      </c>
      <c r="J45" s="13">
        <f t="shared" si="2"/>
        <v>0.38</v>
      </c>
    </row>
    <row r="46" spans="1:10">
      <c r="A46" s="5">
        <f>'02_Actual_Revenue'!A46</f>
        <v>45689</v>
      </c>
      <c r="B46" s="3" t="str">
        <f>'02_Actual_Revenue'!B46</f>
        <v>P002</v>
      </c>
      <c r="C46" s="3" t="str">
        <f>'02_Actual_Revenue'!C46</f>
        <v>R01</v>
      </c>
      <c r="D46" s="7">
        <f>'02_Actual_Revenue'!D46</f>
        <v>108000</v>
      </c>
      <c r="E46" s="7">
        <f>D46*(1+_xlfn.XLOOKUP("Devices",'01_Assumptions'!$A$4:$A$6,'01_Assumptions'!$B$4:$B$6))</f>
        <v>114480</v>
      </c>
      <c r="F46" s="3">
        <f>'02_Actual_Revenue'!E46*(1+_xlfn.XLOOKUP("Devices",'01_Assumptions'!$A$4:$A$6,'01_Assumptions'!$C$4:$C$6))</f>
        <v>1018.98</v>
      </c>
      <c r="G46" s="9">
        <f t="shared" si="0"/>
        <v>116652830.40000001</v>
      </c>
      <c r="H46" s="9">
        <f>G46*'02_Actual_Revenue'!H46</f>
        <v>67658641.631999999</v>
      </c>
      <c r="I46" s="9">
        <f t="shared" si="1"/>
        <v>48994188.768000007</v>
      </c>
      <c r="J46" s="13">
        <f t="shared" si="2"/>
        <v>0.42000000000000004</v>
      </c>
    </row>
    <row r="47" spans="1:10">
      <c r="A47" s="5">
        <f>'02_Actual_Revenue'!A47</f>
        <v>45689</v>
      </c>
      <c r="B47" s="3" t="str">
        <f>'02_Actual_Revenue'!B47</f>
        <v>P002</v>
      </c>
      <c r="C47" s="3" t="str">
        <f>'02_Actual_Revenue'!C47</f>
        <v>R02</v>
      </c>
      <c r="D47" s="7">
        <f>'02_Actual_Revenue'!D47</f>
        <v>91800</v>
      </c>
      <c r="E47" s="7">
        <f>D47*(1+_xlfn.XLOOKUP("Devices",'01_Assumptions'!$A$4:$A$6,'01_Assumptions'!$B$4:$B$6))</f>
        <v>97308</v>
      </c>
      <c r="F47" s="3">
        <f>'02_Actual_Revenue'!E47*(1+_xlfn.XLOOKUP("Devices",'01_Assumptions'!$A$4:$A$6,'01_Assumptions'!$C$4:$C$6))</f>
        <v>1018.98</v>
      </c>
      <c r="G47" s="9">
        <f t="shared" si="0"/>
        <v>99154905.840000004</v>
      </c>
      <c r="H47" s="9">
        <f>G47*'02_Actual_Revenue'!H47</f>
        <v>57509845.387199998</v>
      </c>
      <c r="I47" s="9">
        <f t="shared" si="1"/>
        <v>41645060.452800006</v>
      </c>
      <c r="J47" s="13">
        <f t="shared" si="2"/>
        <v>0.42000000000000004</v>
      </c>
    </row>
    <row r="48" spans="1:10">
      <c r="A48" s="5">
        <f>'02_Actual_Revenue'!A48</f>
        <v>45689</v>
      </c>
      <c r="B48" s="3" t="str">
        <f>'02_Actual_Revenue'!B48</f>
        <v>P002</v>
      </c>
      <c r="C48" s="3" t="str">
        <f>'02_Actual_Revenue'!C48</f>
        <v>R03</v>
      </c>
      <c r="D48" s="7">
        <f>'02_Actual_Revenue'!D48</f>
        <v>102600</v>
      </c>
      <c r="E48" s="7">
        <f>D48*(1+_xlfn.XLOOKUP("Devices",'01_Assumptions'!$A$4:$A$6,'01_Assumptions'!$B$4:$B$6))</f>
        <v>108756</v>
      </c>
      <c r="F48" s="3">
        <f>'02_Actual_Revenue'!E48*(1+_xlfn.XLOOKUP("Devices",'01_Assumptions'!$A$4:$A$6,'01_Assumptions'!$C$4:$C$6))</f>
        <v>1018.98</v>
      </c>
      <c r="G48" s="9">
        <f t="shared" si="0"/>
        <v>110820188.88</v>
      </c>
      <c r="H48" s="9">
        <f>G48*'02_Actual_Revenue'!H48</f>
        <v>64275709.550399996</v>
      </c>
      <c r="I48" s="9">
        <f t="shared" si="1"/>
        <v>46544479.329599999</v>
      </c>
      <c r="J48" s="13">
        <f t="shared" si="2"/>
        <v>0.42</v>
      </c>
    </row>
    <row r="49" spans="1:10">
      <c r="A49" s="5">
        <f>'02_Actual_Revenue'!A49</f>
        <v>45689</v>
      </c>
      <c r="B49" s="3" t="str">
        <f>'02_Actual_Revenue'!B49</f>
        <v>P002</v>
      </c>
      <c r="C49" s="3" t="str">
        <f>'02_Actual_Revenue'!C49</f>
        <v>R04</v>
      </c>
      <c r="D49" s="7">
        <f>'02_Actual_Revenue'!D49</f>
        <v>59400</v>
      </c>
      <c r="E49" s="7">
        <f>D49*(1+_xlfn.XLOOKUP("Devices",'01_Assumptions'!$A$4:$A$6,'01_Assumptions'!$B$4:$B$6))</f>
        <v>62964</v>
      </c>
      <c r="F49" s="3">
        <f>'02_Actual_Revenue'!E49*(1+_xlfn.XLOOKUP("Devices",'01_Assumptions'!$A$4:$A$6,'01_Assumptions'!$C$4:$C$6))</f>
        <v>1018.98</v>
      </c>
      <c r="G49" s="9">
        <f t="shared" si="0"/>
        <v>64159056.719999999</v>
      </c>
      <c r="H49" s="9">
        <f>G49*'02_Actual_Revenue'!H49</f>
        <v>37212252.897599995</v>
      </c>
      <c r="I49" s="9">
        <f t="shared" si="1"/>
        <v>26946803.822400004</v>
      </c>
      <c r="J49" s="13">
        <f t="shared" si="2"/>
        <v>0.42000000000000004</v>
      </c>
    </row>
    <row r="50" spans="1:10">
      <c r="A50" s="5">
        <f>'02_Actual_Revenue'!A50</f>
        <v>45689</v>
      </c>
      <c r="B50" s="3" t="str">
        <f>'02_Actual_Revenue'!B50</f>
        <v>P003</v>
      </c>
      <c r="C50" s="3" t="str">
        <f>'02_Actual_Revenue'!C50</f>
        <v>R01</v>
      </c>
      <c r="D50" s="7">
        <f>'02_Actual_Revenue'!D50</f>
        <v>126000</v>
      </c>
      <c r="E50" s="7">
        <f>D50*(1+_xlfn.XLOOKUP("Devices",'01_Assumptions'!$A$4:$A$6,'01_Assumptions'!$B$4:$B$6))</f>
        <v>133560</v>
      </c>
      <c r="F50" s="3">
        <f>'02_Actual_Revenue'!E50*(1+_xlfn.XLOOKUP("Devices",'01_Assumptions'!$A$4:$A$6,'01_Assumptions'!$C$4:$C$6))</f>
        <v>559.98</v>
      </c>
      <c r="G50" s="9">
        <f t="shared" si="0"/>
        <v>74790928.799999997</v>
      </c>
      <c r="H50" s="9">
        <f>G50*'02_Actual_Revenue'!H50</f>
        <v>44874557.279999994</v>
      </c>
      <c r="I50" s="9">
        <f t="shared" si="1"/>
        <v>29916371.520000003</v>
      </c>
      <c r="J50" s="13">
        <f t="shared" si="2"/>
        <v>0.40000000000000008</v>
      </c>
    </row>
    <row r="51" spans="1:10">
      <c r="A51" s="5">
        <f>'02_Actual_Revenue'!A51</f>
        <v>45689</v>
      </c>
      <c r="B51" s="3" t="str">
        <f>'02_Actual_Revenue'!B51</f>
        <v>P003</v>
      </c>
      <c r="C51" s="3" t="str">
        <f>'02_Actual_Revenue'!C51</f>
        <v>R02</v>
      </c>
      <c r="D51" s="7">
        <f>'02_Actual_Revenue'!D51</f>
        <v>107100</v>
      </c>
      <c r="E51" s="7">
        <f>D51*(1+_xlfn.XLOOKUP("Devices",'01_Assumptions'!$A$4:$A$6,'01_Assumptions'!$B$4:$B$6))</f>
        <v>113526</v>
      </c>
      <c r="F51" s="3">
        <f>'02_Actual_Revenue'!E51*(1+_xlfn.XLOOKUP("Devices",'01_Assumptions'!$A$4:$A$6,'01_Assumptions'!$C$4:$C$6))</f>
        <v>559.98</v>
      </c>
      <c r="G51" s="9">
        <f t="shared" si="0"/>
        <v>63572289.480000004</v>
      </c>
      <c r="H51" s="9">
        <f>G51*'02_Actual_Revenue'!H51</f>
        <v>38143373.688000001</v>
      </c>
      <c r="I51" s="9">
        <f t="shared" si="1"/>
        <v>25428915.792000003</v>
      </c>
      <c r="J51" s="13">
        <f t="shared" si="2"/>
        <v>0.4</v>
      </c>
    </row>
    <row r="52" spans="1:10">
      <c r="A52" s="5">
        <f>'02_Actual_Revenue'!A52</f>
        <v>45689</v>
      </c>
      <c r="B52" s="3" t="str">
        <f>'02_Actual_Revenue'!B52</f>
        <v>P003</v>
      </c>
      <c r="C52" s="3" t="str">
        <f>'02_Actual_Revenue'!C52</f>
        <v>R03</v>
      </c>
      <c r="D52" s="7">
        <f>'02_Actual_Revenue'!D52</f>
        <v>119700</v>
      </c>
      <c r="E52" s="7">
        <f>D52*(1+_xlfn.XLOOKUP("Devices",'01_Assumptions'!$A$4:$A$6,'01_Assumptions'!$B$4:$B$6))</f>
        <v>126882</v>
      </c>
      <c r="F52" s="3">
        <f>'02_Actual_Revenue'!E52*(1+_xlfn.XLOOKUP("Devices",'01_Assumptions'!$A$4:$A$6,'01_Assumptions'!$C$4:$C$6))</f>
        <v>559.98</v>
      </c>
      <c r="G52" s="9">
        <f t="shared" si="0"/>
        <v>71051382.359999999</v>
      </c>
      <c r="H52" s="9">
        <f>G52*'02_Actual_Revenue'!H52</f>
        <v>42630829.416000001</v>
      </c>
      <c r="I52" s="9">
        <f t="shared" si="1"/>
        <v>28420552.943999998</v>
      </c>
      <c r="J52" s="13">
        <f t="shared" si="2"/>
        <v>0.39999999999999997</v>
      </c>
    </row>
    <row r="53" spans="1:10">
      <c r="A53" s="5">
        <f>'02_Actual_Revenue'!A53</f>
        <v>45689</v>
      </c>
      <c r="B53" s="3" t="str">
        <f>'02_Actual_Revenue'!B53</f>
        <v>P003</v>
      </c>
      <c r="C53" s="3" t="str">
        <f>'02_Actual_Revenue'!C53</f>
        <v>R04</v>
      </c>
      <c r="D53" s="7">
        <f>'02_Actual_Revenue'!D53</f>
        <v>69300</v>
      </c>
      <c r="E53" s="7">
        <f>D53*(1+_xlfn.XLOOKUP("Devices",'01_Assumptions'!$A$4:$A$6,'01_Assumptions'!$B$4:$B$6))</f>
        <v>73458</v>
      </c>
      <c r="F53" s="3">
        <f>'02_Actual_Revenue'!E53*(1+_xlfn.XLOOKUP("Devices",'01_Assumptions'!$A$4:$A$6,'01_Assumptions'!$C$4:$C$6))</f>
        <v>559.98</v>
      </c>
      <c r="G53" s="9">
        <f t="shared" si="0"/>
        <v>41135010.840000004</v>
      </c>
      <c r="H53" s="9">
        <f>G53*'02_Actual_Revenue'!H53</f>
        <v>24681006.504000001</v>
      </c>
      <c r="I53" s="9">
        <f t="shared" si="1"/>
        <v>16454004.336000003</v>
      </c>
      <c r="J53" s="13">
        <f t="shared" si="2"/>
        <v>0.4</v>
      </c>
    </row>
    <row r="54" spans="1:10">
      <c r="A54" s="5">
        <f>'02_Actual_Revenue'!A54</f>
        <v>45689</v>
      </c>
      <c r="B54" s="3" t="str">
        <f>'02_Actual_Revenue'!B54</f>
        <v>P004</v>
      </c>
      <c r="C54" s="3" t="str">
        <f>'02_Actual_Revenue'!C54</f>
        <v>R01</v>
      </c>
      <c r="D54" s="7">
        <f>'02_Actual_Revenue'!D54</f>
        <v>63000</v>
      </c>
      <c r="E54" s="7">
        <f>D54*(1+_xlfn.XLOOKUP("Devices",'01_Assumptions'!$A$4:$A$6,'01_Assumptions'!$B$4:$B$6))</f>
        <v>66780</v>
      </c>
      <c r="F54" s="3">
        <f>'02_Actual_Revenue'!E54*(1+_xlfn.XLOOKUP("Devices",'01_Assumptions'!$A$4:$A$6,'01_Assumptions'!$C$4:$C$6))</f>
        <v>1222.98</v>
      </c>
      <c r="G54" s="9">
        <f t="shared" si="0"/>
        <v>81670604.400000006</v>
      </c>
      <c r="H54" s="9">
        <f>G54*'02_Actual_Revenue'!H54</f>
        <v>44918832.420000009</v>
      </c>
      <c r="I54" s="9">
        <f t="shared" si="1"/>
        <v>36751771.979999997</v>
      </c>
      <c r="J54" s="13">
        <f t="shared" si="2"/>
        <v>0.4499999999999999</v>
      </c>
    </row>
    <row r="55" spans="1:10">
      <c r="A55" s="5">
        <f>'02_Actual_Revenue'!A55</f>
        <v>45689</v>
      </c>
      <c r="B55" s="3" t="str">
        <f>'02_Actual_Revenue'!B55</f>
        <v>P004</v>
      </c>
      <c r="C55" s="3" t="str">
        <f>'02_Actual_Revenue'!C55</f>
        <v>R02</v>
      </c>
      <c r="D55" s="7">
        <f>'02_Actual_Revenue'!D55</f>
        <v>53550</v>
      </c>
      <c r="E55" s="7">
        <f>D55*(1+_xlfn.XLOOKUP("Devices",'01_Assumptions'!$A$4:$A$6,'01_Assumptions'!$B$4:$B$6))</f>
        <v>56763</v>
      </c>
      <c r="F55" s="3">
        <f>'02_Actual_Revenue'!E55*(1+_xlfn.XLOOKUP("Devices",'01_Assumptions'!$A$4:$A$6,'01_Assumptions'!$C$4:$C$6))</f>
        <v>1222.98</v>
      </c>
      <c r="G55" s="9">
        <f t="shared" si="0"/>
        <v>69420013.739999995</v>
      </c>
      <c r="H55" s="9">
        <f>G55*'02_Actual_Revenue'!H55</f>
        <v>38181007.557000004</v>
      </c>
      <c r="I55" s="9">
        <f t="shared" si="1"/>
        <v>31239006.182999991</v>
      </c>
      <c r="J55" s="13">
        <f t="shared" si="2"/>
        <v>0.4499999999999999</v>
      </c>
    </row>
    <row r="56" spans="1:10">
      <c r="A56" s="5">
        <f>'02_Actual_Revenue'!A56</f>
        <v>45689</v>
      </c>
      <c r="B56" s="3" t="str">
        <f>'02_Actual_Revenue'!B56</f>
        <v>P004</v>
      </c>
      <c r="C56" s="3" t="str">
        <f>'02_Actual_Revenue'!C56</f>
        <v>R03</v>
      </c>
      <c r="D56" s="7">
        <f>'02_Actual_Revenue'!D56</f>
        <v>59850</v>
      </c>
      <c r="E56" s="7">
        <f>D56*(1+_xlfn.XLOOKUP("Devices",'01_Assumptions'!$A$4:$A$6,'01_Assumptions'!$B$4:$B$6))</f>
        <v>63441</v>
      </c>
      <c r="F56" s="3">
        <f>'02_Actual_Revenue'!E56*(1+_xlfn.XLOOKUP("Devices",'01_Assumptions'!$A$4:$A$6,'01_Assumptions'!$C$4:$C$6))</f>
        <v>1222.98</v>
      </c>
      <c r="G56" s="9">
        <f t="shared" si="0"/>
        <v>77587074.180000007</v>
      </c>
      <c r="H56" s="9">
        <f>G56*'02_Actual_Revenue'!H56</f>
        <v>42672890.79900001</v>
      </c>
      <c r="I56" s="9">
        <f t="shared" si="1"/>
        <v>34914183.380999997</v>
      </c>
      <c r="J56" s="13">
        <f t="shared" si="2"/>
        <v>0.4499999999999999</v>
      </c>
    </row>
    <row r="57" spans="1:10">
      <c r="A57" s="5">
        <f>'02_Actual_Revenue'!A57</f>
        <v>45689</v>
      </c>
      <c r="B57" s="3" t="str">
        <f>'02_Actual_Revenue'!B57</f>
        <v>P004</v>
      </c>
      <c r="C57" s="3" t="str">
        <f>'02_Actual_Revenue'!C57</f>
        <v>R04</v>
      </c>
      <c r="D57" s="7">
        <f>'02_Actual_Revenue'!D57</f>
        <v>34650</v>
      </c>
      <c r="E57" s="7">
        <f>D57*(1+_xlfn.XLOOKUP("Devices",'01_Assumptions'!$A$4:$A$6,'01_Assumptions'!$B$4:$B$6))</f>
        <v>36729</v>
      </c>
      <c r="F57" s="3">
        <f>'02_Actual_Revenue'!E57*(1+_xlfn.XLOOKUP("Devices",'01_Assumptions'!$A$4:$A$6,'01_Assumptions'!$C$4:$C$6))</f>
        <v>1222.98</v>
      </c>
      <c r="G57" s="9">
        <f t="shared" si="0"/>
        <v>44918832.420000002</v>
      </c>
      <c r="H57" s="9">
        <f>G57*'02_Actual_Revenue'!H57</f>
        <v>24705357.831000004</v>
      </c>
      <c r="I57" s="9">
        <f t="shared" si="1"/>
        <v>20213474.588999998</v>
      </c>
      <c r="J57" s="13">
        <f t="shared" si="2"/>
        <v>0.44999999999999996</v>
      </c>
    </row>
    <row r="58" spans="1:10">
      <c r="A58" s="5">
        <f>'02_Actual_Revenue'!A58</f>
        <v>45689</v>
      </c>
      <c r="B58" s="3" t="str">
        <f>'02_Actual_Revenue'!B58</f>
        <v>P005</v>
      </c>
      <c r="C58" s="3" t="str">
        <f>'02_Actual_Revenue'!C58</f>
        <v>R01</v>
      </c>
      <c r="D58" s="7">
        <f>'02_Actual_Revenue'!D58</f>
        <v>162000</v>
      </c>
      <c r="E58" s="7">
        <f>D58*(1+_xlfn.XLOOKUP("Devices",'01_Assumptions'!$A$4:$A$6,'01_Assumptions'!$B$4:$B$6))</f>
        <v>171720</v>
      </c>
      <c r="F58" s="3">
        <f>'02_Actual_Revenue'!E58*(1+_xlfn.XLOOKUP("Devices",'01_Assumptions'!$A$4:$A$6,'01_Assumptions'!$C$4:$C$6))</f>
        <v>304.98</v>
      </c>
      <c r="G58" s="9">
        <f t="shared" si="0"/>
        <v>52371165.600000001</v>
      </c>
      <c r="H58" s="9">
        <f>G58*'02_Actual_Revenue'!H58</f>
        <v>26185582.800000001</v>
      </c>
      <c r="I58" s="9">
        <f t="shared" si="1"/>
        <v>26185582.800000001</v>
      </c>
      <c r="J58" s="13">
        <f t="shared" si="2"/>
        <v>0.5</v>
      </c>
    </row>
    <row r="59" spans="1:10">
      <c r="A59" s="5">
        <f>'02_Actual_Revenue'!A59</f>
        <v>45689</v>
      </c>
      <c r="B59" s="3" t="str">
        <f>'02_Actual_Revenue'!B59</f>
        <v>P005</v>
      </c>
      <c r="C59" s="3" t="str">
        <f>'02_Actual_Revenue'!C59</f>
        <v>R02</v>
      </c>
      <c r="D59" s="7">
        <f>'02_Actual_Revenue'!D59</f>
        <v>137700</v>
      </c>
      <c r="E59" s="7">
        <f>D59*(1+_xlfn.XLOOKUP("Devices",'01_Assumptions'!$A$4:$A$6,'01_Assumptions'!$B$4:$B$6))</f>
        <v>145962</v>
      </c>
      <c r="F59" s="3">
        <f>'02_Actual_Revenue'!E59*(1+_xlfn.XLOOKUP("Devices",'01_Assumptions'!$A$4:$A$6,'01_Assumptions'!$C$4:$C$6))</f>
        <v>304.98</v>
      </c>
      <c r="G59" s="9">
        <f t="shared" si="0"/>
        <v>44515490.760000005</v>
      </c>
      <c r="H59" s="9">
        <f>G59*'02_Actual_Revenue'!H59</f>
        <v>22257745.380000003</v>
      </c>
      <c r="I59" s="9">
        <f t="shared" si="1"/>
        <v>22257745.380000003</v>
      </c>
      <c r="J59" s="13">
        <f t="shared" si="2"/>
        <v>0.5</v>
      </c>
    </row>
    <row r="60" spans="1:10">
      <c r="A60" s="5">
        <f>'02_Actual_Revenue'!A60</f>
        <v>45689</v>
      </c>
      <c r="B60" s="3" t="str">
        <f>'02_Actual_Revenue'!B60</f>
        <v>P005</v>
      </c>
      <c r="C60" s="3" t="str">
        <f>'02_Actual_Revenue'!C60</f>
        <v>R03</v>
      </c>
      <c r="D60" s="7">
        <f>'02_Actual_Revenue'!D60</f>
        <v>153900</v>
      </c>
      <c r="E60" s="7">
        <f>D60*(1+_xlfn.XLOOKUP("Devices",'01_Assumptions'!$A$4:$A$6,'01_Assumptions'!$B$4:$B$6))</f>
        <v>163134</v>
      </c>
      <c r="F60" s="3">
        <f>'02_Actual_Revenue'!E60*(1+_xlfn.XLOOKUP("Devices",'01_Assumptions'!$A$4:$A$6,'01_Assumptions'!$C$4:$C$6))</f>
        <v>304.98</v>
      </c>
      <c r="G60" s="9">
        <f t="shared" si="0"/>
        <v>49752607.32</v>
      </c>
      <c r="H60" s="9">
        <f>G60*'02_Actual_Revenue'!H60</f>
        <v>24876303.66</v>
      </c>
      <c r="I60" s="9">
        <f t="shared" si="1"/>
        <v>24876303.66</v>
      </c>
      <c r="J60" s="13">
        <f t="shared" si="2"/>
        <v>0.5</v>
      </c>
    </row>
    <row r="61" spans="1:10">
      <c r="A61" s="5">
        <f>'02_Actual_Revenue'!A61</f>
        <v>45689</v>
      </c>
      <c r="B61" s="3" t="str">
        <f>'02_Actual_Revenue'!B61</f>
        <v>P005</v>
      </c>
      <c r="C61" s="3" t="str">
        <f>'02_Actual_Revenue'!C61</f>
        <v>R04</v>
      </c>
      <c r="D61" s="7">
        <f>'02_Actual_Revenue'!D61</f>
        <v>89100</v>
      </c>
      <c r="E61" s="7">
        <f>D61*(1+_xlfn.XLOOKUP("Devices",'01_Assumptions'!$A$4:$A$6,'01_Assumptions'!$B$4:$B$6))</f>
        <v>94446</v>
      </c>
      <c r="F61" s="3">
        <f>'02_Actual_Revenue'!E61*(1+_xlfn.XLOOKUP("Devices",'01_Assumptions'!$A$4:$A$6,'01_Assumptions'!$C$4:$C$6))</f>
        <v>304.98</v>
      </c>
      <c r="G61" s="9">
        <f t="shared" si="0"/>
        <v>28804141.080000002</v>
      </c>
      <c r="H61" s="9">
        <f>G61*'02_Actual_Revenue'!H61</f>
        <v>14402070.540000001</v>
      </c>
      <c r="I61" s="9">
        <f t="shared" si="1"/>
        <v>14402070.540000001</v>
      </c>
      <c r="J61" s="13">
        <f t="shared" si="2"/>
        <v>0.5</v>
      </c>
    </row>
    <row r="62" spans="1:10">
      <c r="A62" s="5">
        <f>'02_Actual_Revenue'!A62</f>
        <v>45689</v>
      </c>
      <c r="B62" s="3" t="str">
        <f>'02_Actual_Revenue'!B62</f>
        <v>P006</v>
      </c>
      <c r="C62" s="3" t="str">
        <f>'02_Actual_Revenue'!C62</f>
        <v>R01</v>
      </c>
      <c r="D62" s="7">
        <f>'02_Actual_Revenue'!D62</f>
        <v>540000</v>
      </c>
      <c r="E62" s="7">
        <f>D62*(1+_xlfn.XLOOKUP("Cloud &amp; Software",'01_Assumptions'!$A$4:$A$6,'01_Assumptions'!$B$4:$B$6))</f>
        <v>594000</v>
      </c>
      <c r="F62" s="3">
        <f>'02_Actual_Revenue'!E62*(1+_xlfn.XLOOKUP("Cloud &amp; Software",'01_Assumptions'!$A$4:$A$6,'01_Assumptions'!$C$4:$C$6))</f>
        <v>40.17</v>
      </c>
      <c r="G62" s="9">
        <f t="shared" si="0"/>
        <v>23860980</v>
      </c>
      <c r="H62" s="9">
        <f>G62*'02_Actual_Revenue'!H62</f>
        <v>5965245</v>
      </c>
      <c r="I62" s="9">
        <f t="shared" si="1"/>
        <v>17895735</v>
      </c>
      <c r="J62" s="13">
        <f t="shared" si="2"/>
        <v>0.75</v>
      </c>
    </row>
    <row r="63" spans="1:10">
      <c r="A63" s="5">
        <f>'02_Actual_Revenue'!A63</f>
        <v>45689</v>
      </c>
      <c r="B63" s="3" t="str">
        <f>'02_Actual_Revenue'!B63</f>
        <v>P006</v>
      </c>
      <c r="C63" s="3" t="str">
        <f>'02_Actual_Revenue'!C63</f>
        <v>R02</v>
      </c>
      <c r="D63" s="7">
        <f>'02_Actual_Revenue'!D63</f>
        <v>459000</v>
      </c>
      <c r="E63" s="7">
        <f>D63*(1+_xlfn.XLOOKUP("Cloud &amp; Software",'01_Assumptions'!$A$4:$A$6,'01_Assumptions'!$B$4:$B$6))</f>
        <v>504900.00000000006</v>
      </c>
      <c r="F63" s="3">
        <f>'02_Actual_Revenue'!E63*(1+_xlfn.XLOOKUP("Cloud &amp; Software",'01_Assumptions'!$A$4:$A$6,'01_Assumptions'!$C$4:$C$6))</f>
        <v>40.17</v>
      </c>
      <c r="G63" s="9">
        <f t="shared" si="0"/>
        <v>20281833.000000004</v>
      </c>
      <c r="H63" s="9">
        <f>G63*'02_Actual_Revenue'!H63</f>
        <v>5070458.2500000009</v>
      </c>
      <c r="I63" s="9">
        <f t="shared" si="1"/>
        <v>15211374.750000004</v>
      </c>
      <c r="J63" s="13">
        <f t="shared" si="2"/>
        <v>0.75</v>
      </c>
    </row>
    <row r="64" spans="1:10">
      <c r="A64" s="5">
        <f>'02_Actual_Revenue'!A64</f>
        <v>45689</v>
      </c>
      <c r="B64" s="3" t="str">
        <f>'02_Actual_Revenue'!B64</f>
        <v>P006</v>
      </c>
      <c r="C64" s="3" t="str">
        <f>'02_Actual_Revenue'!C64</f>
        <v>R03</v>
      </c>
      <c r="D64" s="7">
        <f>'02_Actual_Revenue'!D64</f>
        <v>513000</v>
      </c>
      <c r="E64" s="7">
        <f>D64*(1+_xlfn.XLOOKUP("Cloud &amp; Software",'01_Assumptions'!$A$4:$A$6,'01_Assumptions'!$B$4:$B$6))</f>
        <v>564300</v>
      </c>
      <c r="F64" s="3">
        <f>'02_Actual_Revenue'!E64*(1+_xlfn.XLOOKUP("Cloud &amp; Software",'01_Assumptions'!$A$4:$A$6,'01_Assumptions'!$C$4:$C$6))</f>
        <v>40.17</v>
      </c>
      <c r="G64" s="9">
        <f t="shared" si="0"/>
        <v>22667931</v>
      </c>
      <c r="H64" s="9">
        <f>G64*'02_Actual_Revenue'!H64</f>
        <v>5666982.75</v>
      </c>
      <c r="I64" s="9">
        <f t="shared" si="1"/>
        <v>17000948.25</v>
      </c>
      <c r="J64" s="13">
        <f t="shared" si="2"/>
        <v>0.75</v>
      </c>
    </row>
    <row r="65" spans="1:10">
      <c r="A65" s="5">
        <f>'02_Actual_Revenue'!A65</f>
        <v>45689</v>
      </c>
      <c r="B65" s="3" t="str">
        <f>'02_Actual_Revenue'!B65</f>
        <v>P006</v>
      </c>
      <c r="C65" s="3" t="str">
        <f>'02_Actual_Revenue'!C65</f>
        <v>R04</v>
      </c>
      <c r="D65" s="7">
        <f>'02_Actual_Revenue'!D65</f>
        <v>297000</v>
      </c>
      <c r="E65" s="7">
        <f>D65*(1+_xlfn.XLOOKUP("Cloud &amp; Software",'01_Assumptions'!$A$4:$A$6,'01_Assumptions'!$B$4:$B$6))</f>
        <v>326700</v>
      </c>
      <c r="F65" s="3">
        <f>'02_Actual_Revenue'!E65*(1+_xlfn.XLOOKUP("Cloud &amp; Software",'01_Assumptions'!$A$4:$A$6,'01_Assumptions'!$C$4:$C$6))</f>
        <v>40.17</v>
      </c>
      <c r="G65" s="9">
        <f t="shared" si="0"/>
        <v>13123539</v>
      </c>
      <c r="H65" s="9">
        <f>G65*'02_Actual_Revenue'!H65</f>
        <v>3280884.75</v>
      </c>
      <c r="I65" s="9">
        <f t="shared" si="1"/>
        <v>9842654.25</v>
      </c>
      <c r="J65" s="13">
        <f t="shared" si="2"/>
        <v>0.75</v>
      </c>
    </row>
    <row r="66" spans="1:10">
      <c r="A66" s="5">
        <f>'02_Actual_Revenue'!A66</f>
        <v>45689</v>
      </c>
      <c r="B66" s="3" t="str">
        <f>'02_Actual_Revenue'!B66</f>
        <v>P007</v>
      </c>
      <c r="C66" s="3" t="str">
        <f>'02_Actual_Revenue'!C66</f>
        <v>R01</v>
      </c>
      <c r="D66" s="7">
        <f>'02_Actual_Revenue'!D66</f>
        <v>360000</v>
      </c>
      <c r="E66" s="7">
        <f>D66*(1+_xlfn.XLOOKUP("Cloud &amp; Software",'01_Assumptions'!$A$4:$A$6,'01_Assumptions'!$B$4:$B$6))</f>
        <v>396000.00000000006</v>
      </c>
      <c r="F66" s="3">
        <f>'02_Actual_Revenue'!E66*(1+_xlfn.XLOOKUP("Cloud &amp; Software",'01_Assumptions'!$A$4:$A$6,'01_Assumptions'!$C$4:$C$6))</f>
        <v>24.72</v>
      </c>
      <c r="G66" s="9">
        <f t="shared" si="0"/>
        <v>9789120.0000000019</v>
      </c>
      <c r="H66" s="9">
        <f>G66*'02_Actual_Revenue'!H66</f>
        <v>1957824.0000000005</v>
      </c>
      <c r="I66" s="9">
        <f t="shared" si="1"/>
        <v>7831296.0000000019</v>
      </c>
      <c r="J66" s="13">
        <f t="shared" si="2"/>
        <v>0.8</v>
      </c>
    </row>
    <row r="67" spans="1:10">
      <c r="A67" s="5">
        <f>'02_Actual_Revenue'!A67</f>
        <v>45689</v>
      </c>
      <c r="B67" s="3" t="str">
        <f>'02_Actual_Revenue'!B67</f>
        <v>P007</v>
      </c>
      <c r="C67" s="3" t="str">
        <f>'02_Actual_Revenue'!C67</f>
        <v>R02</v>
      </c>
      <c r="D67" s="7">
        <f>'02_Actual_Revenue'!D67</f>
        <v>306000</v>
      </c>
      <c r="E67" s="7">
        <f>D67*(1+_xlfn.XLOOKUP("Cloud &amp; Software",'01_Assumptions'!$A$4:$A$6,'01_Assumptions'!$B$4:$B$6))</f>
        <v>336600</v>
      </c>
      <c r="F67" s="3">
        <f>'02_Actual_Revenue'!E67*(1+_xlfn.XLOOKUP("Cloud &amp; Software",'01_Assumptions'!$A$4:$A$6,'01_Assumptions'!$C$4:$C$6))</f>
        <v>24.72</v>
      </c>
      <c r="G67" s="9">
        <f t="shared" ref="G67:G130" si="3">E67*F67</f>
        <v>8320752</v>
      </c>
      <c r="H67" s="9">
        <f>G67*'02_Actual_Revenue'!H67</f>
        <v>1664150.4000000001</v>
      </c>
      <c r="I67" s="9">
        <f t="shared" ref="I67:I130" si="4">G67-H67</f>
        <v>6656601.5999999996</v>
      </c>
      <c r="J67" s="13">
        <f t="shared" ref="J67:J130" si="5">I67/G67</f>
        <v>0.79999999999999993</v>
      </c>
    </row>
    <row r="68" spans="1:10">
      <c r="A68" s="5">
        <f>'02_Actual_Revenue'!A68</f>
        <v>45689</v>
      </c>
      <c r="B68" s="3" t="str">
        <f>'02_Actual_Revenue'!B68</f>
        <v>P007</v>
      </c>
      <c r="C68" s="3" t="str">
        <f>'02_Actual_Revenue'!C68</f>
        <v>R03</v>
      </c>
      <c r="D68" s="7">
        <f>'02_Actual_Revenue'!D68</f>
        <v>342000</v>
      </c>
      <c r="E68" s="7">
        <f>D68*(1+_xlfn.XLOOKUP("Cloud &amp; Software",'01_Assumptions'!$A$4:$A$6,'01_Assumptions'!$B$4:$B$6))</f>
        <v>376200.00000000006</v>
      </c>
      <c r="F68" s="3">
        <f>'02_Actual_Revenue'!E68*(1+_xlfn.XLOOKUP("Cloud &amp; Software",'01_Assumptions'!$A$4:$A$6,'01_Assumptions'!$C$4:$C$6))</f>
        <v>24.72</v>
      </c>
      <c r="G68" s="9">
        <f t="shared" si="3"/>
        <v>9299664.0000000019</v>
      </c>
      <c r="H68" s="9">
        <f>G68*'02_Actual_Revenue'!H68</f>
        <v>1859932.8000000005</v>
      </c>
      <c r="I68" s="9">
        <f t="shared" si="4"/>
        <v>7439731.2000000011</v>
      </c>
      <c r="J68" s="13">
        <f t="shared" si="5"/>
        <v>0.79999999999999993</v>
      </c>
    </row>
    <row r="69" spans="1:10">
      <c r="A69" s="5">
        <f>'02_Actual_Revenue'!A69</f>
        <v>45689</v>
      </c>
      <c r="B69" s="3" t="str">
        <f>'02_Actual_Revenue'!B69</f>
        <v>P007</v>
      </c>
      <c r="C69" s="3" t="str">
        <f>'02_Actual_Revenue'!C69</f>
        <v>R04</v>
      </c>
      <c r="D69" s="7">
        <f>'02_Actual_Revenue'!D69</f>
        <v>198000</v>
      </c>
      <c r="E69" s="7">
        <f>D69*(1+_xlfn.XLOOKUP("Cloud &amp; Software",'01_Assumptions'!$A$4:$A$6,'01_Assumptions'!$B$4:$B$6))</f>
        <v>217800.00000000003</v>
      </c>
      <c r="F69" s="3">
        <f>'02_Actual_Revenue'!E69*(1+_xlfn.XLOOKUP("Cloud &amp; Software",'01_Assumptions'!$A$4:$A$6,'01_Assumptions'!$C$4:$C$6))</f>
        <v>24.72</v>
      </c>
      <c r="G69" s="9">
        <f t="shared" si="3"/>
        <v>5384016.0000000009</v>
      </c>
      <c r="H69" s="9">
        <f>G69*'02_Actual_Revenue'!H69</f>
        <v>1076803.2000000002</v>
      </c>
      <c r="I69" s="9">
        <f t="shared" si="4"/>
        <v>4307212.8000000007</v>
      </c>
      <c r="J69" s="13">
        <f t="shared" si="5"/>
        <v>0.8</v>
      </c>
    </row>
    <row r="70" spans="1:10">
      <c r="A70" s="5">
        <f>'02_Actual_Revenue'!A70</f>
        <v>45689</v>
      </c>
      <c r="B70" s="3" t="str">
        <f>'02_Actual_Revenue'!B70</f>
        <v>P008</v>
      </c>
      <c r="C70" s="3" t="str">
        <f>'02_Actual_Revenue'!C70</f>
        <v>R01</v>
      </c>
      <c r="D70" s="7">
        <f>'02_Actual_Revenue'!D70</f>
        <v>1080000</v>
      </c>
      <c r="E70" s="7">
        <f>D70*(1+_xlfn.XLOOKUP("Digital Services",'01_Assumptions'!$A$4:$A$6,'01_Assumptions'!$B$4:$B$6))</f>
        <v>1166400</v>
      </c>
      <c r="F70" s="3">
        <f>'02_Actual_Revenue'!E70*(1+_xlfn.XLOOKUP("Digital Services",'01_Assumptions'!$A$4:$A$6,'01_Assumptions'!$C$4:$C$6))</f>
        <v>12.24</v>
      </c>
      <c r="G70" s="9">
        <f t="shared" si="3"/>
        <v>14276736</v>
      </c>
      <c r="H70" s="9">
        <f>G70*'02_Actual_Revenue'!H70</f>
        <v>4283020.8</v>
      </c>
      <c r="I70" s="9">
        <f t="shared" si="4"/>
        <v>9993715.1999999993</v>
      </c>
      <c r="J70" s="13">
        <f t="shared" si="5"/>
        <v>0.7</v>
      </c>
    </row>
    <row r="71" spans="1:10">
      <c r="A71" s="5">
        <f>'02_Actual_Revenue'!A71</f>
        <v>45689</v>
      </c>
      <c r="B71" s="3" t="str">
        <f>'02_Actual_Revenue'!B71</f>
        <v>P008</v>
      </c>
      <c r="C71" s="3" t="str">
        <f>'02_Actual_Revenue'!C71</f>
        <v>R02</v>
      </c>
      <c r="D71" s="7">
        <f>'02_Actual_Revenue'!D71</f>
        <v>918000</v>
      </c>
      <c r="E71" s="7">
        <f>D71*(1+_xlfn.XLOOKUP("Digital Services",'01_Assumptions'!$A$4:$A$6,'01_Assumptions'!$B$4:$B$6))</f>
        <v>991440.00000000012</v>
      </c>
      <c r="F71" s="3">
        <f>'02_Actual_Revenue'!E71*(1+_xlfn.XLOOKUP("Digital Services",'01_Assumptions'!$A$4:$A$6,'01_Assumptions'!$C$4:$C$6))</f>
        <v>12.24</v>
      </c>
      <c r="G71" s="9">
        <f t="shared" si="3"/>
        <v>12135225.600000001</v>
      </c>
      <c r="H71" s="9">
        <f>G71*'02_Actual_Revenue'!H71</f>
        <v>3640567.68</v>
      </c>
      <c r="I71" s="9">
        <f t="shared" si="4"/>
        <v>8494657.9200000018</v>
      </c>
      <c r="J71" s="13">
        <f t="shared" si="5"/>
        <v>0.70000000000000007</v>
      </c>
    </row>
    <row r="72" spans="1:10">
      <c r="A72" s="5">
        <f>'02_Actual_Revenue'!A72</f>
        <v>45689</v>
      </c>
      <c r="B72" s="3" t="str">
        <f>'02_Actual_Revenue'!B72</f>
        <v>P008</v>
      </c>
      <c r="C72" s="3" t="str">
        <f>'02_Actual_Revenue'!C72</f>
        <v>R03</v>
      </c>
      <c r="D72" s="7">
        <f>'02_Actual_Revenue'!D72</f>
        <v>1026000</v>
      </c>
      <c r="E72" s="7">
        <f>D72*(1+_xlfn.XLOOKUP("Digital Services",'01_Assumptions'!$A$4:$A$6,'01_Assumptions'!$B$4:$B$6))</f>
        <v>1108080</v>
      </c>
      <c r="F72" s="3">
        <f>'02_Actual_Revenue'!E72*(1+_xlfn.XLOOKUP("Digital Services",'01_Assumptions'!$A$4:$A$6,'01_Assumptions'!$C$4:$C$6))</f>
        <v>12.24</v>
      </c>
      <c r="G72" s="9">
        <f t="shared" si="3"/>
        <v>13562899.200000001</v>
      </c>
      <c r="H72" s="9">
        <f>G72*'02_Actual_Revenue'!H72</f>
        <v>4068869.7600000002</v>
      </c>
      <c r="I72" s="9">
        <f t="shared" si="4"/>
        <v>9494029.4400000013</v>
      </c>
      <c r="J72" s="13">
        <f t="shared" si="5"/>
        <v>0.70000000000000007</v>
      </c>
    </row>
    <row r="73" spans="1:10">
      <c r="A73" s="5">
        <f>'02_Actual_Revenue'!A73</f>
        <v>45689</v>
      </c>
      <c r="B73" s="3" t="str">
        <f>'02_Actual_Revenue'!B73</f>
        <v>P008</v>
      </c>
      <c r="C73" s="3" t="str">
        <f>'02_Actual_Revenue'!C73</f>
        <v>R04</v>
      </c>
      <c r="D73" s="7">
        <f>'02_Actual_Revenue'!D73</f>
        <v>594000</v>
      </c>
      <c r="E73" s="7">
        <f>D73*(1+_xlfn.XLOOKUP("Digital Services",'01_Assumptions'!$A$4:$A$6,'01_Assumptions'!$B$4:$B$6))</f>
        <v>641520</v>
      </c>
      <c r="F73" s="3">
        <f>'02_Actual_Revenue'!E73*(1+_xlfn.XLOOKUP("Digital Services",'01_Assumptions'!$A$4:$A$6,'01_Assumptions'!$C$4:$C$6))</f>
        <v>12.24</v>
      </c>
      <c r="G73" s="9">
        <f t="shared" si="3"/>
        <v>7852204.7999999998</v>
      </c>
      <c r="H73" s="9">
        <f>G73*'02_Actual_Revenue'!H73</f>
        <v>2355661.44</v>
      </c>
      <c r="I73" s="9">
        <f t="shared" si="4"/>
        <v>5496543.3599999994</v>
      </c>
      <c r="J73" s="13">
        <f t="shared" si="5"/>
        <v>0.7</v>
      </c>
    </row>
    <row r="74" spans="1:10">
      <c r="A74" s="5">
        <f>'02_Actual_Revenue'!A74</f>
        <v>45689</v>
      </c>
      <c r="B74" s="3" t="str">
        <f>'02_Actual_Revenue'!B74</f>
        <v>P009</v>
      </c>
      <c r="C74" s="3" t="str">
        <f>'02_Actual_Revenue'!C74</f>
        <v>R01</v>
      </c>
      <c r="D74" s="7">
        <f>'02_Actual_Revenue'!D74</f>
        <v>720000</v>
      </c>
      <c r="E74" s="7">
        <f>D74*(1+_xlfn.XLOOKUP("Digital Services",'01_Assumptions'!$A$4:$A$6,'01_Assumptions'!$B$4:$B$6))</f>
        <v>777600</v>
      </c>
      <c r="F74" s="3">
        <f>'02_Actual_Revenue'!E74*(1+_xlfn.XLOOKUP("Digital Services",'01_Assumptions'!$A$4:$A$6,'01_Assumptions'!$C$4:$C$6))</f>
        <v>15.3</v>
      </c>
      <c r="G74" s="9">
        <f t="shared" si="3"/>
        <v>11897280</v>
      </c>
      <c r="H74" s="9">
        <f>G74*'02_Actual_Revenue'!H74</f>
        <v>4164047.9999999995</v>
      </c>
      <c r="I74" s="9">
        <f t="shared" si="4"/>
        <v>7733232</v>
      </c>
      <c r="J74" s="13">
        <f t="shared" si="5"/>
        <v>0.65</v>
      </c>
    </row>
    <row r="75" spans="1:10">
      <c r="A75" s="5">
        <f>'02_Actual_Revenue'!A75</f>
        <v>45689</v>
      </c>
      <c r="B75" s="3" t="str">
        <f>'02_Actual_Revenue'!B75</f>
        <v>P009</v>
      </c>
      <c r="C75" s="3" t="str">
        <f>'02_Actual_Revenue'!C75</f>
        <v>R02</v>
      </c>
      <c r="D75" s="7">
        <f>'02_Actual_Revenue'!D75</f>
        <v>612000</v>
      </c>
      <c r="E75" s="7">
        <f>D75*(1+_xlfn.XLOOKUP("Digital Services",'01_Assumptions'!$A$4:$A$6,'01_Assumptions'!$B$4:$B$6))</f>
        <v>660960</v>
      </c>
      <c r="F75" s="3">
        <f>'02_Actual_Revenue'!E75*(1+_xlfn.XLOOKUP("Digital Services",'01_Assumptions'!$A$4:$A$6,'01_Assumptions'!$C$4:$C$6))</f>
        <v>15.3</v>
      </c>
      <c r="G75" s="9">
        <f t="shared" si="3"/>
        <v>10112688</v>
      </c>
      <c r="H75" s="9">
        <f>G75*'02_Actual_Revenue'!H75</f>
        <v>3539440.8</v>
      </c>
      <c r="I75" s="9">
        <f t="shared" si="4"/>
        <v>6573247.2000000002</v>
      </c>
      <c r="J75" s="13">
        <f t="shared" si="5"/>
        <v>0.65</v>
      </c>
    </row>
    <row r="76" spans="1:10">
      <c r="A76" s="5">
        <f>'02_Actual_Revenue'!A76</f>
        <v>45689</v>
      </c>
      <c r="B76" s="3" t="str">
        <f>'02_Actual_Revenue'!B76</f>
        <v>P009</v>
      </c>
      <c r="C76" s="3" t="str">
        <f>'02_Actual_Revenue'!C76</f>
        <v>R03</v>
      </c>
      <c r="D76" s="7">
        <f>'02_Actual_Revenue'!D76</f>
        <v>684000</v>
      </c>
      <c r="E76" s="7">
        <f>D76*(1+_xlfn.XLOOKUP("Digital Services",'01_Assumptions'!$A$4:$A$6,'01_Assumptions'!$B$4:$B$6))</f>
        <v>738720</v>
      </c>
      <c r="F76" s="3">
        <f>'02_Actual_Revenue'!E76*(1+_xlfn.XLOOKUP("Digital Services",'01_Assumptions'!$A$4:$A$6,'01_Assumptions'!$C$4:$C$6))</f>
        <v>15.3</v>
      </c>
      <c r="G76" s="9">
        <f t="shared" si="3"/>
        <v>11302416</v>
      </c>
      <c r="H76" s="9">
        <f>G76*'02_Actual_Revenue'!H76</f>
        <v>3955845.5999999996</v>
      </c>
      <c r="I76" s="9">
        <f t="shared" si="4"/>
        <v>7346570.4000000004</v>
      </c>
      <c r="J76" s="13">
        <f t="shared" si="5"/>
        <v>0.65</v>
      </c>
    </row>
    <row r="77" spans="1:10">
      <c r="A77" s="5">
        <f>'02_Actual_Revenue'!A77</f>
        <v>45689</v>
      </c>
      <c r="B77" s="3" t="str">
        <f>'02_Actual_Revenue'!B77</f>
        <v>P009</v>
      </c>
      <c r="C77" s="3" t="str">
        <f>'02_Actual_Revenue'!C77</f>
        <v>R04</v>
      </c>
      <c r="D77" s="7">
        <f>'02_Actual_Revenue'!D77</f>
        <v>396000</v>
      </c>
      <c r="E77" s="7">
        <f>D77*(1+_xlfn.XLOOKUP("Digital Services",'01_Assumptions'!$A$4:$A$6,'01_Assumptions'!$B$4:$B$6))</f>
        <v>427680</v>
      </c>
      <c r="F77" s="3">
        <f>'02_Actual_Revenue'!E77*(1+_xlfn.XLOOKUP("Digital Services",'01_Assumptions'!$A$4:$A$6,'01_Assumptions'!$C$4:$C$6))</f>
        <v>15.3</v>
      </c>
      <c r="G77" s="9">
        <f t="shared" si="3"/>
        <v>6543504</v>
      </c>
      <c r="H77" s="9">
        <f>G77*'02_Actual_Revenue'!H77</f>
        <v>2290226.4</v>
      </c>
      <c r="I77" s="9">
        <f t="shared" si="4"/>
        <v>4253277.5999999996</v>
      </c>
      <c r="J77" s="13">
        <f t="shared" si="5"/>
        <v>0.64999999999999991</v>
      </c>
    </row>
    <row r="78" spans="1:10">
      <c r="A78" s="5">
        <f>'02_Actual_Revenue'!A78</f>
        <v>45689</v>
      </c>
      <c r="B78" s="3" t="str">
        <f>'02_Actual_Revenue'!B78</f>
        <v>P010</v>
      </c>
      <c r="C78" s="3" t="str">
        <f>'02_Actual_Revenue'!C78</f>
        <v>R01</v>
      </c>
      <c r="D78" s="7">
        <f>'02_Actual_Revenue'!D78</f>
        <v>810000</v>
      </c>
      <c r="E78" s="7">
        <f>D78*(1+_xlfn.XLOOKUP("Digital Services",'01_Assumptions'!$A$4:$A$6,'01_Assumptions'!$B$4:$B$6))</f>
        <v>874800</v>
      </c>
      <c r="F78" s="3">
        <f>'02_Actual_Revenue'!E78*(1+_xlfn.XLOOKUP("Digital Services",'01_Assumptions'!$A$4:$A$6,'01_Assumptions'!$C$4:$C$6))</f>
        <v>8.16</v>
      </c>
      <c r="G78" s="9">
        <f t="shared" si="3"/>
        <v>7138368</v>
      </c>
      <c r="H78" s="9">
        <f>G78*'02_Actual_Revenue'!H78</f>
        <v>1070755.2</v>
      </c>
      <c r="I78" s="9">
        <f t="shared" si="4"/>
        <v>6067612.7999999998</v>
      </c>
      <c r="J78" s="13">
        <f t="shared" si="5"/>
        <v>0.85</v>
      </c>
    </row>
    <row r="79" spans="1:10">
      <c r="A79" s="5">
        <f>'02_Actual_Revenue'!A79</f>
        <v>45689</v>
      </c>
      <c r="B79" s="3" t="str">
        <f>'02_Actual_Revenue'!B79</f>
        <v>P010</v>
      </c>
      <c r="C79" s="3" t="str">
        <f>'02_Actual_Revenue'!C79</f>
        <v>R02</v>
      </c>
      <c r="D79" s="7">
        <f>'02_Actual_Revenue'!D79</f>
        <v>688500</v>
      </c>
      <c r="E79" s="7">
        <f>D79*(1+_xlfn.XLOOKUP("Digital Services",'01_Assumptions'!$A$4:$A$6,'01_Assumptions'!$B$4:$B$6))</f>
        <v>743580</v>
      </c>
      <c r="F79" s="3">
        <f>'02_Actual_Revenue'!E79*(1+_xlfn.XLOOKUP("Digital Services",'01_Assumptions'!$A$4:$A$6,'01_Assumptions'!$C$4:$C$6))</f>
        <v>8.16</v>
      </c>
      <c r="G79" s="9">
        <f t="shared" si="3"/>
        <v>6067612.7999999998</v>
      </c>
      <c r="H79" s="9">
        <f>G79*'02_Actual_Revenue'!H79</f>
        <v>910141.91999999993</v>
      </c>
      <c r="I79" s="9">
        <f t="shared" si="4"/>
        <v>5157470.88</v>
      </c>
      <c r="J79" s="13">
        <f t="shared" si="5"/>
        <v>0.85</v>
      </c>
    </row>
    <row r="80" spans="1:10">
      <c r="A80" s="5">
        <f>'02_Actual_Revenue'!A80</f>
        <v>45689</v>
      </c>
      <c r="B80" s="3" t="str">
        <f>'02_Actual_Revenue'!B80</f>
        <v>P010</v>
      </c>
      <c r="C80" s="3" t="str">
        <f>'02_Actual_Revenue'!C80</f>
        <v>R03</v>
      </c>
      <c r="D80" s="7">
        <f>'02_Actual_Revenue'!D80</f>
        <v>769500</v>
      </c>
      <c r="E80" s="7">
        <f>D80*(1+_xlfn.XLOOKUP("Digital Services",'01_Assumptions'!$A$4:$A$6,'01_Assumptions'!$B$4:$B$6))</f>
        <v>831060</v>
      </c>
      <c r="F80" s="3">
        <f>'02_Actual_Revenue'!E80*(1+_xlfn.XLOOKUP("Digital Services",'01_Assumptions'!$A$4:$A$6,'01_Assumptions'!$C$4:$C$6))</f>
        <v>8.16</v>
      </c>
      <c r="G80" s="9">
        <f t="shared" si="3"/>
        <v>6781449.6000000006</v>
      </c>
      <c r="H80" s="9">
        <f>G80*'02_Actual_Revenue'!H80</f>
        <v>1017217.4400000001</v>
      </c>
      <c r="I80" s="9">
        <f t="shared" si="4"/>
        <v>5764232.1600000001</v>
      </c>
      <c r="J80" s="13">
        <f t="shared" si="5"/>
        <v>0.85</v>
      </c>
    </row>
    <row r="81" spans="1:10">
      <c r="A81" s="5">
        <f>'02_Actual_Revenue'!A81</f>
        <v>45689</v>
      </c>
      <c r="B81" s="3" t="str">
        <f>'02_Actual_Revenue'!B81</f>
        <v>P010</v>
      </c>
      <c r="C81" s="3" t="str">
        <f>'02_Actual_Revenue'!C81</f>
        <v>R04</v>
      </c>
      <c r="D81" s="7">
        <f>'02_Actual_Revenue'!D81</f>
        <v>445500</v>
      </c>
      <c r="E81" s="7">
        <f>D81*(1+_xlfn.XLOOKUP("Digital Services",'01_Assumptions'!$A$4:$A$6,'01_Assumptions'!$B$4:$B$6))</f>
        <v>481140.00000000006</v>
      </c>
      <c r="F81" s="3">
        <f>'02_Actual_Revenue'!E81*(1+_xlfn.XLOOKUP("Digital Services",'01_Assumptions'!$A$4:$A$6,'01_Assumptions'!$C$4:$C$6))</f>
        <v>8.16</v>
      </c>
      <c r="G81" s="9">
        <f t="shared" si="3"/>
        <v>3926102.4000000004</v>
      </c>
      <c r="H81" s="9">
        <f>G81*'02_Actual_Revenue'!H81</f>
        <v>588915.36</v>
      </c>
      <c r="I81" s="9">
        <f t="shared" si="4"/>
        <v>3337187.0400000005</v>
      </c>
      <c r="J81" s="13">
        <f t="shared" si="5"/>
        <v>0.85000000000000009</v>
      </c>
    </row>
    <row r="82" spans="1:10">
      <c r="A82" s="5">
        <f>'02_Actual_Revenue'!A82</f>
        <v>45717</v>
      </c>
      <c r="B82" s="3" t="str">
        <f>'02_Actual_Revenue'!B82</f>
        <v>P001</v>
      </c>
      <c r="C82" s="3" t="str">
        <f>'02_Actual_Revenue'!C82</f>
        <v>R01</v>
      </c>
      <c r="D82" s="7">
        <f>'02_Actual_Revenue'!D82</f>
        <v>240000</v>
      </c>
      <c r="E82" s="7">
        <f>D82*(1+_xlfn.XLOOKUP("Devices",'01_Assumptions'!$A$4:$A$6,'01_Assumptions'!$B$4:$B$6))</f>
        <v>254400</v>
      </c>
      <c r="F82" s="3">
        <f>'02_Actual_Revenue'!E82*(1+_xlfn.XLOOKUP("Devices",'01_Assumptions'!$A$4:$A$6,'01_Assumptions'!$C$4:$C$6))</f>
        <v>712.98</v>
      </c>
      <c r="G82" s="9">
        <f t="shared" si="3"/>
        <v>181382112</v>
      </c>
      <c r="H82" s="9">
        <f>G82*'02_Actual_Revenue'!H82</f>
        <v>112456909.44</v>
      </c>
      <c r="I82" s="9">
        <f t="shared" si="4"/>
        <v>68925202.560000002</v>
      </c>
      <c r="J82" s="13">
        <f t="shared" si="5"/>
        <v>0.38</v>
      </c>
    </row>
    <row r="83" spans="1:10">
      <c r="A83" s="5">
        <f>'02_Actual_Revenue'!A83</f>
        <v>45717</v>
      </c>
      <c r="B83" s="3" t="str">
        <f>'02_Actual_Revenue'!B83</f>
        <v>P001</v>
      </c>
      <c r="C83" s="3" t="str">
        <f>'02_Actual_Revenue'!C83</f>
        <v>R02</v>
      </c>
      <c r="D83" s="7">
        <f>'02_Actual_Revenue'!D83</f>
        <v>204000</v>
      </c>
      <c r="E83" s="7">
        <f>D83*(1+_xlfn.XLOOKUP("Devices",'01_Assumptions'!$A$4:$A$6,'01_Assumptions'!$B$4:$B$6))</f>
        <v>216240</v>
      </c>
      <c r="F83" s="3">
        <f>'02_Actual_Revenue'!E83*(1+_xlfn.XLOOKUP("Devices",'01_Assumptions'!$A$4:$A$6,'01_Assumptions'!$C$4:$C$6))</f>
        <v>712.98</v>
      </c>
      <c r="G83" s="9">
        <f t="shared" si="3"/>
        <v>154174795.20000002</v>
      </c>
      <c r="H83" s="9">
        <f>G83*'02_Actual_Revenue'!H83</f>
        <v>95588373.024000004</v>
      </c>
      <c r="I83" s="9">
        <f t="shared" si="4"/>
        <v>58586422.176000014</v>
      </c>
      <c r="J83" s="13">
        <f t="shared" si="5"/>
        <v>0.38000000000000006</v>
      </c>
    </row>
    <row r="84" spans="1:10">
      <c r="A84" s="5">
        <f>'02_Actual_Revenue'!A84</f>
        <v>45717</v>
      </c>
      <c r="B84" s="3" t="str">
        <f>'02_Actual_Revenue'!B84</f>
        <v>P001</v>
      </c>
      <c r="C84" s="3" t="str">
        <f>'02_Actual_Revenue'!C84</f>
        <v>R03</v>
      </c>
      <c r="D84" s="7">
        <f>'02_Actual_Revenue'!D84</f>
        <v>228000</v>
      </c>
      <c r="E84" s="7">
        <f>D84*(1+_xlfn.XLOOKUP("Devices",'01_Assumptions'!$A$4:$A$6,'01_Assumptions'!$B$4:$B$6))</f>
        <v>241680</v>
      </c>
      <c r="F84" s="3">
        <f>'02_Actual_Revenue'!E84*(1+_xlfn.XLOOKUP("Devices",'01_Assumptions'!$A$4:$A$6,'01_Assumptions'!$C$4:$C$6))</f>
        <v>712.98</v>
      </c>
      <c r="G84" s="9">
        <f t="shared" si="3"/>
        <v>172313006.40000001</v>
      </c>
      <c r="H84" s="9">
        <f>G84*'02_Actual_Revenue'!H84</f>
        <v>106834063.96800001</v>
      </c>
      <c r="I84" s="9">
        <f t="shared" si="4"/>
        <v>65478942.431999996</v>
      </c>
      <c r="J84" s="13">
        <f t="shared" si="5"/>
        <v>0.37999999999999995</v>
      </c>
    </row>
    <row r="85" spans="1:10">
      <c r="A85" s="5">
        <f>'02_Actual_Revenue'!A85</f>
        <v>45717</v>
      </c>
      <c r="B85" s="3" t="str">
        <f>'02_Actual_Revenue'!B85</f>
        <v>P001</v>
      </c>
      <c r="C85" s="3" t="str">
        <f>'02_Actual_Revenue'!C85</f>
        <v>R04</v>
      </c>
      <c r="D85" s="7">
        <f>'02_Actual_Revenue'!D85</f>
        <v>132000</v>
      </c>
      <c r="E85" s="7">
        <f>D85*(1+_xlfn.XLOOKUP("Devices",'01_Assumptions'!$A$4:$A$6,'01_Assumptions'!$B$4:$B$6))</f>
        <v>139920</v>
      </c>
      <c r="F85" s="3">
        <f>'02_Actual_Revenue'!E85*(1+_xlfn.XLOOKUP("Devices",'01_Assumptions'!$A$4:$A$6,'01_Assumptions'!$C$4:$C$6))</f>
        <v>712.98</v>
      </c>
      <c r="G85" s="9">
        <f t="shared" si="3"/>
        <v>99760161.600000009</v>
      </c>
      <c r="H85" s="9">
        <f>G85*'02_Actual_Revenue'!H85</f>
        <v>61851300.192000002</v>
      </c>
      <c r="I85" s="9">
        <f t="shared" si="4"/>
        <v>37908861.408000007</v>
      </c>
      <c r="J85" s="13">
        <f t="shared" si="5"/>
        <v>0.38000000000000006</v>
      </c>
    </row>
    <row r="86" spans="1:10">
      <c r="A86" s="5">
        <f>'02_Actual_Revenue'!A86</f>
        <v>45717</v>
      </c>
      <c r="B86" s="3" t="str">
        <f>'02_Actual_Revenue'!B86</f>
        <v>P002</v>
      </c>
      <c r="C86" s="3" t="str">
        <f>'02_Actual_Revenue'!C86</f>
        <v>R01</v>
      </c>
      <c r="D86" s="7">
        <f>'02_Actual_Revenue'!D86</f>
        <v>115200</v>
      </c>
      <c r="E86" s="7">
        <f>D86*(1+_xlfn.XLOOKUP("Devices",'01_Assumptions'!$A$4:$A$6,'01_Assumptions'!$B$4:$B$6))</f>
        <v>122112</v>
      </c>
      <c r="F86" s="3">
        <f>'02_Actual_Revenue'!E86*(1+_xlfn.XLOOKUP("Devices",'01_Assumptions'!$A$4:$A$6,'01_Assumptions'!$C$4:$C$6))</f>
        <v>1018.98</v>
      </c>
      <c r="G86" s="9">
        <f t="shared" si="3"/>
        <v>124429685.76000001</v>
      </c>
      <c r="H86" s="9">
        <f>G86*'02_Actual_Revenue'!H86</f>
        <v>72169217.740799993</v>
      </c>
      <c r="I86" s="9">
        <f t="shared" si="4"/>
        <v>52260468.019200012</v>
      </c>
      <c r="J86" s="13">
        <f t="shared" si="5"/>
        <v>0.4200000000000001</v>
      </c>
    </row>
    <row r="87" spans="1:10">
      <c r="A87" s="5">
        <f>'02_Actual_Revenue'!A87</f>
        <v>45717</v>
      </c>
      <c r="B87" s="3" t="str">
        <f>'02_Actual_Revenue'!B87</f>
        <v>P002</v>
      </c>
      <c r="C87" s="3" t="str">
        <f>'02_Actual_Revenue'!C87</f>
        <v>R02</v>
      </c>
      <c r="D87" s="7">
        <f>'02_Actual_Revenue'!D87</f>
        <v>97920</v>
      </c>
      <c r="E87" s="7">
        <f>D87*(1+_xlfn.XLOOKUP("Devices",'01_Assumptions'!$A$4:$A$6,'01_Assumptions'!$B$4:$B$6))</f>
        <v>103795.20000000001</v>
      </c>
      <c r="F87" s="3">
        <f>'02_Actual_Revenue'!E87*(1+_xlfn.XLOOKUP("Devices",'01_Assumptions'!$A$4:$A$6,'01_Assumptions'!$C$4:$C$6))</f>
        <v>1018.98</v>
      </c>
      <c r="G87" s="9">
        <f t="shared" si="3"/>
        <v>105765232.89600001</v>
      </c>
      <c r="H87" s="9">
        <f>G87*'02_Actual_Revenue'!H87</f>
        <v>61343835.079680003</v>
      </c>
      <c r="I87" s="9">
        <f t="shared" si="4"/>
        <v>44421397.81632001</v>
      </c>
      <c r="J87" s="13">
        <f t="shared" si="5"/>
        <v>0.42000000000000004</v>
      </c>
    </row>
    <row r="88" spans="1:10">
      <c r="A88" s="5">
        <f>'02_Actual_Revenue'!A88</f>
        <v>45717</v>
      </c>
      <c r="B88" s="3" t="str">
        <f>'02_Actual_Revenue'!B88</f>
        <v>P002</v>
      </c>
      <c r="C88" s="3" t="str">
        <f>'02_Actual_Revenue'!C88</f>
        <v>R03</v>
      </c>
      <c r="D88" s="7">
        <f>'02_Actual_Revenue'!D88</f>
        <v>109440</v>
      </c>
      <c r="E88" s="7">
        <f>D88*(1+_xlfn.XLOOKUP("Devices",'01_Assumptions'!$A$4:$A$6,'01_Assumptions'!$B$4:$B$6))</f>
        <v>116006.40000000001</v>
      </c>
      <c r="F88" s="3">
        <f>'02_Actual_Revenue'!E88*(1+_xlfn.XLOOKUP("Devices",'01_Assumptions'!$A$4:$A$6,'01_Assumptions'!$C$4:$C$6))</f>
        <v>1018.98</v>
      </c>
      <c r="G88" s="9">
        <f t="shared" si="3"/>
        <v>118208201.47200002</v>
      </c>
      <c r="H88" s="9">
        <f>G88*'02_Actual_Revenue'!H88</f>
        <v>68560756.853760004</v>
      </c>
      <c r="I88" s="9">
        <f t="shared" si="4"/>
        <v>49647444.618240014</v>
      </c>
      <c r="J88" s="13">
        <f t="shared" si="5"/>
        <v>0.42000000000000004</v>
      </c>
    </row>
    <row r="89" spans="1:10">
      <c r="A89" s="5">
        <f>'02_Actual_Revenue'!A89</f>
        <v>45717</v>
      </c>
      <c r="B89" s="3" t="str">
        <f>'02_Actual_Revenue'!B89</f>
        <v>P002</v>
      </c>
      <c r="C89" s="3" t="str">
        <f>'02_Actual_Revenue'!C89</f>
        <v>R04</v>
      </c>
      <c r="D89" s="7">
        <f>'02_Actual_Revenue'!D89</f>
        <v>63360</v>
      </c>
      <c r="E89" s="7">
        <f>D89*(1+_xlfn.XLOOKUP("Devices",'01_Assumptions'!$A$4:$A$6,'01_Assumptions'!$B$4:$B$6))</f>
        <v>67161.600000000006</v>
      </c>
      <c r="F89" s="3">
        <f>'02_Actual_Revenue'!E89*(1+_xlfn.XLOOKUP("Devices",'01_Assumptions'!$A$4:$A$6,'01_Assumptions'!$C$4:$C$6))</f>
        <v>1018.98</v>
      </c>
      <c r="G89" s="9">
        <f t="shared" si="3"/>
        <v>68436327.168000013</v>
      </c>
      <c r="H89" s="9">
        <f>G89*'02_Actual_Revenue'!H89</f>
        <v>39693069.757440016</v>
      </c>
      <c r="I89" s="9">
        <f t="shared" si="4"/>
        <v>28743257.410559997</v>
      </c>
      <c r="J89" s="13">
        <f t="shared" si="5"/>
        <v>0.41999999999999987</v>
      </c>
    </row>
    <row r="90" spans="1:10">
      <c r="A90" s="5">
        <f>'02_Actual_Revenue'!A90</f>
        <v>45717</v>
      </c>
      <c r="B90" s="3" t="str">
        <f>'02_Actual_Revenue'!B90</f>
        <v>P003</v>
      </c>
      <c r="C90" s="3" t="str">
        <f>'02_Actual_Revenue'!C90</f>
        <v>R01</v>
      </c>
      <c r="D90" s="7">
        <f>'02_Actual_Revenue'!D90</f>
        <v>134400</v>
      </c>
      <c r="E90" s="7">
        <f>D90*(1+_xlfn.XLOOKUP("Devices",'01_Assumptions'!$A$4:$A$6,'01_Assumptions'!$B$4:$B$6))</f>
        <v>142464</v>
      </c>
      <c r="F90" s="3">
        <f>'02_Actual_Revenue'!E90*(1+_xlfn.XLOOKUP("Devices",'01_Assumptions'!$A$4:$A$6,'01_Assumptions'!$C$4:$C$6))</f>
        <v>559.98</v>
      </c>
      <c r="G90" s="9">
        <f t="shared" si="3"/>
        <v>79776990.719999999</v>
      </c>
      <c r="H90" s="9">
        <f>G90*'02_Actual_Revenue'!H90</f>
        <v>47866194.431999996</v>
      </c>
      <c r="I90" s="9">
        <f t="shared" si="4"/>
        <v>31910796.288000003</v>
      </c>
      <c r="J90" s="13">
        <f t="shared" si="5"/>
        <v>0.4</v>
      </c>
    </row>
    <row r="91" spans="1:10">
      <c r="A91" s="5">
        <f>'02_Actual_Revenue'!A91</f>
        <v>45717</v>
      </c>
      <c r="B91" s="3" t="str">
        <f>'02_Actual_Revenue'!B91</f>
        <v>P003</v>
      </c>
      <c r="C91" s="3" t="str">
        <f>'02_Actual_Revenue'!C91</f>
        <v>R02</v>
      </c>
      <c r="D91" s="7">
        <f>'02_Actual_Revenue'!D91</f>
        <v>114240</v>
      </c>
      <c r="E91" s="7">
        <f>D91*(1+_xlfn.XLOOKUP("Devices",'01_Assumptions'!$A$4:$A$6,'01_Assumptions'!$B$4:$B$6))</f>
        <v>121094.40000000001</v>
      </c>
      <c r="F91" s="3">
        <f>'02_Actual_Revenue'!E91*(1+_xlfn.XLOOKUP("Devices",'01_Assumptions'!$A$4:$A$6,'01_Assumptions'!$C$4:$C$6))</f>
        <v>559.98</v>
      </c>
      <c r="G91" s="9">
        <f t="shared" si="3"/>
        <v>67810442.112000003</v>
      </c>
      <c r="H91" s="9">
        <f>G91*'02_Actual_Revenue'!H91</f>
        <v>40686265.267200001</v>
      </c>
      <c r="I91" s="9">
        <f t="shared" si="4"/>
        <v>27124176.844800003</v>
      </c>
      <c r="J91" s="13">
        <f t="shared" si="5"/>
        <v>0.4</v>
      </c>
    </row>
    <row r="92" spans="1:10">
      <c r="A92" s="5">
        <f>'02_Actual_Revenue'!A92</f>
        <v>45717</v>
      </c>
      <c r="B92" s="3" t="str">
        <f>'02_Actual_Revenue'!B92</f>
        <v>P003</v>
      </c>
      <c r="C92" s="3" t="str">
        <f>'02_Actual_Revenue'!C92</f>
        <v>R03</v>
      </c>
      <c r="D92" s="7">
        <f>'02_Actual_Revenue'!D92</f>
        <v>127680</v>
      </c>
      <c r="E92" s="7">
        <f>D92*(1+_xlfn.XLOOKUP("Devices",'01_Assumptions'!$A$4:$A$6,'01_Assumptions'!$B$4:$B$6))</f>
        <v>135340.80000000002</v>
      </c>
      <c r="F92" s="3">
        <f>'02_Actual_Revenue'!E92*(1+_xlfn.XLOOKUP("Devices",'01_Assumptions'!$A$4:$A$6,'01_Assumptions'!$C$4:$C$6))</f>
        <v>559.98</v>
      </c>
      <c r="G92" s="9">
        <f t="shared" si="3"/>
        <v>75788141.184000015</v>
      </c>
      <c r="H92" s="9">
        <f>G92*'02_Actual_Revenue'!H92</f>
        <v>45472884.710400008</v>
      </c>
      <c r="I92" s="9">
        <f t="shared" si="4"/>
        <v>30315256.473600008</v>
      </c>
      <c r="J92" s="13">
        <f t="shared" si="5"/>
        <v>0.4</v>
      </c>
    </row>
    <row r="93" spans="1:10">
      <c r="A93" s="5">
        <f>'02_Actual_Revenue'!A93</f>
        <v>45717</v>
      </c>
      <c r="B93" s="3" t="str">
        <f>'02_Actual_Revenue'!B93</f>
        <v>P003</v>
      </c>
      <c r="C93" s="3" t="str">
        <f>'02_Actual_Revenue'!C93</f>
        <v>R04</v>
      </c>
      <c r="D93" s="7">
        <f>'02_Actual_Revenue'!D93</f>
        <v>73920</v>
      </c>
      <c r="E93" s="7">
        <f>D93*(1+_xlfn.XLOOKUP("Devices",'01_Assumptions'!$A$4:$A$6,'01_Assumptions'!$B$4:$B$6))</f>
        <v>78355.199999999997</v>
      </c>
      <c r="F93" s="3">
        <f>'02_Actual_Revenue'!E93*(1+_xlfn.XLOOKUP("Devices",'01_Assumptions'!$A$4:$A$6,'01_Assumptions'!$C$4:$C$6))</f>
        <v>559.98</v>
      </c>
      <c r="G93" s="9">
        <f t="shared" si="3"/>
        <v>43877344.895999998</v>
      </c>
      <c r="H93" s="9">
        <f>G93*'02_Actual_Revenue'!H93</f>
        <v>26326406.937599998</v>
      </c>
      <c r="I93" s="9">
        <f t="shared" si="4"/>
        <v>17550937.9584</v>
      </c>
      <c r="J93" s="13">
        <f t="shared" si="5"/>
        <v>0.4</v>
      </c>
    </row>
    <row r="94" spans="1:10">
      <c r="A94" s="5">
        <f>'02_Actual_Revenue'!A94</f>
        <v>45717</v>
      </c>
      <c r="B94" s="3" t="str">
        <f>'02_Actual_Revenue'!B94</f>
        <v>P004</v>
      </c>
      <c r="C94" s="3" t="str">
        <f>'02_Actual_Revenue'!C94</f>
        <v>R01</v>
      </c>
      <c r="D94" s="7">
        <f>'02_Actual_Revenue'!D94</f>
        <v>67200</v>
      </c>
      <c r="E94" s="7">
        <f>D94*(1+_xlfn.XLOOKUP("Devices",'01_Assumptions'!$A$4:$A$6,'01_Assumptions'!$B$4:$B$6))</f>
        <v>71232</v>
      </c>
      <c r="F94" s="3">
        <f>'02_Actual_Revenue'!E94*(1+_xlfn.XLOOKUP("Devices",'01_Assumptions'!$A$4:$A$6,'01_Assumptions'!$C$4:$C$6))</f>
        <v>1222.98</v>
      </c>
      <c r="G94" s="9">
        <f t="shared" si="3"/>
        <v>87115311.359999999</v>
      </c>
      <c r="H94" s="9">
        <f>G94*'02_Actual_Revenue'!H94</f>
        <v>47913421.248000003</v>
      </c>
      <c r="I94" s="9">
        <f t="shared" si="4"/>
        <v>39201890.111999996</v>
      </c>
      <c r="J94" s="13">
        <f t="shared" si="5"/>
        <v>0.44999999999999996</v>
      </c>
    </row>
    <row r="95" spans="1:10">
      <c r="A95" s="5">
        <f>'02_Actual_Revenue'!A95</f>
        <v>45717</v>
      </c>
      <c r="B95" s="3" t="str">
        <f>'02_Actual_Revenue'!B95</f>
        <v>P004</v>
      </c>
      <c r="C95" s="3" t="str">
        <f>'02_Actual_Revenue'!C95</f>
        <v>R02</v>
      </c>
      <c r="D95" s="7">
        <f>'02_Actual_Revenue'!D95</f>
        <v>57120</v>
      </c>
      <c r="E95" s="7">
        <f>D95*(1+_xlfn.XLOOKUP("Devices",'01_Assumptions'!$A$4:$A$6,'01_Assumptions'!$B$4:$B$6))</f>
        <v>60547.200000000004</v>
      </c>
      <c r="F95" s="3">
        <f>'02_Actual_Revenue'!E95*(1+_xlfn.XLOOKUP("Devices",'01_Assumptions'!$A$4:$A$6,'01_Assumptions'!$C$4:$C$6))</f>
        <v>1222.98</v>
      </c>
      <c r="G95" s="9">
        <f t="shared" si="3"/>
        <v>74048014.656000003</v>
      </c>
      <c r="H95" s="9">
        <f>G95*'02_Actual_Revenue'!H95</f>
        <v>40726408.060800008</v>
      </c>
      <c r="I95" s="9">
        <f t="shared" si="4"/>
        <v>33321606.595199995</v>
      </c>
      <c r="J95" s="13">
        <f t="shared" si="5"/>
        <v>0.4499999999999999</v>
      </c>
    </row>
    <row r="96" spans="1:10">
      <c r="A96" s="5">
        <f>'02_Actual_Revenue'!A96</f>
        <v>45717</v>
      </c>
      <c r="B96" s="3" t="str">
        <f>'02_Actual_Revenue'!B96</f>
        <v>P004</v>
      </c>
      <c r="C96" s="3" t="str">
        <f>'02_Actual_Revenue'!C96</f>
        <v>R03</v>
      </c>
      <c r="D96" s="7">
        <f>'02_Actual_Revenue'!D96</f>
        <v>63840</v>
      </c>
      <c r="E96" s="7">
        <f>D96*(1+_xlfn.XLOOKUP("Devices",'01_Assumptions'!$A$4:$A$6,'01_Assumptions'!$B$4:$B$6))</f>
        <v>67670.400000000009</v>
      </c>
      <c r="F96" s="3">
        <f>'02_Actual_Revenue'!E96*(1+_xlfn.XLOOKUP("Devices",'01_Assumptions'!$A$4:$A$6,'01_Assumptions'!$C$4:$C$6))</f>
        <v>1222.98</v>
      </c>
      <c r="G96" s="9">
        <f t="shared" si="3"/>
        <v>82759545.792000011</v>
      </c>
      <c r="H96" s="9">
        <f>G96*'02_Actual_Revenue'!H96</f>
        <v>45517750.185600013</v>
      </c>
      <c r="I96" s="9">
        <f t="shared" si="4"/>
        <v>37241795.606399998</v>
      </c>
      <c r="J96" s="13">
        <f t="shared" si="5"/>
        <v>0.4499999999999999</v>
      </c>
    </row>
    <row r="97" spans="1:10">
      <c r="A97" s="5">
        <f>'02_Actual_Revenue'!A97</f>
        <v>45717</v>
      </c>
      <c r="B97" s="3" t="str">
        <f>'02_Actual_Revenue'!B97</f>
        <v>P004</v>
      </c>
      <c r="C97" s="3" t="str">
        <f>'02_Actual_Revenue'!C97</f>
        <v>R04</v>
      </c>
      <c r="D97" s="7">
        <f>'02_Actual_Revenue'!D97</f>
        <v>36960</v>
      </c>
      <c r="E97" s="7">
        <f>D97*(1+_xlfn.XLOOKUP("Devices",'01_Assumptions'!$A$4:$A$6,'01_Assumptions'!$B$4:$B$6))</f>
        <v>39177.599999999999</v>
      </c>
      <c r="F97" s="3">
        <f>'02_Actual_Revenue'!E97*(1+_xlfn.XLOOKUP("Devices",'01_Assumptions'!$A$4:$A$6,'01_Assumptions'!$C$4:$C$6))</f>
        <v>1222.98</v>
      </c>
      <c r="G97" s="9">
        <f t="shared" si="3"/>
        <v>47913421.247999996</v>
      </c>
      <c r="H97" s="9">
        <f>G97*'02_Actual_Revenue'!H97</f>
        <v>26352381.6864</v>
      </c>
      <c r="I97" s="9">
        <f t="shared" si="4"/>
        <v>21561039.561599996</v>
      </c>
      <c r="J97" s="13">
        <f t="shared" si="5"/>
        <v>0.44999999999999996</v>
      </c>
    </row>
    <row r="98" spans="1:10">
      <c r="A98" s="5">
        <f>'02_Actual_Revenue'!A98</f>
        <v>45717</v>
      </c>
      <c r="B98" s="3" t="str">
        <f>'02_Actual_Revenue'!B98</f>
        <v>P005</v>
      </c>
      <c r="C98" s="3" t="str">
        <f>'02_Actual_Revenue'!C98</f>
        <v>R01</v>
      </c>
      <c r="D98" s="7">
        <f>'02_Actual_Revenue'!D98</f>
        <v>172800</v>
      </c>
      <c r="E98" s="7">
        <f>D98*(1+_xlfn.XLOOKUP("Devices",'01_Assumptions'!$A$4:$A$6,'01_Assumptions'!$B$4:$B$6))</f>
        <v>183168</v>
      </c>
      <c r="F98" s="3">
        <f>'02_Actual_Revenue'!E98*(1+_xlfn.XLOOKUP("Devices",'01_Assumptions'!$A$4:$A$6,'01_Assumptions'!$C$4:$C$6))</f>
        <v>304.98</v>
      </c>
      <c r="G98" s="9">
        <f t="shared" si="3"/>
        <v>55862576.640000001</v>
      </c>
      <c r="H98" s="9">
        <f>G98*'02_Actual_Revenue'!H98</f>
        <v>27931288.32</v>
      </c>
      <c r="I98" s="9">
        <f t="shared" si="4"/>
        <v>27931288.32</v>
      </c>
      <c r="J98" s="13">
        <f t="shared" si="5"/>
        <v>0.5</v>
      </c>
    </row>
    <row r="99" spans="1:10">
      <c r="A99" s="5">
        <f>'02_Actual_Revenue'!A99</f>
        <v>45717</v>
      </c>
      <c r="B99" s="3" t="str">
        <f>'02_Actual_Revenue'!B99</f>
        <v>P005</v>
      </c>
      <c r="C99" s="3" t="str">
        <f>'02_Actual_Revenue'!C99</f>
        <v>R02</v>
      </c>
      <c r="D99" s="7">
        <f>'02_Actual_Revenue'!D99</f>
        <v>146880</v>
      </c>
      <c r="E99" s="7">
        <f>D99*(1+_xlfn.XLOOKUP("Devices",'01_Assumptions'!$A$4:$A$6,'01_Assumptions'!$B$4:$B$6))</f>
        <v>155692.80000000002</v>
      </c>
      <c r="F99" s="3">
        <f>'02_Actual_Revenue'!E99*(1+_xlfn.XLOOKUP("Devices",'01_Assumptions'!$A$4:$A$6,'01_Assumptions'!$C$4:$C$6))</f>
        <v>304.98</v>
      </c>
      <c r="G99" s="9">
        <f t="shared" si="3"/>
        <v>47483190.144000009</v>
      </c>
      <c r="H99" s="9">
        <f>G99*'02_Actual_Revenue'!H99</f>
        <v>23741595.072000004</v>
      </c>
      <c r="I99" s="9">
        <f t="shared" si="4"/>
        <v>23741595.072000004</v>
      </c>
      <c r="J99" s="13">
        <f t="shared" si="5"/>
        <v>0.5</v>
      </c>
    </row>
    <row r="100" spans="1:10">
      <c r="A100" s="5">
        <f>'02_Actual_Revenue'!A100</f>
        <v>45717</v>
      </c>
      <c r="B100" s="3" t="str">
        <f>'02_Actual_Revenue'!B100</f>
        <v>P005</v>
      </c>
      <c r="C100" s="3" t="str">
        <f>'02_Actual_Revenue'!C100</f>
        <v>R03</v>
      </c>
      <c r="D100" s="7">
        <f>'02_Actual_Revenue'!D100</f>
        <v>164160</v>
      </c>
      <c r="E100" s="7">
        <f>D100*(1+_xlfn.XLOOKUP("Devices",'01_Assumptions'!$A$4:$A$6,'01_Assumptions'!$B$4:$B$6))</f>
        <v>174009.60000000001</v>
      </c>
      <c r="F100" s="3">
        <f>'02_Actual_Revenue'!E100*(1+_xlfn.XLOOKUP("Devices",'01_Assumptions'!$A$4:$A$6,'01_Assumptions'!$C$4:$C$6))</f>
        <v>304.98</v>
      </c>
      <c r="G100" s="9">
        <f t="shared" si="3"/>
        <v>53069447.808000006</v>
      </c>
      <c r="H100" s="9">
        <f>G100*'02_Actual_Revenue'!H100</f>
        <v>26534723.904000003</v>
      </c>
      <c r="I100" s="9">
        <f t="shared" si="4"/>
        <v>26534723.904000003</v>
      </c>
      <c r="J100" s="13">
        <f t="shared" si="5"/>
        <v>0.5</v>
      </c>
    </row>
    <row r="101" spans="1:10">
      <c r="A101" s="5">
        <f>'02_Actual_Revenue'!A101</f>
        <v>45717</v>
      </c>
      <c r="B101" s="3" t="str">
        <f>'02_Actual_Revenue'!B101</f>
        <v>P005</v>
      </c>
      <c r="C101" s="3" t="str">
        <f>'02_Actual_Revenue'!C101</f>
        <v>R04</v>
      </c>
      <c r="D101" s="7">
        <f>'02_Actual_Revenue'!D101</f>
        <v>95040</v>
      </c>
      <c r="E101" s="7">
        <f>D101*(1+_xlfn.XLOOKUP("Devices",'01_Assumptions'!$A$4:$A$6,'01_Assumptions'!$B$4:$B$6))</f>
        <v>100742.40000000001</v>
      </c>
      <c r="F101" s="3">
        <f>'02_Actual_Revenue'!E101*(1+_xlfn.XLOOKUP("Devices",'01_Assumptions'!$A$4:$A$6,'01_Assumptions'!$C$4:$C$6))</f>
        <v>304.98</v>
      </c>
      <c r="G101" s="9">
        <f t="shared" si="3"/>
        <v>30724417.152000006</v>
      </c>
      <c r="H101" s="9">
        <f>G101*'02_Actual_Revenue'!H101</f>
        <v>15362208.576000003</v>
      </c>
      <c r="I101" s="9">
        <f t="shared" si="4"/>
        <v>15362208.576000003</v>
      </c>
      <c r="J101" s="13">
        <f t="shared" si="5"/>
        <v>0.5</v>
      </c>
    </row>
    <row r="102" spans="1:10">
      <c r="A102" s="5">
        <f>'02_Actual_Revenue'!A102</f>
        <v>45717</v>
      </c>
      <c r="B102" s="3" t="str">
        <f>'02_Actual_Revenue'!B102</f>
        <v>P006</v>
      </c>
      <c r="C102" s="3" t="str">
        <f>'02_Actual_Revenue'!C102</f>
        <v>R01</v>
      </c>
      <c r="D102" s="7">
        <f>'02_Actual_Revenue'!D102</f>
        <v>576000</v>
      </c>
      <c r="E102" s="7">
        <f>D102*(1+_xlfn.XLOOKUP("Cloud &amp; Software",'01_Assumptions'!$A$4:$A$6,'01_Assumptions'!$B$4:$B$6))</f>
        <v>633600</v>
      </c>
      <c r="F102" s="3">
        <f>'02_Actual_Revenue'!E102*(1+_xlfn.XLOOKUP("Cloud &amp; Software",'01_Assumptions'!$A$4:$A$6,'01_Assumptions'!$C$4:$C$6))</f>
        <v>40.17</v>
      </c>
      <c r="G102" s="9">
        <f t="shared" si="3"/>
        <v>25451712</v>
      </c>
      <c r="H102" s="9">
        <f>G102*'02_Actual_Revenue'!H102</f>
        <v>6362928</v>
      </c>
      <c r="I102" s="9">
        <f t="shared" si="4"/>
        <v>19088784</v>
      </c>
      <c r="J102" s="13">
        <f t="shared" si="5"/>
        <v>0.75</v>
      </c>
    </row>
    <row r="103" spans="1:10">
      <c r="A103" s="5">
        <f>'02_Actual_Revenue'!A103</f>
        <v>45717</v>
      </c>
      <c r="B103" s="3" t="str">
        <f>'02_Actual_Revenue'!B103</f>
        <v>P006</v>
      </c>
      <c r="C103" s="3" t="str">
        <f>'02_Actual_Revenue'!C103</f>
        <v>R02</v>
      </c>
      <c r="D103" s="7">
        <f>'02_Actual_Revenue'!D103</f>
        <v>489600</v>
      </c>
      <c r="E103" s="7">
        <f>D103*(1+_xlfn.XLOOKUP("Cloud &amp; Software",'01_Assumptions'!$A$4:$A$6,'01_Assumptions'!$B$4:$B$6))</f>
        <v>538560</v>
      </c>
      <c r="F103" s="3">
        <f>'02_Actual_Revenue'!E103*(1+_xlfn.XLOOKUP("Cloud &amp; Software",'01_Assumptions'!$A$4:$A$6,'01_Assumptions'!$C$4:$C$6))</f>
        <v>40.17</v>
      </c>
      <c r="G103" s="9">
        <f t="shared" si="3"/>
        <v>21633955.199999999</v>
      </c>
      <c r="H103" s="9">
        <f>G103*'02_Actual_Revenue'!H103</f>
        <v>5408488.7999999998</v>
      </c>
      <c r="I103" s="9">
        <f t="shared" si="4"/>
        <v>16225466.399999999</v>
      </c>
      <c r="J103" s="13">
        <f t="shared" si="5"/>
        <v>0.75</v>
      </c>
    </row>
    <row r="104" spans="1:10">
      <c r="A104" s="5">
        <f>'02_Actual_Revenue'!A104</f>
        <v>45717</v>
      </c>
      <c r="B104" s="3" t="str">
        <f>'02_Actual_Revenue'!B104</f>
        <v>P006</v>
      </c>
      <c r="C104" s="3" t="str">
        <f>'02_Actual_Revenue'!C104</f>
        <v>R03</v>
      </c>
      <c r="D104" s="7">
        <f>'02_Actual_Revenue'!D104</f>
        <v>547200</v>
      </c>
      <c r="E104" s="7">
        <f>D104*(1+_xlfn.XLOOKUP("Cloud &amp; Software",'01_Assumptions'!$A$4:$A$6,'01_Assumptions'!$B$4:$B$6))</f>
        <v>601920</v>
      </c>
      <c r="F104" s="3">
        <f>'02_Actual_Revenue'!E104*(1+_xlfn.XLOOKUP("Cloud &amp; Software",'01_Assumptions'!$A$4:$A$6,'01_Assumptions'!$C$4:$C$6))</f>
        <v>40.17</v>
      </c>
      <c r="G104" s="9">
        <f t="shared" si="3"/>
        <v>24179126.400000002</v>
      </c>
      <c r="H104" s="9">
        <f>G104*'02_Actual_Revenue'!H104</f>
        <v>6044781.6000000006</v>
      </c>
      <c r="I104" s="9">
        <f t="shared" si="4"/>
        <v>18134344.800000001</v>
      </c>
      <c r="J104" s="13">
        <f t="shared" si="5"/>
        <v>0.75</v>
      </c>
    </row>
    <row r="105" spans="1:10">
      <c r="A105" s="5">
        <f>'02_Actual_Revenue'!A105</f>
        <v>45717</v>
      </c>
      <c r="B105" s="3" t="str">
        <f>'02_Actual_Revenue'!B105</f>
        <v>P006</v>
      </c>
      <c r="C105" s="3" t="str">
        <f>'02_Actual_Revenue'!C105</f>
        <v>R04</v>
      </c>
      <c r="D105" s="7">
        <f>'02_Actual_Revenue'!D105</f>
        <v>316800</v>
      </c>
      <c r="E105" s="7">
        <f>D105*(1+_xlfn.XLOOKUP("Cloud &amp; Software",'01_Assumptions'!$A$4:$A$6,'01_Assumptions'!$B$4:$B$6))</f>
        <v>348480</v>
      </c>
      <c r="F105" s="3">
        <f>'02_Actual_Revenue'!E105*(1+_xlfn.XLOOKUP("Cloud &amp; Software",'01_Assumptions'!$A$4:$A$6,'01_Assumptions'!$C$4:$C$6))</f>
        <v>40.17</v>
      </c>
      <c r="G105" s="9">
        <f t="shared" si="3"/>
        <v>13998441.600000001</v>
      </c>
      <c r="H105" s="9">
        <f>G105*'02_Actual_Revenue'!H105</f>
        <v>3499610.4000000004</v>
      </c>
      <c r="I105" s="9">
        <f t="shared" si="4"/>
        <v>10498831.200000001</v>
      </c>
      <c r="J105" s="13">
        <f t="shared" si="5"/>
        <v>0.75</v>
      </c>
    </row>
    <row r="106" spans="1:10">
      <c r="A106" s="5">
        <f>'02_Actual_Revenue'!A106</f>
        <v>45717</v>
      </c>
      <c r="B106" s="3" t="str">
        <f>'02_Actual_Revenue'!B106</f>
        <v>P007</v>
      </c>
      <c r="C106" s="3" t="str">
        <f>'02_Actual_Revenue'!C106</f>
        <v>R01</v>
      </c>
      <c r="D106" s="7">
        <f>'02_Actual_Revenue'!D106</f>
        <v>384000</v>
      </c>
      <c r="E106" s="7">
        <f>D106*(1+_xlfn.XLOOKUP("Cloud &amp; Software",'01_Assumptions'!$A$4:$A$6,'01_Assumptions'!$B$4:$B$6))</f>
        <v>422400.00000000006</v>
      </c>
      <c r="F106" s="3">
        <f>'02_Actual_Revenue'!E106*(1+_xlfn.XLOOKUP("Cloud &amp; Software",'01_Assumptions'!$A$4:$A$6,'01_Assumptions'!$C$4:$C$6))</f>
        <v>24.72</v>
      </c>
      <c r="G106" s="9">
        <f t="shared" si="3"/>
        <v>10441728.000000002</v>
      </c>
      <c r="H106" s="9">
        <f>G106*'02_Actual_Revenue'!H106</f>
        <v>2088345.6000000006</v>
      </c>
      <c r="I106" s="9">
        <f t="shared" si="4"/>
        <v>8353382.4000000013</v>
      </c>
      <c r="J106" s="13">
        <f t="shared" si="5"/>
        <v>0.79999999999999993</v>
      </c>
    </row>
    <row r="107" spans="1:10">
      <c r="A107" s="5">
        <f>'02_Actual_Revenue'!A107</f>
        <v>45717</v>
      </c>
      <c r="B107" s="3" t="str">
        <f>'02_Actual_Revenue'!B107</f>
        <v>P007</v>
      </c>
      <c r="C107" s="3" t="str">
        <f>'02_Actual_Revenue'!C107</f>
        <v>R02</v>
      </c>
      <c r="D107" s="7">
        <f>'02_Actual_Revenue'!D107</f>
        <v>326400</v>
      </c>
      <c r="E107" s="7">
        <f>D107*(1+_xlfn.XLOOKUP("Cloud &amp; Software",'01_Assumptions'!$A$4:$A$6,'01_Assumptions'!$B$4:$B$6))</f>
        <v>359040</v>
      </c>
      <c r="F107" s="3">
        <f>'02_Actual_Revenue'!E107*(1+_xlfn.XLOOKUP("Cloud &amp; Software",'01_Assumptions'!$A$4:$A$6,'01_Assumptions'!$C$4:$C$6))</f>
        <v>24.72</v>
      </c>
      <c r="G107" s="9">
        <f t="shared" si="3"/>
        <v>8875468.7999999989</v>
      </c>
      <c r="H107" s="9">
        <f>G107*'02_Actual_Revenue'!H107</f>
        <v>1775093.7599999998</v>
      </c>
      <c r="I107" s="9">
        <f t="shared" si="4"/>
        <v>7100375.0399999991</v>
      </c>
      <c r="J107" s="13">
        <f t="shared" si="5"/>
        <v>0.8</v>
      </c>
    </row>
    <row r="108" spans="1:10">
      <c r="A108" s="5">
        <f>'02_Actual_Revenue'!A108</f>
        <v>45717</v>
      </c>
      <c r="B108" s="3" t="str">
        <f>'02_Actual_Revenue'!B108</f>
        <v>P007</v>
      </c>
      <c r="C108" s="3" t="str">
        <f>'02_Actual_Revenue'!C108</f>
        <v>R03</v>
      </c>
      <c r="D108" s="7">
        <f>'02_Actual_Revenue'!D108</f>
        <v>364800</v>
      </c>
      <c r="E108" s="7">
        <f>D108*(1+_xlfn.XLOOKUP("Cloud &amp; Software",'01_Assumptions'!$A$4:$A$6,'01_Assumptions'!$B$4:$B$6))</f>
        <v>401280.00000000006</v>
      </c>
      <c r="F108" s="3">
        <f>'02_Actual_Revenue'!E108*(1+_xlfn.XLOOKUP("Cloud &amp; Software",'01_Assumptions'!$A$4:$A$6,'01_Assumptions'!$C$4:$C$6))</f>
        <v>24.72</v>
      </c>
      <c r="G108" s="9">
        <f t="shared" si="3"/>
        <v>9919641.6000000015</v>
      </c>
      <c r="H108" s="9">
        <f>G108*'02_Actual_Revenue'!H108</f>
        <v>1983928.3200000003</v>
      </c>
      <c r="I108" s="9">
        <f t="shared" si="4"/>
        <v>7935713.2800000012</v>
      </c>
      <c r="J108" s="13">
        <f t="shared" si="5"/>
        <v>0.8</v>
      </c>
    </row>
    <row r="109" spans="1:10">
      <c r="A109" s="5">
        <f>'02_Actual_Revenue'!A109</f>
        <v>45717</v>
      </c>
      <c r="B109" s="3" t="str">
        <f>'02_Actual_Revenue'!B109</f>
        <v>P007</v>
      </c>
      <c r="C109" s="3" t="str">
        <f>'02_Actual_Revenue'!C109</f>
        <v>R04</v>
      </c>
      <c r="D109" s="7">
        <f>'02_Actual_Revenue'!D109</f>
        <v>211200</v>
      </c>
      <c r="E109" s="7">
        <f>D109*(1+_xlfn.XLOOKUP("Cloud &amp; Software",'01_Assumptions'!$A$4:$A$6,'01_Assumptions'!$B$4:$B$6))</f>
        <v>232320.00000000003</v>
      </c>
      <c r="F109" s="3">
        <f>'02_Actual_Revenue'!E109*(1+_xlfn.XLOOKUP("Cloud &amp; Software",'01_Assumptions'!$A$4:$A$6,'01_Assumptions'!$C$4:$C$6))</f>
        <v>24.72</v>
      </c>
      <c r="G109" s="9">
        <f t="shared" si="3"/>
        <v>5742950.4000000004</v>
      </c>
      <c r="H109" s="9">
        <f>G109*'02_Actual_Revenue'!H109</f>
        <v>1148590.0800000001</v>
      </c>
      <c r="I109" s="9">
        <f t="shared" si="4"/>
        <v>4594360.3200000003</v>
      </c>
      <c r="J109" s="13">
        <f t="shared" si="5"/>
        <v>0.8</v>
      </c>
    </row>
    <row r="110" spans="1:10">
      <c r="A110" s="5">
        <f>'02_Actual_Revenue'!A110</f>
        <v>45717</v>
      </c>
      <c r="B110" s="3" t="str">
        <f>'02_Actual_Revenue'!B110</f>
        <v>P008</v>
      </c>
      <c r="C110" s="3" t="str">
        <f>'02_Actual_Revenue'!C110</f>
        <v>R01</v>
      </c>
      <c r="D110" s="7">
        <f>'02_Actual_Revenue'!D110</f>
        <v>1152000</v>
      </c>
      <c r="E110" s="7">
        <f>D110*(1+_xlfn.XLOOKUP("Digital Services",'01_Assumptions'!$A$4:$A$6,'01_Assumptions'!$B$4:$B$6))</f>
        <v>1244160</v>
      </c>
      <c r="F110" s="3">
        <f>'02_Actual_Revenue'!E110*(1+_xlfn.XLOOKUP("Digital Services",'01_Assumptions'!$A$4:$A$6,'01_Assumptions'!$C$4:$C$6))</f>
        <v>12.24</v>
      </c>
      <c r="G110" s="9">
        <f t="shared" si="3"/>
        <v>15228518.4</v>
      </c>
      <c r="H110" s="9">
        <f>G110*'02_Actual_Revenue'!H110</f>
        <v>4568555.5199999996</v>
      </c>
      <c r="I110" s="9">
        <f t="shared" si="4"/>
        <v>10659962.880000001</v>
      </c>
      <c r="J110" s="13">
        <f t="shared" si="5"/>
        <v>0.70000000000000007</v>
      </c>
    </row>
    <row r="111" spans="1:10">
      <c r="A111" s="5">
        <f>'02_Actual_Revenue'!A111</f>
        <v>45717</v>
      </c>
      <c r="B111" s="3" t="str">
        <f>'02_Actual_Revenue'!B111</f>
        <v>P008</v>
      </c>
      <c r="C111" s="3" t="str">
        <f>'02_Actual_Revenue'!C111</f>
        <v>R02</v>
      </c>
      <c r="D111" s="7">
        <f>'02_Actual_Revenue'!D111</f>
        <v>979200</v>
      </c>
      <c r="E111" s="7">
        <f>D111*(1+_xlfn.XLOOKUP("Digital Services",'01_Assumptions'!$A$4:$A$6,'01_Assumptions'!$B$4:$B$6))</f>
        <v>1057536</v>
      </c>
      <c r="F111" s="3">
        <f>'02_Actual_Revenue'!E111*(1+_xlfn.XLOOKUP("Digital Services",'01_Assumptions'!$A$4:$A$6,'01_Assumptions'!$C$4:$C$6))</f>
        <v>12.24</v>
      </c>
      <c r="G111" s="9">
        <f t="shared" si="3"/>
        <v>12944240.640000001</v>
      </c>
      <c r="H111" s="9">
        <f>G111*'02_Actual_Revenue'!H111</f>
        <v>3883272.1919999998</v>
      </c>
      <c r="I111" s="9">
        <f t="shared" si="4"/>
        <v>9060968.4480000008</v>
      </c>
      <c r="J111" s="13">
        <f t="shared" si="5"/>
        <v>0.70000000000000007</v>
      </c>
    </row>
    <row r="112" spans="1:10">
      <c r="A112" s="5">
        <f>'02_Actual_Revenue'!A112</f>
        <v>45717</v>
      </c>
      <c r="B112" s="3" t="str">
        <f>'02_Actual_Revenue'!B112</f>
        <v>P008</v>
      </c>
      <c r="C112" s="3" t="str">
        <f>'02_Actual_Revenue'!C112</f>
        <v>R03</v>
      </c>
      <c r="D112" s="7">
        <f>'02_Actual_Revenue'!D112</f>
        <v>1094400</v>
      </c>
      <c r="E112" s="7">
        <f>D112*(1+_xlfn.XLOOKUP("Digital Services",'01_Assumptions'!$A$4:$A$6,'01_Assumptions'!$B$4:$B$6))</f>
        <v>1181952</v>
      </c>
      <c r="F112" s="3">
        <f>'02_Actual_Revenue'!E112*(1+_xlfn.XLOOKUP("Digital Services",'01_Assumptions'!$A$4:$A$6,'01_Assumptions'!$C$4:$C$6))</f>
        <v>12.24</v>
      </c>
      <c r="G112" s="9">
        <f t="shared" si="3"/>
        <v>14467092.48</v>
      </c>
      <c r="H112" s="9">
        <f>G112*'02_Actual_Revenue'!H112</f>
        <v>4340127.7439999999</v>
      </c>
      <c r="I112" s="9">
        <f t="shared" si="4"/>
        <v>10126964.736000001</v>
      </c>
      <c r="J112" s="13">
        <f t="shared" si="5"/>
        <v>0.70000000000000007</v>
      </c>
    </row>
    <row r="113" spans="1:10">
      <c r="A113" s="5">
        <f>'02_Actual_Revenue'!A113</f>
        <v>45717</v>
      </c>
      <c r="B113" s="3" t="str">
        <f>'02_Actual_Revenue'!B113</f>
        <v>P008</v>
      </c>
      <c r="C113" s="3" t="str">
        <f>'02_Actual_Revenue'!C113</f>
        <v>R04</v>
      </c>
      <c r="D113" s="7">
        <f>'02_Actual_Revenue'!D113</f>
        <v>633600</v>
      </c>
      <c r="E113" s="7">
        <f>D113*(1+_xlfn.XLOOKUP("Digital Services",'01_Assumptions'!$A$4:$A$6,'01_Assumptions'!$B$4:$B$6))</f>
        <v>684288</v>
      </c>
      <c r="F113" s="3">
        <f>'02_Actual_Revenue'!E113*(1+_xlfn.XLOOKUP("Digital Services",'01_Assumptions'!$A$4:$A$6,'01_Assumptions'!$C$4:$C$6))</f>
        <v>12.24</v>
      </c>
      <c r="G113" s="9">
        <f t="shared" si="3"/>
        <v>8375685.1200000001</v>
      </c>
      <c r="H113" s="9">
        <f>G113*'02_Actual_Revenue'!H113</f>
        <v>2512705.5359999998</v>
      </c>
      <c r="I113" s="9">
        <f t="shared" si="4"/>
        <v>5862979.5840000007</v>
      </c>
      <c r="J113" s="13">
        <f t="shared" si="5"/>
        <v>0.70000000000000007</v>
      </c>
    </row>
    <row r="114" spans="1:10">
      <c r="A114" s="5">
        <f>'02_Actual_Revenue'!A114</f>
        <v>45717</v>
      </c>
      <c r="B114" s="3" t="str">
        <f>'02_Actual_Revenue'!B114</f>
        <v>P009</v>
      </c>
      <c r="C114" s="3" t="str">
        <f>'02_Actual_Revenue'!C114</f>
        <v>R01</v>
      </c>
      <c r="D114" s="7">
        <f>'02_Actual_Revenue'!D114</f>
        <v>768000</v>
      </c>
      <c r="E114" s="7">
        <f>D114*(1+_xlfn.XLOOKUP("Digital Services",'01_Assumptions'!$A$4:$A$6,'01_Assumptions'!$B$4:$B$6))</f>
        <v>829440</v>
      </c>
      <c r="F114" s="3">
        <f>'02_Actual_Revenue'!E114*(1+_xlfn.XLOOKUP("Digital Services",'01_Assumptions'!$A$4:$A$6,'01_Assumptions'!$C$4:$C$6))</f>
        <v>15.3</v>
      </c>
      <c r="G114" s="9">
        <f t="shared" si="3"/>
        <v>12690432</v>
      </c>
      <c r="H114" s="9">
        <f>G114*'02_Actual_Revenue'!H114</f>
        <v>4441651.1999999993</v>
      </c>
      <c r="I114" s="9">
        <f t="shared" si="4"/>
        <v>8248780.8000000007</v>
      </c>
      <c r="J114" s="13">
        <f t="shared" si="5"/>
        <v>0.65</v>
      </c>
    </row>
    <row r="115" spans="1:10">
      <c r="A115" s="5">
        <f>'02_Actual_Revenue'!A115</f>
        <v>45717</v>
      </c>
      <c r="B115" s="3" t="str">
        <f>'02_Actual_Revenue'!B115</f>
        <v>P009</v>
      </c>
      <c r="C115" s="3" t="str">
        <f>'02_Actual_Revenue'!C115</f>
        <v>R02</v>
      </c>
      <c r="D115" s="7">
        <f>'02_Actual_Revenue'!D115</f>
        <v>652800</v>
      </c>
      <c r="E115" s="7">
        <f>D115*(1+_xlfn.XLOOKUP("Digital Services",'01_Assumptions'!$A$4:$A$6,'01_Assumptions'!$B$4:$B$6))</f>
        <v>705024</v>
      </c>
      <c r="F115" s="3">
        <f>'02_Actual_Revenue'!E115*(1+_xlfn.XLOOKUP("Digital Services",'01_Assumptions'!$A$4:$A$6,'01_Assumptions'!$C$4:$C$6))</f>
        <v>15.3</v>
      </c>
      <c r="G115" s="9">
        <f t="shared" si="3"/>
        <v>10786867.200000001</v>
      </c>
      <c r="H115" s="9">
        <f>G115*'02_Actual_Revenue'!H115</f>
        <v>3775403.52</v>
      </c>
      <c r="I115" s="9">
        <f t="shared" si="4"/>
        <v>7011463.6800000016</v>
      </c>
      <c r="J115" s="13">
        <f t="shared" si="5"/>
        <v>0.65000000000000013</v>
      </c>
    </row>
    <row r="116" spans="1:10">
      <c r="A116" s="5">
        <f>'02_Actual_Revenue'!A116</f>
        <v>45717</v>
      </c>
      <c r="B116" s="3" t="str">
        <f>'02_Actual_Revenue'!B116</f>
        <v>P009</v>
      </c>
      <c r="C116" s="3" t="str">
        <f>'02_Actual_Revenue'!C116</f>
        <v>R03</v>
      </c>
      <c r="D116" s="7">
        <f>'02_Actual_Revenue'!D116</f>
        <v>729600</v>
      </c>
      <c r="E116" s="7">
        <f>D116*(1+_xlfn.XLOOKUP("Digital Services",'01_Assumptions'!$A$4:$A$6,'01_Assumptions'!$B$4:$B$6))</f>
        <v>787968</v>
      </c>
      <c r="F116" s="3">
        <f>'02_Actual_Revenue'!E116*(1+_xlfn.XLOOKUP("Digital Services",'01_Assumptions'!$A$4:$A$6,'01_Assumptions'!$C$4:$C$6))</f>
        <v>15.3</v>
      </c>
      <c r="G116" s="9">
        <f t="shared" si="3"/>
        <v>12055910.4</v>
      </c>
      <c r="H116" s="9">
        <f>G116*'02_Actual_Revenue'!H116</f>
        <v>4219568.6399999997</v>
      </c>
      <c r="I116" s="9">
        <f t="shared" si="4"/>
        <v>7836341.7600000007</v>
      </c>
      <c r="J116" s="13">
        <f t="shared" si="5"/>
        <v>0.65</v>
      </c>
    </row>
    <row r="117" spans="1:10">
      <c r="A117" s="5">
        <f>'02_Actual_Revenue'!A117</f>
        <v>45717</v>
      </c>
      <c r="B117" s="3" t="str">
        <f>'02_Actual_Revenue'!B117</f>
        <v>P009</v>
      </c>
      <c r="C117" s="3" t="str">
        <f>'02_Actual_Revenue'!C117</f>
        <v>R04</v>
      </c>
      <c r="D117" s="7">
        <f>'02_Actual_Revenue'!D117</f>
        <v>422400</v>
      </c>
      <c r="E117" s="7">
        <f>D117*(1+_xlfn.XLOOKUP("Digital Services",'01_Assumptions'!$A$4:$A$6,'01_Assumptions'!$B$4:$B$6))</f>
        <v>456192.00000000006</v>
      </c>
      <c r="F117" s="3">
        <f>'02_Actual_Revenue'!E117*(1+_xlfn.XLOOKUP("Digital Services",'01_Assumptions'!$A$4:$A$6,'01_Assumptions'!$C$4:$C$6))</f>
        <v>15.3</v>
      </c>
      <c r="G117" s="9">
        <f t="shared" si="3"/>
        <v>6979737.6000000015</v>
      </c>
      <c r="H117" s="9">
        <f>G117*'02_Actual_Revenue'!H117</f>
        <v>2442908.16</v>
      </c>
      <c r="I117" s="9">
        <f t="shared" si="4"/>
        <v>4536829.4400000013</v>
      </c>
      <c r="J117" s="13">
        <f t="shared" si="5"/>
        <v>0.65</v>
      </c>
    </row>
    <row r="118" spans="1:10">
      <c r="A118" s="5">
        <f>'02_Actual_Revenue'!A118</f>
        <v>45717</v>
      </c>
      <c r="B118" s="3" t="str">
        <f>'02_Actual_Revenue'!B118</f>
        <v>P010</v>
      </c>
      <c r="C118" s="3" t="str">
        <f>'02_Actual_Revenue'!C118</f>
        <v>R01</v>
      </c>
      <c r="D118" s="7">
        <f>'02_Actual_Revenue'!D118</f>
        <v>864000</v>
      </c>
      <c r="E118" s="7">
        <f>D118*(1+_xlfn.XLOOKUP("Digital Services",'01_Assumptions'!$A$4:$A$6,'01_Assumptions'!$B$4:$B$6))</f>
        <v>933120.00000000012</v>
      </c>
      <c r="F118" s="3">
        <f>'02_Actual_Revenue'!E118*(1+_xlfn.XLOOKUP("Digital Services",'01_Assumptions'!$A$4:$A$6,'01_Assumptions'!$C$4:$C$6))</f>
        <v>8.16</v>
      </c>
      <c r="G118" s="9">
        <f t="shared" si="3"/>
        <v>7614259.2000000011</v>
      </c>
      <c r="H118" s="9">
        <f>G118*'02_Actual_Revenue'!H118</f>
        <v>1142138.8800000001</v>
      </c>
      <c r="I118" s="9">
        <f t="shared" si="4"/>
        <v>6472120.3200000012</v>
      </c>
      <c r="J118" s="13">
        <f t="shared" si="5"/>
        <v>0.85000000000000009</v>
      </c>
    </row>
    <row r="119" spans="1:10">
      <c r="A119" s="5">
        <f>'02_Actual_Revenue'!A119</f>
        <v>45717</v>
      </c>
      <c r="B119" s="3" t="str">
        <f>'02_Actual_Revenue'!B119</f>
        <v>P010</v>
      </c>
      <c r="C119" s="3" t="str">
        <f>'02_Actual_Revenue'!C119</f>
        <v>R02</v>
      </c>
      <c r="D119" s="7">
        <f>'02_Actual_Revenue'!D119</f>
        <v>734400</v>
      </c>
      <c r="E119" s="7">
        <f>D119*(1+_xlfn.XLOOKUP("Digital Services",'01_Assumptions'!$A$4:$A$6,'01_Assumptions'!$B$4:$B$6))</f>
        <v>793152</v>
      </c>
      <c r="F119" s="3">
        <f>'02_Actual_Revenue'!E119*(1+_xlfn.XLOOKUP("Digital Services",'01_Assumptions'!$A$4:$A$6,'01_Assumptions'!$C$4:$C$6))</f>
        <v>8.16</v>
      </c>
      <c r="G119" s="9">
        <f t="shared" si="3"/>
        <v>6472120.3200000003</v>
      </c>
      <c r="H119" s="9">
        <f>G119*'02_Actual_Revenue'!H119</f>
        <v>970818.04799999995</v>
      </c>
      <c r="I119" s="9">
        <f t="shared" si="4"/>
        <v>5501302.2719999999</v>
      </c>
      <c r="J119" s="13">
        <f t="shared" si="5"/>
        <v>0.85</v>
      </c>
    </row>
    <row r="120" spans="1:10">
      <c r="A120" s="5">
        <f>'02_Actual_Revenue'!A120</f>
        <v>45717</v>
      </c>
      <c r="B120" s="3" t="str">
        <f>'02_Actual_Revenue'!B120</f>
        <v>P010</v>
      </c>
      <c r="C120" s="3" t="str">
        <f>'02_Actual_Revenue'!C120</f>
        <v>R03</v>
      </c>
      <c r="D120" s="7">
        <f>'02_Actual_Revenue'!D120</f>
        <v>820800</v>
      </c>
      <c r="E120" s="7">
        <f>D120*(1+_xlfn.XLOOKUP("Digital Services",'01_Assumptions'!$A$4:$A$6,'01_Assumptions'!$B$4:$B$6))</f>
        <v>886464.00000000012</v>
      </c>
      <c r="F120" s="3">
        <f>'02_Actual_Revenue'!E120*(1+_xlfn.XLOOKUP("Digital Services",'01_Assumptions'!$A$4:$A$6,'01_Assumptions'!$C$4:$C$6))</f>
        <v>8.16</v>
      </c>
      <c r="G120" s="9">
        <f t="shared" si="3"/>
        <v>7233546.2400000012</v>
      </c>
      <c r="H120" s="9">
        <f>G120*'02_Actual_Revenue'!H120</f>
        <v>1085031.9360000002</v>
      </c>
      <c r="I120" s="9">
        <f t="shared" si="4"/>
        <v>6148514.3040000014</v>
      </c>
      <c r="J120" s="13">
        <f t="shared" si="5"/>
        <v>0.85000000000000009</v>
      </c>
    </row>
    <row r="121" spans="1:10">
      <c r="A121" s="5">
        <f>'02_Actual_Revenue'!A121</f>
        <v>45717</v>
      </c>
      <c r="B121" s="3" t="str">
        <f>'02_Actual_Revenue'!B121</f>
        <v>P010</v>
      </c>
      <c r="C121" s="3" t="str">
        <f>'02_Actual_Revenue'!C121</f>
        <v>R04</v>
      </c>
      <c r="D121" s="7">
        <f>'02_Actual_Revenue'!D121</f>
        <v>475200</v>
      </c>
      <c r="E121" s="7">
        <f>D121*(1+_xlfn.XLOOKUP("Digital Services",'01_Assumptions'!$A$4:$A$6,'01_Assumptions'!$B$4:$B$6))</f>
        <v>513216.00000000006</v>
      </c>
      <c r="F121" s="3">
        <f>'02_Actual_Revenue'!E121*(1+_xlfn.XLOOKUP("Digital Services",'01_Assumptions'!$A$4:$A$6,'01_Assumptions'!$C$4:$C$6))</f>
        <v>8.16</v>
      </c>
      <c r="G121" s="9">
        <f t="shared" si="3"/>
        <v>4187842.5600000005</v>
      </c>
      <c r="H121" s="9">
        <f>G121*'02_Actual_Revenue'!H121</f>
        <v>628176.38400000008</v>
      </c>
      <c r="I121" s="9">
        <f t="shared" si="4"/>
        <v>3559666.1760000004</v>
      </c>
      <c r="J121" s="13">
        <f t="shared" si="5"/>
        <v>0.85</v>
      </c>
    </row>
    <row r="122" spans="1:10">
      <c r="A122" s="5">
        <f>'02_Actual_Revenue'!A122</f>
        <v>45748</v>
      </c>
      <c r="B122" s="3" t="str">
        <f>'02_Actual_Revenue'!B122</f>
        <v>P001</v>
      </c>
      <c r="C122" s="3" t="str">
        <f>'02_Actual_Revenue'!C122</f>
        <v>R01</v>
      </c>
      <c r="D122" s="7">
        <f>'02_Actual_Revenue'!D122</f>
        <v>237500</v>
      </c>
      <c r="E122" s="7">
        <f>D122*(1+_xlfn.XLOOKUP("Devices",'01_Assumptions'!$A$4:$A$6,'01_Assumptions'!$B$4:$B$6))</f>
        <v>251750</v>
      </c>
      <c r="F122" s="3">
        <f>'02_Actual_Revenue'!E122*(1+_xlfn.XLOOKUP("Devices",'01_Assumptions'!$A$4:$A$6,'01_Assumptions'!$C$4:$C$6))</f>
        <v>712.98</v>
      </c>
      <c r="G122" s="9">
        <f t="shared" si="3"/>
        <v>179492715</v>
      </c>
      <c r="H122" s="9">
        <f>G122*'02_Actual_Revenue'!H122</f>
        <v>111285483.3</v>
      </c>
      <c r="I122" s="9">
        <f t="shared" si="4"/>
        <v>68207231.700000003</v>
      </c>
      <c r="J122" s="13">
        <f t="shared" si="5"/>
        <v>0.38</v>
      </c>
    </row>
    <row r="123" spans="1:10">
      <c r="A123" s="5">
        <f>'02_Actual_Revenue'!A123</f>
        <v>45748</v>
      </c>
      <c r="B123" s="3" t="str">
        <f>'02_Actual_Revenue'!B123</f>
        <v>P001</v>
      </c>
      <c r="C123" s="3" t="str">
        <f>'02_Actual_Revenue'!C123</f>
        <v>R02</v>
      </c>
      <c r="D123" s="7">
        <f>'02_Actual_Revenue'!D123</f>
        <v>201875</v>
      </c>
      <c r="E123" s="7">
        <f>D123*(1+_xlfn.XLOOKUP("Devices",'01_Assumptions'!$A$4:$A$6,'01_Assumptions'!$B$4:$B$6))</f>
        <v>213987.5</v>
      </c>
      <c r="F123" s="3">
        <f>'02_Actual_Revenue'!E123*(1+_xlfn.XLOOKUP("Devices",'01_Assumptions'!$A$4:$A$6,'01_Assumptions'!$C$4:$C$6))</f>
        <v>712.98</v>
      </c>
      <c r="G123" s="9">
        <f t="shared" si="3"/>
        <v>152568807.75</v>
      </c>
      <c r="H123" s="9">
        <f>G123*'02_Actual_Revenue'!H123</f>
        <v>94592660.804999992</v>
      </c>
      <c r="I123" s="9">
        <f t="shared" si="4"/>
        <v>57976146.945000008</v>
      </c>
      <c r="J123" s="13">
        <f t="shared" si="5"/>
        <v>0.38000000000000006</v>
      </c>
    </row>
    <row r="124" spans="1:10">
      <c r="A124" s="5">
        <f>'02_Actual_Revenue'!A124</f>
        <v>45748</v>
      </c>
      <c r="B124" s="3" t="str">
        <f>'02_Actual_Revenue'!B124</f>
        <v>P001</v>
      </c>
      <c r="C124" s="3" t="str">
        <f>'02_Actual_Revenue'!C124</f>
        <v>R03</v>
      </c>
      <c r="D124" s="7">
        <f>'02_Actual_Revenue'!D124</f>
        <v>225625</v>
      </c>
      <c r="E124" s="7">
        <f>D124*(1+_xlfn.XLOOKUP("Devices",'01_Assumptions'!$A$4:$A$6,'01_Assumptions'!$B$4:$B$6))</f>
        <v>239162.5</v>
      </c>
      <c r="F124" s="3">
        <f>'02_Actual_Revenue'!E124*(1+_xlfn.XLOOKUP("Devices",'01_Assumptions'!$A$4:$A$6,'01_Assumptions'!$C$4:$C$6))</f>
        <v>712.98</v>
      </c>
      <c r="G124" s="9">
        <f t="shared" si="3"/>
        <v>170518079.25</v>
      </c>
      <c r="H124" s="9">
        <f>G124*'02_Actual_Revenue'!H124</f>
        <v>105721209.13500001</v>
      </c>
      <c r="I124" s="9">
        <f t="shared" si="4"/>
        <v>64796870.114999995</v>
      </c>
      <c r="J124" s="13">
        <f t="shared" si="5"/>
        <v>0.37999999999999995</v>
      </c>
    </row>
    <row r="125" spans="1:10">
      <c r="A125" s="5">
        <f>'02_Actual_Revenue'!A125</f>
        <v>45748</v>
      </c>
      <c r="B125" s="3" t="str">
        <f>'02_Actual_Revenue'!B125</f>
        <v>P001</v>
      </c>
      <c r="C125" s="3" t="str">
        <f>'02_Actual_Revenue'!C125</f>
        <v>R04</v>
      </c>
      <c r="D125" s="7">
        <f>'02_Actual_Revenue'!D125</f>
        <v>130625</v>
      </c>
      <c r="E125" s="7">
        <f>D125*(1+_xlfn.XLOOKUP("Devices",'01_Assumptions'!$A$4:$A$6,'01_Assumptions'!$B$4:$B$6))</f>
        <v>138462.5</v>
      </c>
      <c r="F125" s="3">
        <f>'02_Actual_Revenue'!E125*(1+_xlfn.XLOOKUP("Devices",'01_Assumptions'!$A$4:$A$6,'01_Assumptions'!$C$4:$C$6))</f>
        <v>712.98</v>
      </c>
      <c r="G125" s="9">
        <f t="shared" si="3"/>
        <v>98720993.25</v>
      </c>
      <c r="H125" s="9">
        <f>G125*'02_Actual_Revenue'!H125</f>
        <v>61207015.814999998</v>
      </c>
      <c r="I125" s="9">
        <f t="shared" si="4"/>
        <v>37513977.435000002</v>
      </c>
      <c r="J125" s="13">
        <f t="shared" si="5"/>
        <v>0.38</v>
      </c>
    </row>
    <row r="126" spans="1:10">
      <c r="A126" s="5">
        <f>'02_Actual_Revenue'!A126</f>
        <v>45748</v>
      </c>
      <c r="B126" s="3" t="str">
        <f>'02_Actual_Revenue'!B126</f>
        <v>P002</v>
      </c>
      <c r="C126" s="3" t="str">
        <f>'02_Actual_Revenue'!C126</f>
        <v>R01</v>
      </c>
      <c r="D126" s="7">
        <f>'02_Actual_Revenue'!D126</f>
        <v>114000</v>
      </c>
      <c r="E126" s="7">
        <f>D126*(1+_xlfn.XLOOKUP("Devices",'01_Assumptions'!$A$4:$A$6,'01_Assumptions'!$B$4:$B$6))</f>
        <v>120840</v>
      </c>
      <c r="F126" s="3">
        <f>'02_Actual_Revenue'!E126*(1+_xlfn.XLOOKUP("Devices",'01_Assumptions'!$A$4:$A$6,'01_Assumptions'!$C$4:$C$6))</f>
        <v>1018.98</v>
      </c>
      <c r="G126" s="9">
        <f t="shared" si="3"/>
        <v>123133543.2</v>
      </c>
      <c r="H126" s="9">
        <f>G126*'02_Actual_Revenue'!H126</f>
        <v>71417455.055999994</v>
      </c>
      <c r="I126" s="9">
        <f t="shared" si="4"/>
        <v>51716088.144000009</v>
      </c>
      <c r="J126" s="13">
        <f t="shared" si="5"/>
        <v>0.42000000000000004</v>
      </c>
    </row>
    <row r="127" spans="1:10">
      <c r="A127" s="5">
        <f>'02_Actual_Revenue'!A127</f>
        <v>45748</v>
      </c>
      <c r="B127" s="3" t="str">
        <f>'02_Actual_Revenue'!B127</f>
        <v>P002</v>
      </c>
      <c r="C127" s="3" t="str">
        <f>'02_Actual_Revenue'!C127</f>
        <v>R02</v>
      </c>
      <c r="D127" s="7">
        <f>'02_Actual_Revenue'!D127</f>
        <v>96900</v>
      </c>
      <c r="E127" s="7">
        <f>D127*(1+_xlfn.XLOOKUP("Devices",'01_Assumptions'!$A$4:$A$6,'01_Assumptions'!$B$4:$B$6))</f>
        <v>102714</v>
      </c>
      <c r="F127" s="3">
        <f>'02_Actual_Revenue'!E127*(1+_xlfn.XLOOKUP("Devices",'01_Assumptions'!$A$4:$A$6,'01_Assumptions'!$C$4:$C$6))</f>
        <v>1018.98</v>
      </c>
      <c r="G127" s="9">
        <f t="shared" si="3"/>
        <v>104663511.72</v>
      </c>
      <c r="H127" s="9">
        <f>G127*'02_Actual_Revenue'!H127</f>
        <v>60704836.797599994</v>
      </c>
      <c r="I127" s="9">
        <f t="shared" si="4"/>
        <v>43958674.922400005</v>
      </c>
      <c r="J127" s="13">
        <f t="shared" si="5"/>
        <v>0.42000000000000004</v>
      </c>
    </row>
    <row r="128" spans="1:10">
      <c r="A128" s="5">
        <f>'02_Actual_Revenue'!A128</f>
        <v>45748</v>
      </c>
      <c r="B128" s="3" t="str">
        <f>'02_Actual_Revenue'!B128</f>
        <v>P002</v>
      </c>
      <c r="C128" s="3" t="str">
        <f>'02_Actual_Revenue'!C128</f>
        <v>R03</v>
      </c>
      <c r="D128" s="7">
        <f>'02_Actual_Revenue'!D128</f>
        <v>108300</v>
      </c>
      <c r="E128" s="7">
        <f>D128*(1+_xlfn.XLOOKUP("Devices",'01_Assumptions'!$A$4:$A$6,'01_Assumptions'!$B$4:$B$6))</f>
        <v>114798</v>
      </c>
      <c r="F128" s="3">
        <f>'02_Actual_Revenue'!E128*(1+_xlfn.XLOOKUP("Devices",'01_Assumptions'!$A$4:$A$6,'01_Assumptions'!$C$4:$C$6))</f>
        <v>1018.98</v>
      </c>
      <c r="G128" s="9">
        <f t="shared" si="3"/>
        <v>116976866.04000001</v>
      </c>
      <c r="H128" s="9">
        <f>G128*'02_Actual_Revenue'!H128</f>
        <v>67846582.303200006</v>
      </c>
      <c r="I128" s="9">
        <f t="shared" si="4"/>
        <v>49130283.7368</v>
      </c>
      <c r="J128" s="13">
        <f t="shared" si="5"/>
        <v>0.42</v>
      </c>
    </row>
    <row r="129" spans="1:10">
      <c r="A129" s="5">
        <f>'02_Actual_Revenue'!A129</f>
        <v>45748</v>
      </c>
      <c r="B129" s="3" t="str">
        <f>'02_Actual_Revenue'!B129</f>
        <v>P002</v>
      </c>
      <c r="C129" s="3" t="str">
        <f>'02_Actual_Revenue'!C129</f>
        <v>R04</v>
      </c>
      <c r="D129" s="7">
        <f>'02_Actual_Revenue'!D129</f>
        <v>62700</v>
      </c>
      <c r="E129" s="7">
        <f>D129*(1+_xlfn.XLOOKUP("Devices",'01_Assumptions'!$A$4:$A$6,'01_Assumptions'!$B$4:$B$6))</f>
        <v>66462</v>
      </c>
      <c r="F129" s="3">
        <f>'02_Actual_Revenue'!E129*(1+_xlfn.XLOOKUP("Devices",'01_Assumptions'!$A$4:$A$6,'01_Assumptions'!$C$4:$C$6))</f>
        <v>1018.98</v>
      </c>
      <c r="G129" s="9">
        <f t="shared" si="3"/>
        <v>67723448.760000005</v>
      </c>
      <c r="H129" s="9">
        <f>G129*'02_Actual_Revenue'!H129</f>
        <v>39279600.2808</v>
      </c>
      <c r="I129" s="9">
        <f t="shared" si="4"/>
        <v>28443848.479200006</v>
      </c>
      <c r="J129" s="13">
        <f t="shared" si="5"/>
        <v>0.42000000000000004</v>
      </c>
    </row>
    <row r="130" spans="1:10">
      <c r="A130" s="5">
        <f>'02_Actual_Revenue'!A130</f>
        <v>45748</v>
      </c>
      <c r="B130" s="3" t="str">
        <f>'02_Actual_Revenue'!B130</f>
        <v>P003</v>
      </c>
      <c r="C130" s="3" t="str">
        <f>'02_Actual_Revenue'!C130</f>
        <v>R01</v>
      </c>
      <c r="D130" s="7">
        <f>'02_Actual_Revenue'!D130</f>
        <v>133000</v>
      </c>
      <c r="E130" s="7">
        <f>D130*(1+_xlfn.XLOOKUP("Devices",'01_Assumptions'!$A$4:$A$6,'01_Assumptions'!$B$4:$B$6))</f>
        <v>140980</v>
      </c>
      <c r="F130" s="3">
        <f>'02_Actual_Revenue'!E130*(1+_xlfn.XLOOKUP("Devices",'01_Assumptions'!$A$4:$A$6,'01_Assumptions'!$C$4:$C$6))</f>
        <v>559.98</v>
      </c>
      <c r="G130" s="9">
        <f t="shared" si="3"/>
        <v>78945980.400000006</v>
      </c>
      <c r="H130" s="9">
        <f>G130*'02_Actual_Revenue'!H130</f>
        <v>47367588.240000002</v>
      </c>
      <c r="I130" s="9">
        <f t="shared" si="4"/>
        <v>31578392.160000004</v>
      </c>
      <c r="J130" s="13">
        <f t="shared" si="5"/>
        <v>0.4</v>
      </c>
    </row>
    <row r="131" spans="1:10">
      <c r="A131" s="5">
        <f>'02_Actual_Revenue'!A131</f>
        <v>45748</v>
      </c>
      <c r="B131" s="3" t="str">
        <f>'02_Actual_Revenue'!B131</f>
        <v>P003</v>
      </c>
      <c r="C131" s="3" t="str">
        <f>'02_Actual_Revenue'!C131</f>
        <v>R02</v>
      </c>
      <c r="D131" s="7">
        <f>'02_Actual_Revenue'!D131</f>
        <v>113050</v>
      </c>
      <c r="E131" s="7">
        <f>D131*(1+_xlfn.XLOOKUP("Devices",'01_Assumptions'!$A$4:$A$6,'01_Assumptions'!$B$4:$B$6))</f>
        <v>119833</v>
      </c>
      <c r="F131" s="3">
        <f>'02_Actual_Revenue'!E131*(1+_xlfn.XLOOKUP("Devices",'01_Assumptions'!$A$4:$A$6,'01_Assumptions'!$C$4:$C$6))</f>
        <v>559.98</v>
      </c>
      <c r="G131" s="9">
        <f t="shared" ref="G131:G194" si="6">E131*F131</f>
        <v>67104083.340000004</v>
      </c>
      <c r="H131" s="9">
        <f>G131*'02_Actual_Revenue'!H131</f>
        <v>40262450.004000001</v>
      </c>
      <c r="I131" s="9">
        <f t="shared" ref="I131:I194" si="7">G131-H131</f>
        <v>26841633.336000003</v>
      </c>
      <c r="J131" s="13">
        <f t="shared" ref="J131:J194" si="8">I131/G131</f>
        <v>0.4</v>
      </c>
    </row>
    <row r="132" spans="1:10">
      <c r="A132" s="5">
        <f>'02_Actual_Revenue'!A132</f>
        <v>45748</v>
      </c>
      <c r="B132" s="3" t="str">
        <f>'02_Actual_Revenue'!B132</f>
        <v>P003</v>
      </c>
      <c r="C132" s="3" t="str">
        <f>'02_Actual_Revenue'!C132</f>
        <v>R03</v>
      </c>
      <c r="D132" s="7">
        <f>'02_Actual_Revenue'!D132</f>
        <v>126350</v>
      </c>
      <c r="E132" s="7">
        <f>D132*(1+_xlfn.XLOOKUP("Devices",'01_Assumptions'!$A$4:$A$6,'01_Assumptions'!$B$4:$B$6))</f>
        <v>133931</v>
      </c>
      <c r="F132" s="3">
        <f>'02_Actual_Revenue'!E132*(1+_xlfn.XLOOKUP("Devices",'01_Assumptions'!$A$4:$A$6,'01_Assumptions'!$C$4:$C$6))</f>
        <v>559.98</v>
      </c>
      <c r="G132" s="9">
        <f t="shared" si="6"/>
        <v>74998681.379999995</v>
      </c>
      <c r="H132" s="9">
        <f>G132*'02_Actual_Revenue'!H132</f>
        <v>44999208.827999994</v>
      </c>
      <c r="I132" s="9">
        <f t="shared" si="7"/>
        <v>29999472.552000001</v>
      </c>
      <c r="J132" s="13">
        <f t="shared" si="8"/>
        <v>0.4</v>
      </c>
    </row>
    <row r="133" spans="1:10">
      <c r="A133" s="5">
        <f>'02_Actual_Revenue'!A133</f>
        <v>45748</v>
      </c>
      <c r="B133" s="3" t="str">
        <f>'02_Actual_Revenue'!B133</f>
        <v>P003</v>
      </c>
      <c r="C133" s="3" t="str">
        <f>'02_Actual_Revenue'!C133</f>
        <v>R04</v>
      </c>
      <c r="D133" s="7">
        <f>'02_Actual_Revenue'!D133</f>
        <v>73150</v>
      </c>
      <c r="E133" s="7">
        <f>D133*(1+_xlfn.XLOOKUP("Devices",'01_Assumptions'!$A$4:$A$6,'01_Assumptions'!$B$4:$B$6))</f>
        <v>77539</v>
      </c>
      <c r="F133" s="3">
        <f>'02_Actual_Revenue'!E133*(1+_xlfn.XLOOKUP("Devices",'01_Assumptions'!$A$4:$A$6,'01_Assumptions'!$C$4:$C$6))</f>
        <v>559.98</v>
      </c>
      <c r="G133" s="9">
        <f t="shared" si="6"/>
        <v>43420289.219999999</v>
      </c>
      <c r="H133" s="9">
        <f>G133*'02_Actual_Revenue'!H133</f>
        <v>26052173.531999998</v>
      </c>
      <c r="I133" s="9">
        <f t="shared" si="7"/>
        <v>17368115.688000001</v>
      </c>
      <c r="J133" s="13">
        <f t="shared" si="8"/>
        <v>0.4</v>
      </c>
    </row>
    <row r="134" spans="1:10">
      <c r="A134" s="5">
        <f>'02_Actual_Revenue'!A134</f>
        <v>45748</v>
      </c>
      <c r="B134" s="3" t="str">
        <f>'02_Actual_Revenue'!B134</f>
        <v>P004</v>
      </c>
      <c r="C134" s="3" t="str">
        <f>'02_Actual_Revenue'!C134</f>
        <v>R01</v>
      </c>
      <c r="D134" s="7">
        <f>'02_Actual_Revenue'!D134</f>
        <v>66500</v>
      </c>
      <c r="E134" s="7">
        <f>D134*(1+_xlfn.XLOOKUP("Devices",'01_Assumptions'!$A$4:$A$6,'01_Assumptions'!$B$4:$B$6))</f>
        <v>70490</v>
      </c>
      <c r="F134" s="3">
        <f>'02_Actual_Revenue'!E134*(1+_xlfn.XLOOKUP("Devices",'01_Assumptions'!$A$4:$A$6,'01_Assumptions'!$C$4:$C$6))</f>
        <v>1222.98</v>
      </c>
      <c r="G134" s="9">
        <f t="shared" si="6"/>
        <v>86207860.200000003</v>
      </c>
      <c r="H134" s="9">
        <f>G134*'02_Actual_Revenue'!H134</f>
        <v>47414323.110000007</v>
      </c>
      <c r="I134" s="9">
        <f t="shared" si="7"/>
        <v>38793537.089999996</v>
      </c>
      <c r="J134" s="13">
        <f t="shared" si="8"/>
        <v>0.44999999999999996</v>
      </c>
    </row>
    <row r="135" spans="1:10">
      <c r="A135" s="5">
        <f>'02_Actual_Revenue'!A135</f>
        <v>45748</v>
      </c>
      <c r="B135" s="3" t="str">
        <f>'02_Actual_Revenue'!B135</f>
        <v>P004</v>
      </c>
      <c r="C135" s="3" t="str">
        <f>'02_Actual_Revenue'!C135</f>
        <v>R02</v>
      </c>
      <c r="D135" s="7">
        <f>'02_Actual_Revenue'!D135</f>
        <v>56525</v>
      </c>
      <c r="E135" s="7">
        <f>D135*(1+_xlfn.XLOOKUP("Devices",'01_Assumptions'!$A$4:$A$6,'01_Assumptions'!$B$4:$B$6))</f>
        <v>59916.5</v>
      </c>
      <c r="F135" s="3">
        <f>'02_Actual_Revenue'!E135*(1+_xlfn.XLOOKUP("Devices",'01_Assumptions'!$A$4:$A$6,'01_Assumptions'!$C$4:$C$6))</f>
        <v>1222.98</v>
      </c>
      <c r="G135" s="9">
        <f t="shared" si="6"/>
        <v>73276681.170000002</v>
      </c>
      <c r="H135" s="9">
        <f>G135*'02_Actual_Revenue'!H135</f>
        <v>40302174.643500008</v>
      </c>
      <c r="I135" s="9">
        <f t="shared" si="7"/>
        <v>32974506.526499994</v>
      </c>
      <c r="J135" s="13">
        <f t="shared" si="8"/>
        <v>0.4499999999999999</v>
      </c>
    </row>
    <row r="136" spans="1:10">
      <c r="A136" s="5">
        <f>'02_Actual_Revenue'!A136</f>
        <v>45748</v>
      </c>
      <c r="B136" s="3" t="str">
        <f>'02_Actual_Revenue'!B136</f>
        <v>P004</v>
      </c>
      <c r="C136" s="3" t="str">
        <f>'02_Actual_Revenue'!C136</f>
        <v>R03</v>
      </c>
      <c r="D136" s="7">
        <f>'02_Actual_Revenue'!D136</f>
        <v>63175</v>
      </c>
      <c r="E136" s="7">
        <f>D136*(1+_xlfn.XLOOKUP("Devices",'01_Assumptions'!$A$4:$A$6,'01_Assumptions'!$B$4:$B$6))</f>
        <v>66965.5</v>
      </c>
      <c r="F136" s="3">
        <f>'02_Actual_Revenue'!E136*(1+_xlfn.XLOOKUP("Devices",'01_Assumptions'!$A$4:$A$6,'01_Assumptions'!$C$4:$C$6))</f>
        <v>1222.98</v>
      </c>
      <c r="G136" s="9">
        <f t="shared" si="6"/>
        <v>81897467.189999998</v>
      </c>
      <c r="H136" s="9">
        <f>G136*'02_Actual_Revenue'!H136</f>
        <v>45043606.954500005</v>
      </c>
      <c r="I136" s="9">
        <f t="shared" si="7"/>
        <v>36853860.235499993</v>
      </c>
      <c r="J136" s="13">
        <f t="shared" si="8"/>
        <v>0.4499999999999999</v>
      </c>
    </row>
    <row r="137" spans="1:10">
      <c r="A137" s="5">
        <f>'02_Actual_Revenue'!A137</f>
        <v>45748</v>
      </c>
      <c r="B137" s="3" t="str">
        <f>'02_Actual_Revenue'!B137</f>
        <v>P004</v>
      </c>
      <c r="C137" s="3" t="str">
        <f>'02_Actual_Revenue'!C137</f>
        <v>R04</v>
      </c>
      <c r="D137" s="7">
        <f>'02_Actual_Revenue'!D137</f>
        <v>36575</v>
      </c>
      <c r="E137" s="7">
        <f>D137*(1+_xlfn.XLOOKUP("Devices",'01_Assumptions'!$A$4:$A$6,'01_Assumptions'!$B$4:$B$6))</f>
        <v>38769.5</v>
      </c>
      <c r="F137" s="3">
        <f>'02_Actual_Revenue'!E137*(1+_xlfn.XLOOKUP("Devices",'01_Assumptions'!$A$4:$A$6,'01_Assumptions'!$C$4:$C$6))</f>
        <v>1222.98</v>
      </c>
      <c r="G137" s="9">
        <f t="shared" si="6"/>
        <v>47414323.109999999</v>
      </c>
      <c r="H137" s="9">
        <f>G137*'02_Actual_Revenue'!H137</f>
        <v>26077877.710500002</v>
      </c>
      <c r="I137" s="9">
        <f t="shared" si="7"/>
        <v>21336445.399499997</v>
      </c>
      <c r="J137" s="13">
        <f t="shared" si="8"/>
        <v>0.44999999999999996</v>
      </c>
    </row>
    <row r="138" spans="1:10">
      <c r="A138" s="5">
        <f>'02_Actual_Revenue'!A138</f>
        <v>45748</v>
      </c>
      <c r="B138" s="3" t="str">
        <f>'02_Actual_Revenue'!B138</f>
        <v>P005</v>
      </c>
      <c r="C138" s="3" t="str">
        <f>'02_Actual_Revenue'!C138</f>
        <v>R01</v>
      </c>
      <c r="D138" s="7">
        <f>'02_Actual_Revenue'!D138</f>
        <v>171000</v>
      </c>
      <c r="E138" s="7">
        <f>D138*(1+_xlfn.XLOOKUP("Devices",'01_Assumptions'!$A$4:$A$6,'01_Assumptions'!$B$4:$B$6))</f>
        <v>181260</v>
      </c>
      <c r="F138" s="3">
        <f>'02_Actual_Revenue'!E138*(1+_xlfn.XLOOKUP("Devices",'01_Assumptions'!$A$4:$A$6,'01_Assumptions'!$C$4:$C$6))</f>
        <v>304.98</v>
      </c>
      <c r="G138" s="9">
        <f t="shared" si="6"/>
        <v>55280674.800000004</v>
      </c>
      <c r="H138" s="9">
        <f>G138*'02_Actual_Revenue'!H138</f>
        <v>27640337.400000002</v>
      </c>
      <c r="I138" s="9">
        <f t="shared" si="7"/>
        <v>27640337.400000002</v>
      </c>
      <c r="J138" s="13">
        <f t="shared" si="8"/>
        <v>0.5</v>
      </c>
    </row>
    <row r="139" spans="1:10">
      <c r="A139" s="5">
        <f>'02_Actual_Revenue'!A139</f>
        <v>45748</v>
      </c>
      <c r="B139" s="3" t="str">
        <f>'02_Actual_Revenue'!B139</f>
        <v>P005</v>
      </c>
      <c r="C139" s="3" t="str">
        <f>'02_Actual_Revenue'!C139</f>
        <v>R02</v>
      </c>
      <c r="D139" s="7">
        <f>'02_Actual_Revenue'!D139</f>
        <v>145350</v>
      </c>
      <c r="E139" s="7">
        <f>D139*(1+_xlfn.XLOOKUP("Devices",'01_Assumptions'!$A$4:$A$6,'01_Assumptions'!$B$4:$B$6))</f>
        <v>154071</v>
      </c>
      <c r="F139" s="3">
        <f>'02_Actual_Revenue'!E139*(1+_xlfn.XLOOKUP("Devices",'01_Assumptions'!$A$4:$A$6,'01_Assumptions'!$C$4:$C$6))</f>
        <v>304.98</v>
      </c>
      <c r="G139" s="9">
        <f t="shared" si="6"/>
        <v>46988573.580000006</v>
      </c>
      <c r="H139" s="9">
        <f>G139*'02_Actual_Revenue'!H139</f>
        <v>23494286.790000003</v>
      </c>
      <c r="I139" s="9">
        <f t="shared" si="7"/>
        <v>23494286.790000003</v>
      </c>
      <c r="J139" s="13">
        <f t="shared" si="8"/>
        <v>0.5</v>
      </c>
    </row>
    <row r="140" spans="1:10">
      <c r="A140" s="5">
        <f>'02_Actual_Revenue'!A140</f>
        <v>45748</v>
      </c>
      <c r="B140" s="3" t="str">
        <f>'02_Actual_Revenue'!B140</f>
        <v>P005</v>
      </c>
      <c r="C140" s="3" t="str">
        <f>'02_Actual_Revenue'!C140</f>
        <v>R03</v>
      </c>
      <c r="D140" s="7">
        <f>'02_Actual_Revenue'!D140</f>
        <v>162450</v>
      </c>
      <c r="E140" s="7">
        <f>D140*(1+_xlfn.XLOOKUP("Devices",'01_Assumptions'!$A$4:$A$6,'01_Assumptions'!$B$4:$B$6))</f>
        <v>172197</v>
      </c>
      <c r="F140" s="3">
        <f>'02_Actual_Revenue'!E140*(1+_xlfn.XLOOKUP("Devices",'01_Assumptions'!$A$4:$A$6,'01_Assumptions'!$C$4:$C$6))</f>
        <v>304.98</v>
      </c>
      <c r="G140" s="9">
        <f t="shared" si="6"/>
        <v>52516641.060000002</v>
      </c>
      <c r="H140" s="9">
        <f>G140*'02_Actual_Revenue'!H140</f>
        <v>26258320.530000001</v>
      </c>
      <c r="I140" s="9">
        <f t="shared" si="7"/>
        <v>26258320.530000001</v>
      </c>
      <c r="J140" s="13">
        <f t="shared" si="8"/>
        <v>0.5</v>
      </c>
    </row>
    <row r="141" spans="1:10">
      <c r="A141" s="5">
        <f>'02_Actual_Revenue'!A141</f>
        <v>45748</v>
      </c>
      <c r="B141" s="3" t="str">
        <f>'02_Actual_Revenue'!B141</f>
        <v>P005</v>
      </c>
      <c r="C141" s="3" t="str">
        <f>'02_Actual_Revenue'!C141</f>
        <v>R04</v>
      </c>
      <c r="D141" s="7">
        <f>'02_Actual_Revenue'!D141</f>
        <v>94050</v>
      </c>
      <c r="E141" s="7">
        <f>D141*(1+_xlfn.XLOOKUP("Devices",'01_Assumptions'!$A$4:$A$6,'01_Assumptions'!$B$4:$B$6))</f>
        <v>99693</v>
      </c>
      <c r="F141" s="3">
        <f>'02_Actual_Revenue'!E141*(1+_xlfn.XLOOKUP("Devices",'01_Assumptions'!$A$4:$A$6,'01_Assumptions'!$C$4:$C$6))</f>
        <v>304.98</v>
      </c>
      <c r="G141" s="9">
        <f t="shared" si="6"/>
        <v>30404371.140000001</v>
      </c>
      <c r="H141" s="9">
        <f>G141*'02_Actual_Revenue'!H141</f>
        <v>15202185.57</v>
      </c>
      <c r="I141" s="9">
        <f t="shared" si="7"/>
        <v>15202185.57</v>
      </c>
      <c r="J141" s="13">
        <f t="shared" si="8"/>
        <v>0.5</v>
      </c>
    </row>
    <row r="142" spans="1:10">
      <c r="A142" s="5">
        <f>'02_Actual_Revenue'!A142</f>
        <v>45748</v>
      </c>
      <c r="B142" s="3" t="str">
        <f>'02_Actual_Revenue'!B142</f>
        <v>P006</v>
      </c>
      <c r="C142" s="3" t="str">
        <f>'02_Actual_Revenue'!C142</f>
        <v>R01</v>
      </c>
      <c r="D142" s="7">
        <f>'02_Actual_Revenue'!D142</f>
        <v>570000</v>
      </c>
      <c r="E142" s="7">
        <f>D142*(1+_xlfn.XLOOKUP("Cloud &amp; Software",'01_Assumptions'!$A$4:$A$6,'01_Assumptions'!$B$4:$B$6))</f>
        <v>627000</v>
      </c>
      <c r="F142" s="3">
        <f>'02_Actual_Revenue'!E142*(1+_xlfn.XLOOKUP("Cloud &amp; Software",'01_Assumptions'!$A$4:$A$6,'01_Assumptions'!$C$4:$C$6))</f>
        <v>40.17</v>
      </c>
      <c r="G142" s="9">
        <f t="shared" si="6"/>
        <v>25186590</v>
      </c>
      <c r="H142" s="9">
        <f>G142*'02_Actual_Revenue'!H142</f>
        <v>6296647.5</v>
      </c>
      <c r="I142" s="9">
        <f t="shared" si="7"/>
        <v>18889942.5</v>
      </c>
      <c r="J142" s="13">
        <f t="shared" si="8"/>
        <v>0.75</v>
      </c>
    </row>
    <row r="143" spans="1:10">
      <c r="A143" s="5">
        <f>'02_Actual_Revenue'!A143</f>
        <v>45748</v>
      </c>
      <c r="B143" s="3" t="str">
        <f>'02_Actual_Revenue'!B143</f>
        <v>P006</v>
      </c>
      <c r="C143" s="3" t="str">
        <f>'02_Actual_Revenue'!C143</f>
        <v>R02</v>
      </c>
      <c r="D143" s="7">
        <f>'02_Actual_Revenue'!D143</f>
        <v>484500</v>
      </c>
      <c r="E143" s="7">
        <f>D143*(1+_xlfn.XLOOKUP("Cloud &amp; Software",'01_Assumptions'!$A$4:$A$6,'01_Assumptions'!$B$4:$B$6))</f>
        <v>532950</v>
      </c>
      <c r="F143" s="3">
        <f>'02_Actual_Revenue'!E143*(1+_xlfn.XLOOKUP("Cloud &amp; Software",'01_Assumptions'!$A$4:$A$6,'01_Assumptions'!$C$4:$C$6))</f>
        <v>40.17</v>
      </c>
      <c r="G143" s="9">
        <f t="shared" si="6"/>
        <v>21408601.5</v>
      </c>
      <c r="H143" s="9">
        <f>G143*'02_Actual_Revenue'!H143</f>
        <v>5352150.375</v>
      </c>
      <c r="I143" s="9">
        <f t="shared" si="7"/>
        <v>16056451.125</v>
      </c>
      <c r="J143" s="13">
        <f t="shared" si="8"/>
        <v>0.75</v>
      </c>
    </row>
    <row r="144" spans="1:10">
      <c r="A144" s="5">
        <f>'02_Actual_Revenue'!A144</f>
        <v>45748</v>
      </c>
      <c r="B144" s="3" t="str">
        <f>'02_Actual_Revenue'!B144</f>
        <v>P006</v>
      </c>
      <c r="C144" s="3" t="str">
        <f>'02_Actual_Revenue'!C144</f>
        <v>R03</v>
      </c>
      <c r="D144" s="7">
        <f>'02_Actual_Revenue'!D144</f>
        <v>541500</v>
      </c>
      <c r="E144" s="7">
        <f>D144*(1+_xlfn.XLOOKUP("Cloud &amp; Software",'01_Assumptions'!$A$4:$A$6,'01_Assumptions'!$B$4:$B$6))</f>
        <v>595650</v>
      </c>
      <c r="F144" s="3">
        <f>'02_Actual_Revenue'!E144*(1+_xlfn.XLOOKUP("Cloud &amp; Software",'01_Assumptions'!$A$4:$A$6,'01_Assumptions'!$C$4:$C$6))</f>
        <v>40.17</v>
      </c>
      <c r="G144" s="9">
        <f t="shared" si="6"/>
        <v>23927260.5</v>
      </c>
      <c r="H144" s="9">
        <f>G144*'02_Actual_Revenue'!H144</f>
        <v>5981815.125</v>
      </c>
      <c r="I144" s="9">
        <f t="shared" si="7"/>
        <v>17945445.375</v>
      </c>
      <c r="J144" s="13">
        <f t="shared" si="8"/>
        <v>0.75</v>
      </c>
    </row>
    <row r="145" spans="1:10">
      <c r="A145" s="5">
        <f>'02_Actual_Revenue'!A145</f>
        <v>45748</v>
      </c>
      <c r="B145" s="3" t="str">
        <f>'02_Actual_Revenue'!B145</f>
        <v>P006</v>
      </c>
      <c r="C145" s="3" t="str">
        <f>'02_Actual_Revenue'!C145</f>
        <v>R04</v>
      </c>
      <c r="D145" s="7">
        <f>'02_Actual_Revenue'!D145</f>
        <v>313500</v>
      </c>
      <c r="E145" s="7">
        <f>D145*(1+_xlfn.XLOOKUP("Cloud &amp; Software",'01_Assumptions'!$A$4:$A$6,'01_Assumptions'!$B$4:$B$6))</f>
        <v>344850</v>
      </c>
      <c r="F145" s="3">
        <f>'02_Actual_Revenue'!E145*(1+_xlfn.XLOOKUP("Cloud &amp; Software",'01_Assumptions'!$A$4:$A$6,'01_Assumptions'!$C$4:$C$6))</f>
        <v>40.17</v>
      </c>
      <c r="G145" s="9">
        <f t="shared" si="6"/>
        <v>13852624.5</v>
      </c>
      <c r="H145" s="9">
        <f>G145*'02_Actual_Revenue'!H145</f>
        <v>3463156.125</v>
      </c>
      <c r="I145" s="9">
        <f t="shared" si="7"/>
        <v>10389468.375</v>
      </c>
      <c r="J145" s="13">
        <f t="shared" si="8"/>
        <v>0.75</v>
      </c>
    </row>
    <row r="146" spans="1:10">
      <c r="A146" s="5">
        <f>'02_Actual_Revenue'!A146</f>
        <v>45748</v>
      </c>
      <c r="B146" s="3" t="str">
        <f>'02_Actual_Revenue'!B146</f>
        <v>P007</v>
      </c>
      <c r="C146" s="3" t="str">
        <f>'02_Actual_Revenue'!C146</f>
        <v>R01</v>
      </c>
      <c r="D146" s="7">
        <f>'02_Actual_Revenue'!D146</f>
        <v>380000</v>
      </c>
      <c r="E146" s="7">
        <f>D146*(1+_xlfn.XLOOKUP("Cloud &amp; Software",'01_Assumptions'!$A$4:$A$6,'01_Assumptions'!$B$4:$B$6))</f>
        <v>418000.00000000006</v>
      </c>
      <c r="F146" s="3">
        <f>'02_Actual_Revenue'!E146*(1+_xlfn.XLOOKUP("Cloud &amp; Software",'01_Assumptions'!$A$4:$A$6,'01_Assumptions'!$C$4:$C$6))</f>
        <v>24.72</v>
      </c>
      <c r="G146" s="9">
        <f t="shared" si="6"/>
        <v>10332960.000000002</v>
      </c>
      <c r="H146" s="9">
        <f>G146*'02_Actual_Revenue'!H146</f>
        <v>2066592.0000000005</v>
      </c>
      <c r="I146" s="9">
        <f t="shared" si="7"/>
        <v>8266368.0000000019</v>
      </c>
      <c r="J146" s="13">
        <f t="shared" si="8"/>
        <v>0.8</v>
      </c>
    </row>
    <row r="147" spans="1:10">
      <c r="A147" s="5">
        <f>'02_Actual_Revenue'!A147</f>
        <v>45748</v>
      </c>
      <c r="B147" s="3" t="str">
        <f>'02_Actual_Revenue'!B147</f>
        <v>P007</v>
      </c>
      <c r="C147" s="3" t="str">
        <f>'02_Actual_Revenue'!C147</f>
        <v>R02</v>
      </c>
      <c r="D147" s="7">
        <f>'02_Actual_Revenue'!D147</f>
        <v>323000</v>
      </c>
      <c r="E147" s="7">
        <f>D147*(1+_xlfn.XLOOKUP("Cloud &amp; Software",'01_Assumptions'!$A$4:$A$6,'01_Assumptions'!$B$4:$B$6))</f>
        <v>355300</v>
      </c>
      <c r="F147" s="3">
        <f>'02_Actual_Revenue'!E147*(1+_xlfn.XLOOKUP("Cloud &amp; Software",'01_Assumptions'!$A$4:$A$6,'01_Assumptions'!$C$4:$C$6))</f>
        <v>24.72</v>
      </c>
      <c r="G147" s="9">
        <f t="shared" si="6"/>
        <v>8783016</v>
      </c>
      <c r="H147" s="9">
        <f>G147*'02_Actual_Revenue'!H147</f>
        <v>1756603.2000000002</v>
      </c>
      <c r="I147" s="9">
        <f t="shared" si="7"/>
        <v>7026412.7999999998</v>
      </c>
      <c r="J147" s="13">
        <f t="shared" si="8"/>
        <v>0.79999999999999993</v>
      </c>
    </row>
    <row r="148" spans="1:10">
      <c r="A148" s="5">
        <f>'02_Actual_Revenue'!A148</f>
        <v>45748</v>
      </c>
      <c r="B148" s="3" t="str">
        <f>'02_Actual_Revenue'!B148</f>
        <v>P007</v>
      </c>
      <c r="C148" s="3" t="str">
        <f>'02_Actual_Revenue'!C148</f>
        <v>R03</v>
      </c>
      <c r="D148" s="7">
        <f>'02_Actual_Revenue'!D148</f>
        <v>361000</v>
      </c>
      <c r="E148" s="7">
        <f>D148*(1+_xlfn.XLOOKUP("Cloud &amp; Software",'01_Assumptions'!$A$4:$A$6,'01_Assumptions'!$B$4:$B$6))</f>
        <v>397100.00000000006</v>
      </c>
      <c r="F148" s="3">
        <f>'02_Actual_Revenue'!E148*(1+_xlfn.XLOOKUP("Cloud &amp; Software",'01_Assumptions'!$A$4:$A$6,'01_Assumptions'!$C$4:$C$6))</f>
        <v>24.72</v>
      </c>
      <c r="G148" s="9">
        <f t="shared" si="6"/>
        <v>9816312.0000000019</v>
      </c>
      <c r="H148" s="9">
        <f>G148*'02_Actual_Revenue'!H148</f>
        <v>1963262.4000000004</v>
      </c>
      <c r="I148" s="9">
        <f t="shared" si="7"/>
        <v>7853049.6000000015</v>
      </c>
      <c r="J148" s="13">
        <f t="shared" si="8"/>
        <v>0.8</v>
      </c>
    </row>
    <row r="149" spans="1:10">
      <c r="A149" s="5">
        <f>'02_Actual_Revenue'!A149</f>
        <v>45748</v>
      </c>
      <c r="B149" s="3" t="str">
        <f>'02_Actual_Revenue'!B149</f>
        <v>P007</v>
      </c>
      <c r="C149" s="3" t="str">
        <f>'02_Actual_Revenue'!C149</f>
        <v>R04</v>
      </c>
      <c r="D149" s="7">
        <f>'02_Actual_Revenue'!D149</f>
        <v>209000</v>
      </c>
      <c r="E149" s="7">
        <f>D149*(1+_xlfn.XLOOKUP("Cloud &amp; Software",'01_Assumptions'!$A$4:$A$6,'01_Assumptions'!$B$4:$B$6))</f>
        <v>229900.00000000003</v>
      </c>
      <c r="F149" s="3">
        <f>'02_Actual_Revenue'!E149*(1+_xlfn.XLOOKUP("Cloud &amp; Software",'01_Assumptions'!$A$4:$A$6,'01_Assumptions'!$C$4:$C$6))</f>
        <v>24.72</v>
      </c>
      <c r="G149" s="9">
        <f t="shared" si="6"/>
        <v>5683128</v>
      </c>
      <c r="H149" s="9">
        <f>G149*'02_Actual_Revenue'!H149</f>
        <v>1136625.6000000001</v>
      </c>
      <c r="I149" s="9">
        <f t="shared" si="7"/>
        <v>4546502.4000000004</v>
      </c>
      <c r="J149" s="13">
        <f t="shared" si="8"/>
        <v>0.8</v>
      </c>
    </row>
    <row r="150" spans="1:10">
      <c r="A150" s="5">
        <f>'02_Actual_Revenue'!A150</f>
        <v>45748</v>
      </c>
      <c r="B150" s="3" t="str">
        <f>'02_Actual_Revenue'!B150</f>
        <v>P008</v>
      </c>
      <c r="C150" s="3" t="str">
        <f>'02_Actual_Revenue'!C150</f>
        <v>R01</v>
      </c>
      <c r="D150" s="7">
        <f>'02_Actual_Revenue'!D150</f>
        <v>1140000</v>
      </c>
      <c r="E150" s="7">
        <f>D150*(1+_xlfn.XLOOKUP("Digital Services",'01_Assumptions'!$A$4:$A$6,'01_Assumptions'!$B$4:$B$6))</f>
        <v>1231200</v>
      </c>
      <c r="F150" s="3">
        <f>'02_Actual_Revenue'!E150*(1+_xlfn.XLOOKUP("Digital Services",'01_Assumptions'!$A$4:$A$6,'01_Assumptions'!$C$4:$C$6))</f>
        <v>12.24</v>
      </c>
      <c r="G150" s="9">
        <f t="shared" si="6"/>
        <v>15069888</v>
      </c>
      <c r="H150" s="9">
        <f>G150*'02_Actual_Revenue'!H150</f>
        <v>4520966.3999999994</v>
      </c>
      <c r="I150" s="9">
        <f t="shared" si="7"/>
        <v>10548921.600000001</v>
      </c>
      <c r="J150" s="13">
        <f t="shared" si="8"/>
        <v>0.70000000000000007</v>
      </c>
    </row>
    <row r="151" spans="1:10">
      <c r="A151" s="5">
        <f>'02_Actual_Revenue'!A151</f>
        <v>45748</v>
      </c>
      <c r="B151" s="3" t="str">
        <f>'02_Actual_Revenue'!B151</f>
        <v>P008</v>
      </c>
      <c r="C151" s="3" t="str">
        <f>'02_Actual_Revenue'!C151</f>
        <v>R02</v>
      </c>
      <c r="D151" s="7">
        <f>'02_Actual_Revenue'!D151</f>
        <v>969000</v>
      </c>
      <c r="E151" s="7">
        <f>D151*(1+_xlfn.XLOOKUP("Digital Services",'01_Assumptions'!$A$4:$A$6,'01_Assumptions'!$B$4:$B$6))</f>
        <v>1046520.0000000001</v>
      </c>
      <c r="F151" s="3">
        <f>'02_Actual_Revenue'!E151*(1+_xlfn.XLOOKUP("Digital Services",'01_Assumptions'!$A$4:$A$6,'01_Assumptions'!$C$4:$C$6))</f>
        <v>12.24</v>
      </c>
      <c r="G151" s="9">
        <f t="shared" si="6"/>
        <v>12809404.800000001</v>
      </c>
      <c r="H151" s="9">
        <f>G151*'02_Actual_Revenue'!H151</f>
        <v>3842821.44</v>
      </c>
      <c r="I151" s="9">
        <f t="shared" si="7"/>
        <v>8966583.3600000013</v>
      </c>
      <c r="J151" s="13">
        <f t="shared" si="8"/>
        <v>0.70000000000000007</v>
      </c>
    </row>
    <row r="152" spans="1:10">
      <c r="A152" s="5">
        <f>'02_Actual_Revenue'!A152</f>
        <v>45748</v>
      </c>
      <c r="B152" s="3" t="str">
        <f>'02_Actual_Revenue'!B152</f>
        <v>P008</v>
      </c>
      <c r="C152" s="3" t="str">
        <f>'02_Actual_Revenue'!C152</f>
        <v>R03</v>
      </c>
      <c r="D152" s="7">
        <f>'02_Actual_Revenue'!D152</f>
        <v>1083000</v>
      </c>
      <c r="E152" s="7">
        <f>D152*(1+_xlfn.XLOOKUP("Digital Services",'01_Assumptions'!$A$4:$A$6,'01_Assumptions'!$B$4:$B$6))</f>
        <v>1169640</v>
      </c>
      <c r="F152" s="3">
        <f>'02_Actual_Revenue'!E152*(1+_xlfn.XLOOKUP("Digital Services",'01_Assumptions'!$A$4:$A$6,'01_Assumptions'!$C$4:$C$6))</f>
        <v>12.24</v>
      </c>
      <c r="G152" s="9">
        <f t="shared" si="6"/>
        <v>14316393.6</v>
      </c>
      <c r="H152" s="9">
        <f>G152*'02_Actual_Revenue'!H152</f>
        <v>4294918.08</v>
      </c>
      <c r="I152" s="9">
        <f t="shared" si="7"/>
        <v>10021475.52</v>
      </c>
      <c r="J152" s="13">
        <f t="shared" si="8"/>
        <v>0.7</v>
      </c>
    </row>
    <row r="153" spans="1:10">
      <c r="A153" s="5">
        <f>'02_Actual_Revenue'!A153</f>
        <v>45748</v>
      </c>
      <c r="B153" s="3" t="str">
        <f>'02_Actual_Revenue'!B153</f>
        <v>P008</v>
      </c>
      <c r="C153" s="3" t="str">
        <f>'02_Actual_Revenue'!C153</f>
        <v>R04</v>
      </c>
      <c r="D153" s="7">
        <f>'02_Actual_Revenue'!D153</f>
        <v>627000</v>
      </c>
      <c r="E153" s="7">
        <f>D153*(1+_xlfn.XLOOKUP("Digital Services",'01_Assumptions'!$A$4:$A$6,'01_Assumptions'!$B$4:$B$6))</f>
        <v>677160</v>
      </c>
      <c r="F153" s="3">
        <f>'02_Actual_Revenue'!E153*(1+_xlfn.XLOOKUP("Digital Services",'01_Assumptions'!$A$4:$A$6,'01_Assumptions'!$C$4:$C$6))</f>
        <v>12.24</v>
      </c>
      <c r="G153" s="9">
        <f t="shared" si="6"/>
        <v>8288438.4000000004</v>
      </c>
      <c r="H153" s="9">
        <f>G153*'02_Actual_Revenue'!H153</f>
        <v>2486531.52</v>
      </c>
      <c r="I153" s="9">
        <f t="shared" si="7"/>
        <v>5801906.8800000008</v>
      </c>
      <c r="J153" s="13">
        <f t="shared" si="8"/>
        <v>0.70000000000000007</v>
      </c>
    </row>
    <row r="154" spans="1:10">
      <c r="A154" s="5">
        <f>'02_Actual_Revenue'!A154</f>
        <v>45748</v>
      </c>
      <c r="B154" s="3" t="str">
        <f>'02_Actual_Revenue'!B154</f>
        <v>P009</v>
      </c>
      <c r="C154" s="3" t="str">
        <f>'02_Actual_Revenue'!C154</f>
        <v>R01</v>
      </c>
      <c r="D154" s="7">
        <f>'02_Actual_Revenue'!D154</f>
        <v>760000</v>
      </c>
      <c r="E154" s="7">
        <f>D154*(1+_xlfn.XLOOKUP("Digital Services",'01_Assumptions'!$A$4:$A$6,'01_Assumptions'!$B$4:$B$6))</f>
        <v>820800</v>
      </c>
      <c r="F154" s="3">
        <f>'02_Actual_Revenue'!E154*(1+_xlfn.XLOOKUP("Digital Services",'01_Assumptions'!$A$4:$A$6,'01_Assumptions'!$C$4:$C$6))</f>
        <v>15.3</v>
      </c>
      <c r="G154" s="9">
        <f t="shared" si="6"/>
        <v>12558240</v>
      </c>
      <c r="H154" s="9">
        <f>G154*'02_Actual_Revenue'!H154</f>
        <v>4395384</v>
      </c>
      <c r="I154" s="9">
        <f t="shared" si="7"/>
        <v>8162856</v>
      </c>
      <c r="J154" s="13">
        <f t="shared" si="8"/>
        <v>0.65</v>
      </c>
    </row>
    <row r="155" spans="1:10">
      <c r="A155" s="5">
        <f>'02_Actual_Revenue'!A155</f>
        <v>45748</v>
      </c>
      <c r="B155" s="3" t="str">
        <f>'02_Actual_Revenue'!B155</f>
        <v>P009</v>
      </c>
      <c r="C155" s="3" t="str">
        <f>'02_Actual_Revenue'!C155</f>
        <v>R02</v>
      </c>
      <c r="D155" s="7">
        <f>'02_Actual_Revenue'!D155</f>
        <v>646000</v>
      </c>
      <c r="E155" s="7">
        <f>D155*(1+_xlfn.XLOOKUP("Digital Services",'01_Assumptions'!$A$4:$A$6,'01_Assumptions'!$B$4:$B$6))</f>
        <v>697680</v>
      </c>
      <c r="F155" s="3">
        <f>'02_Actual_Revenue'!E155*(1+_xlfn.XLOOKUP("Digital Services",'01_Assumptions'!$A$4:$A$6,'01_Assumptions'!$C$4:$C$6))</f>
        <v>15.3</v>
      </c>
      <c r="G155" s="9">
        <f t="shared" si="6"/>
        <v>10674504</v>
      </c>
      <c r="H155" s="9">
        <f>G155*'02_Actual_Revenue'!H155</f>
        <v>3736076.4</v>
      </c>
      <c r="I155" s="9">
        <f t="shared" si="7"/>
        <v>6938427.5999999996</v>
      </c>
      <c r="J155" s="13">
        <f t="shared" si="8"/>
        <v>0.64999999999999991</v>
      </c>
    </row>
    <row r="156" spans="1:10">
      <c r="A156" s="5">
        <f>'02_Actual_Revenue'!A156</f>
        <v>45748</v>
      </c>
      <c r="B156" s="3" t="str">
        <f>'02_Actual_Revenue'!B156</f>
        <v>P009</v>
      </c>
      <c r="C156" s="3" t="str">
        <f>'02_Actual_Revenue'!C156</f>
        <v>R03</v>
      </c>
      <c r="D156" s="7">
        <f>'02_Actual_Revenue'!D156</f>
        <v>722000</v>
      </c>
      <c r="E156" s="7">
        <f>D156*(1+_xlfn.XLOOKUP("Digital Services",'01_Assumptions'!$A$4:$A$6,'01_Assumptions'!$B$4:$B$6))</f>
        <v>779760</v>
      </c>
      <c r="F156" s="3">
        <f>'02_Actual_Revenue'!E156*(1+_xlfn.XLOOKUP("Digital Services",'01_Assumptions'!$A$4:$A$6,'01_Assumptions'!$C$4:$C$6))</f>
        <v>15.3</v>
      </c>
      <c r="G156" s="9">
        <f t="shared" si="6"/>
        <v>11930328</v>
      </c>
      <c r="H156" s="9">
        <f>G156*'02_Actual_Revenue'!H156</f>
        <v>4175614.8</v>
      </c>
      <c r="I156" s="9">
        <f t="shared" si="7"/>
        <v>7754713.2000000002</v>
      </c>
      <c r="J156" s="13">
        <f t="shared" si="8"/>
        <v>0.65</v>
      </c>
    </row>
    <row r="157" spans="1:10">
      <c r="A157" s="5">
        <f>'02_Actual_Revenue'!A157</f>
        <v>45748</v>
      </c>
      <c r="B157" s="3" t="str">
        <f>'02_Actual_Revenue'!B157</f>
        <v>P009</v>
      </c>
      <c r="C157" s="3" t="str">
        <f>'02_Actual_Revenue'!C157</f>
        <v>R04</v>
      </c>
      <c r="D157" s="7">
        <f>'02_Actual_Revenue'!D157</f>
        <v>418000</v>
      </c>
      <c r="E157" s="7">
        <f>D157*(1+_xlfn.XLOOKUP("Digital Services",'01_Assumptions'!$A$4:$A$6,'01_Assumptions'!$B$4:$B$6))</f>
        <v>451440.00000000006</v>
      </c>
      <c r="F157" s="3">
        <f>'02_Actual_Revenue'!E157*(1+_xlfn.XLOOKUP("Digital Services",'01_Assumptions'!$A$4:$A$6,'01_Assumptions'!$C$4:$C$6))</f>
        <v>15.3</v>
      </c>
      <c r="G157" s="9">
        <f t="shared" si="6"/>
        <v>6907032.0000000009</v>
      </c>
      <c r="H157" s="9">
        <f>G157*'02_Actual_Revenue'!H157</f>
        <v>2417461.2000000002</v>
      </c>
      <c r="I157" s="9">
        <f t="shared" si="7"/>
        <v>4489570.8000000007</v>
      </c>
      <c r="J157" s="13">
        <f t="shared" si="8"/>
        <v>0.65</v>
      </c>
    </row>
    <row r="158" spans="1:10">
      <c r="A158" s="5">
        <f>'02_Actual_Revenue'!A158</f>
        <v>45748</v>
      </c>
      <c r="B158" s="3" t="str">
        <f>'02_Actual_Revenue'!B158</f>
        <v>P010</v>
      </c>
      <c r="C158" s="3" t="str">
        <f>'02_Actual_Revenue'!C158</f>
        <v>R01</v>
      </c>
      <c r="D158" s="7">
        <f>'02_Actual_Revenue'!D158</f>
        <v>855000</v>
      </c>
      <c r="E158" s="7">
        <f>D158*(1+_xlfn.XLOOKUP("Digital Services",'01_Assumptions'!$A$4:$A$6,'01_Assumptions'!$B$4:$B$6))</f>
        <v>923400.00000000012</v>
      </c>
      <c r="F158" s="3">
        <f>'02_Actual_Revenue'!E158*(1+_xlfn.XLOOKUP("Digital Services",'01_Assumptions'!$A$4:$A$6,'01_Assumptions'!$C$4:$C$6))</f>
        <v>8.16</v>
      </c>
      <c r="G158" s="9">
        <f t="shared" si="6"/>
        <v>7534944.0000000009</v>
      </c>
      <c r="H158" s="9">
        <f>G158*'02_Actual_Revenue'!H158</f>
        <v>1130241.6000000001</v>
      </c>
      <c r="I158" s="9">
        <f t="shared" si="7"/>
        <v>6404702.4000000004</v>
      </c>
      <c r="J158" s="13">
        <f t="shared" si="8"/>
        <v>0.85</v>
      </c>
    </row>
    <row r="159" spans="1:10">
      <c r="A159" s="5">
        <f>'02_Actual_Revenue'!A159</f>
        <v>45748</v>
      </c>
      <c r="B159" s="3" t="str">
        <f>'02_Actual_Revenue'!B159</f>
        <v>P010</v>
      </c>
      <c r="C159" s="3" t="str">
        <f>'02_Actual_Revenue'!C159</f>
        <v>R02</v>
      </c>
      <c r="D159" s="7">
        <f>'02_Actual_Revenue'!D159</f>
        <v>726750</v>
      </c>
      <c r="E159" s="7">
        <f>D159*(1+_xlfn.XLOOKUP("Digital Services",'01_Assumptions'!$A$4:$A$6,'01_Assumptions'!$B$4:$B$6))</f>
        <v>784890</v>
      </c>
      <c r="F159" s="3">
        <f>'02_Actual_Revenue'!E159*(1+_xlfn.XLOOKUP("Digital Services",'01_Assumptions'!$A$4:$A$6,'01_Assumptions'!$C$4:$C$6))</f>
        <v>8.16</v>
      </c>
      <c r="G159" s="9">
        <f t="shared" si="6"/>
        <v>6404702.4000000004</v>
      </c>
      <c r="H159" s="9">
        <f>G159*'02_Actual_Revenue'!H159</f>
        <v>960705.36</v>
      </c>
      <c r="I159" s="9">
        <f t="shared" si="7"/>
        <v>5443997.04</v>
      </c>
      <c r="J159" s="13">
        <f t="shared" si="8"/>
        <v>0.85</v>
      </c>
    </row>
    <row r="160" spans="1:10">
      <c r="A160" s="5">
        <f>'02_Actual_Revenue'!A160</f>
        <v>45748</v>
      </c>
      <c r="B160" s="3" t="str">
        <f>'02_Actual_Revenue'!B160</f>
        <v>P010</v>
      </c>
      <c r="C160" s="3" t="str">
        <f>'02_Actual_Revenue'!C160</f>
        <v>R03</v>
      </c>
      <c r="D160" s="7">
        <f>'02_Actual_Revenue'!D160</f>
        <v>812250</v>
      </c>
      <c r="E160" s="7">
        <f>D160*(1+_xlfn.XLOOKUP("Digital Services",'01_Assumptions'!$A$4:$A$6,'01_Assumptions'!$B$4:$B$6))</f>
        <v>877230</v>
      </c>
      <c r="F160" s="3">
        <f>'02_Actual_Revenue'!E160*(1+_xlfn.XLOOKUP("Digital Services",'01_Assumptions'!$A$4:$A$6,'01_Assumptions'!$C$4:$C$6))</f>
        <v>8.16</v>
      </c>
      <c r="G160" s="9">
        <f t="shared" si="6"/>
        <v>7158196.7999999998</v>
      </c>
      <c r="H160" s="9">
        <f>G160*'02_Actual_Revenue'!H160</f>
        <v>1073729.52</v>
      </c>
      <c r="I160" s="9">
        <f t="shared" si="7"/>
        <v>6084467.2799999993</v>
      </c>
      <c r="J160" s="13">
        <f t="shared" si="8"/>
        <v>0.85</v>
      </c>
    </row>
    <row r="161" spans="1:10">
      <c r="A161" s="5">
        <f>'02_Actual_Revenue'!A161</f>
        <v>45748</v>
      </c>
      <c r="B161" s="3" t="str">
        <f>'02_Actual_Revenue'!B161</f>
        <v>P010</v>
      </c>
      <c r="C161" s="3" t="str">
        <f>'02_Actual_Revenue'!C161</f>
        <v>R04</v>
      </c>
      <c r="D161" s="7">
        <f>'02_Actual_Revenue'!D161</f>
        <v>470250</v>
      </c>
      <c r="E161" s="7">
        <f>D161*(1+_xlfn.XLOOKUP("Digital Services",'01_Assumptions'!$A$4:$A$6,'01_Assumptions'!$B$4:$B$6))</f>
        <v>507870.00000000006</v>
      </c>
      <c r="F161" s="3">
        <f>'02_Actual_Revenue'!E161*(1+_xlfn.XLOOKUP("Digital Services",'01_Assumptions'!$A$4:$A$6,'01_Assumptions'!$C$4:$C$6))</f>
        <v>8.16</v>
      </c>
      <c r="G161" s="9">
        <f t="shared" si="6"/>
        <v>4144219.2000000007</v>
      </c>
      <c r="H161" s="9">
        <f>G161*'02_Actual_Revenue'!H161</f>
        <v>621632.88000000012</v>
      </c>
      <c r="I161" s="9">
        <f t="shared" si="7"/>
        <v>3522586.3200000003</v>
      </c>
      <c r="J161" s="13">
        <f t="shared" si="8"/>
        <v>0.85</v>
      </c>
    </row>
    <row r="162" spans="1:10">
      <c r="A162" s="5">
        <f>'02_Actual_Revenue'!A162</f>
        <v>45778</v>
      </c>
      <c r="B162" s="3" t="str">
        <f>'02_Actual_Revenue'!B162</f>
        <v>P001</v>
      </c>
      <c r="C162" s="3" t="str">
        <f>'02_Actual_Revenue'!C162</f>
        <v>R01</v>
      </c>
      <c r="D162" s="7">
        <f>'02_Actual_Revenue'!D162</f>
        <v>250000</v>
      </c>
      <c r="E162" s="7">
        <f>D162*(1+_xlfn.XLOOKUP("Devices",'01_Assumptions'!$A$4:$A$6,'01_Assumptions'!$B$4:$B$6))</f>
        <v>265000</v>
      </c>
      <c r="F162" s="3">
        <f>'02_Actual_Revenue'!E162*(1+_xlfn.XLOOKUP("Devices",'01_Assumptions'!$A$4:$A$6,'01_Assumptions'!$C$4:$C$6))</f>
        <v>712.98</v>
      </c>
      <c r="G162" s="9">
        <f t="shared" si="6"/>
        <v>188939700</v>
      </c>
      <c r="H162" s="9">
        <f>G162*'02_Actual_Revenue'!H162</f>
        <v>117142614</v>
      </c>
      <c r="I162" s="9">
        <f t="shared" si="7"/>
        <v>71797086</v>
      </c>
      <c r="J162" s="13">
        <f t="shared" si="8"/>
        <v>0.38</v>
      </c>
    </row>
    <row r="163" spans="1:10">
      <c r="A163" s="5">
        <f>'02_Actual_Revenue'!A163</f>
        <v>45778</v>
      </c>
      <c r="B163" s="3" t="str">
        <f>'02_Actual_Revenue'!B163</f>
        <v>P001</v>
      </c>
      <c r="C163" s="3" t="str">
        <f>'02_Actual_Revenue'!C163</f>
        <v>R02</v>
      </c>
      <c r="D163" s="7">
        <f>'02_Actual_Revenue'!D163</f>
        <v>212500</v>
      </c>
      <c r="E163" s="7">
        <f>D163*(1+_xlfn.XLOOKUP("Devices",'01_Assumptions'!$A$4:$A$6,'01_Assumptions'!$B$4:$B$6))</f>
        <v>225250</v>
      </c>
      <c r="F163" s="3">
        <f>'02_Actual_Revenue'!E163*(1+_xlfn.XLOOKUP("Devices",'01_Assumptions'!$A$4:$A$6,'01_Assumptions'!$C$4:$C$6))</f>
        <v>712.98</v>
      </c>
      <c r="G163" s="9">
        <f t="shared" si="6"/>
        <v>160598745</v>
      </c>
      <c r="H163" s="9">
        <f>G163*'02_Actual_Revenue'!H163</f>
        <v>99571221.900000006</v>
      </c>
      <c r="I163" s="9">
        <f t="shared" si="7"/>
        <v>61027523.099999994</v>
      </c>
      <c r="J163" s="13">
        <f t="shared" si="8"/>
        <v>0.37999999999999995</v>
      </c>
    </row>
    <row r="164" spans="1:10">
      <c r="A164" s="5">
        <f>'02_Actual_Revenue'!A164</f>
        <v>45778</v>
      </c>
      <c r="B164" s="3" t="str">
        <f>'02_Actual_Revenue'!B164</f>
        <v>P001</v>
      </c>
      <c r="C164" s="3" t="str">
        <f>'02_Actual_Revenue'!C164</f>
        <v>R03</v>
      </c>
      <c r="D164" s="7">
        <f>'02_Actual_Revenue'!D164</f>
        <v>237500</v>
      </c>
      <c r="E164" s="7">
        <f>D164*(1+_xlfn.XLOOKUP("Devices",'01_Assumptions'!$A$4:$A$6,'01_Assumptions'!$B$4:$B$6))</f>
        <v>251750</v>
      </c>
      <c r="F164" s="3">
        <f>'02_Actual_Revenue'!E164*(1+_xlfn.XLOOKUP("Devices",'01_Assumptions'!$A$4:$A$6,'01_Assumptions'!$C$4:$C$6))</f>
        <v>712.98</v>
      </c>
      <c r="G164" s="9">
        <f t="shared" si="6"/>
        <v>179492715</v>
      </c>
      <c r="H164" s="9">
        <f>G164*'02_Actual_Revenue'!H164</f>
        <v>111285483.3</v>
      </c>
      <c r="I164" s="9">
        <f t="shared" si="7"/>
        <v>68207231.700000003</v>
      </c>
      <c r="J164" s="13">
        <f t="shared" si="8"/>
        <v>0.38</v>
      </c>
    </row>
    <row r="165" spans="1:10">
      <c r="A165" s="5">
        <f>'02_Actual_Revenue'!A165</f>
        <v>45778</v>
      </c>
      <c r="B165" s="3" t="str">
        <f>'02_Actual_Revenue'!B165</f>
        <v>P001</v>
      </c>
      <c r="C165" s="3" t="str">
        <f>'02_Actual_Revenue'!C165</f>
        <v>R04</v>
      </c>
      <c r="D165" s="7">
        <f>'02_Actual_Revenue'!D165</f>
        <v>137500</v>
      </c>
      <c r="E165" s="7">
        <f>D165*(1+_xlfn.XLOOKUP("Devices",'01_Assumptions'!$A$4:$A$6,'01_Assumptions'!$B$4:$B$6))</f>
        <v>145750</v>
      </c>
      <c r="F165" s="3">
        <f>'02_Actual_Revenue'!E165*(1+_xlfn.XLOOKUP("Devices",'01_Assumptions'!$A$4:$A$6,'01_Assumptions'!$C$4:$C$6))</f>
        <v>712.98</v>
      </c>
      <c r="G165" s="9">
        <f t="shared" si="6"/>
        <v>103916835</v>
      </c>
      <c r="H165" s="9">
        <f>G165*'02_Actual_Revenue'!H165</f>
        <v>64428437.700000003</v>
      </c>
      <c r="I165" s="9">
        <f t="shared" si="7"/>
        <v>39488397.299999997</v>
      </c>
      <c r="J165" s="13">
        <f t="shared" si="8"/>
        <v>0.37999999999999995</v>
      </c>
    </row>
    <row r="166" spans="1:10">
      <c r="A166" s="5">
        <f>'02_Actual_Revenue'!A166</f>
        <v>45778</v>
      </c>
      <c r="B166" s="3" t="str">
        <f>'02_Actual_Revenue'!B166</f>
        <v>P002</v>
      </c>
      <c r="C166" s="3" t="str">
        <f>'02_Actual_Revenue'!C166</f>
        <v>R01</v>
      </c>
      <c r="D166" s="7">
        <f>'02_Actual_Revenue'!D166</f>
        <v>120000</v>
      </c>
      <c r="E166" s="7">
        <f>D166*(1+_xlfn.XLOOKUP("Devices",'01_Assumptions'!$A$4:$A$6,'01_Assumptions'!$B$4:$B$6))</f>
        <v>127200</v>
      </c>
      <c r="F166" s="3">
        <f>'02_Actual_Revenue'!E166*(1+_xlfn.XLOOKUP("Devices",'01_Assumptions'!$A$4:$A$6,'01_Assumptions'!$C$4:$C$6))</f>
        <v>1018.98</v>
      </c>
      <c r="G166" s="9">
        <f t="shared" si="6"/>
        <v>129614256</v>
      </c>
      <c r="H166" s="9">
        <f>G166*'02_Actual_Revenue'!H166</f>
        <v>75176268.479999989</v>
      </c>
      <c r="I166" s="9">
        <f t="shared" si="7"/>
        <v>54437987.520000011</v>
      </c>
      <c r="J166" s="13">
        <f t="shared" si="8"/>
        <v>0.4200000000000001</v>
      </c>
    </row>
    <row r="167" spans="1:10">
      <c r="A167" s="5">
        <f>'02_Actual_Revenue'!A167</f>
        <v>45778</v>
      </c>
      <c r="B167" s="3" t="str">
        <f>'02_Actual_Revenue'!B167</f>
        <v>P002</v>
      </c>
      <c r="C167" s="3" t="str">
        <f>'02_Actual_Revenue'!C167</f>
        <v>R02</v>
      </c>
      <c r="D167" s="7">
        <f>'02_Actual_Revenue'!D167</f>
        <v>102000</v>
      </c>
      <c r="E167" s="7">
        <f>D167*(1+_xlfn.XLOOKUP("Devices",'01_Assumptions'!$A$4:$A$6,'01_Assumptions'!$B$4:$B$6))</f>
        <v>108120</v>
      </c>
      <c r="F167" s="3">
        <f>'02_Actual_Revenue'!E167*(1+_xlfn.XLOOKUP("Devices",'01_Assumptions'!$A$4:$A$6,'01_Assumptions'!$C$4:$C$6))</f>
        <v>1018.98</v>
      </c>
      <c r="G167" s="9">
        <f t="shared" si="6"/>
        <v>110172117.60000001</v>
      </c>
      <c r="H167" s="9">
        <f>G167*'02_Actual_Revenue'!H167</f>
        <v>63899828.208000004</v>
      </c>
      <c r="I167" s="9">
        <f t="shared" si="7"/>
        <v>46272289.392000005</v>
      </c>
      <c r="J167" s="13">
        <f t="shared" si="8"/>
        <v>0.42</v>
      </c>
    </row>
    <row r="168" spans="1:10">
      <c r="A168" s="5">
        <f>'02_Actual_Revenue'!A168</f>
        <v>45778</v>
      </c>
      <c r="B168" s="3" t="str">
        <f>'02_Actual_Revenue'!B168</f>
        <v>P002</v>
      </c>
      <c r="C168" s="3" t="str">
        <f>'02_Actual_Revenue'!C168</f>
        <v>R03</v>
      </c>
      <c r="D168" s="7">
        <f>'02_Actual_Revenue'!D168</f>
        <v>114000</v>
      </c>
      <c r="E168" s="7">
        <f>D168*(1+_xlfn.XLOOKUP("Devices",'01_Assumptions'!$A$4:$A$6,'01_Assumptions'!$B$4:$B$6))</f>
        <v>120840</v>
      </c>
      <c r="F168" s="3">
        <f>'02_Actual_Revenue'!E168*(1+_xlfn.XLOOKUP("Devices",'01_Assumptions'!$A$4:$A$6,'01_Assumptions'!$C$4:$C$6))</f>
        <v>1018.98</v>
      </c>
      <c r="G168" s="9">
        <f t="shared" si="6"/>
        <v>123133543.2</v>
      </c>
      <c r="H168" s="9">
        <f>G168*'02_Actual_Revenue'!H168</f>
        <v>71417455.055999994</v>
      </c>
      <c r="I168" s="9">
        <f t="shared" si="7"/>
        <v>51716088.144000009</v>
      </c>
      <c r="J168" s="13">
        <f t="shared" si="8"/>
        <v>0.42000000000000004</v>
      </c>
    </row>
    <row r="169" spans="1:10">
      <c r="A169" s="5">
        <f>'02_Actual_Revenue'!A169</f>
        <v>45778</v>
      </c>
      <c r="B169" s="3" t="str">
        <f>'02_Actual_Revenue'!B169</f>
        <v>P002</v>
      </c>
      <c r="C169" s="3" t="str">
        <f>'02_Actual_Revenue'!C169</f>
        <v>R04</v>
      </c>
      <c r="D169" s="7">
        <f>'02_Actual_Revenue'!D169</f>
        <v>66000</v>
      </c>
      <c r="E169" s="7">
        <f>D169*(1+_xlfn.XLOOKUP("Devices",'01_Assumptions'!$A$4:$A$6,'01_Assumptions'!$B$4:$B$6))</f>
        <v>69960</v>
      </c>
      <c r="F169" s="3">
        <f>'02_Actual_Revenue'!E169*(1+_xlfn.XLOOKUP("Devices",'01_Assumptions'!$A$4:$A$6,'01_Assumptions'!$C$4:$C$6))</f>
        <v>1018.98</v>
      </c>
      <c r="G169" s="9">
        <f t="shared" si="6"/>
        <v>71287840.799999997</v>
      </c>
      <c r="H169" s="9">
        <f>G169*'02_Actual_Revenue'!H169</f>
        <v>41346947.663999997</v>
      </c>
      <c r="I169" s="9">
        <f t="shared" si="7"/>
        <v>29940893.136</v>
      </c>
      <c r="J169" s="13">
        <f t="shared" si="8"/>
        <v>0.42000000000000004</v>
      </c>
    </row>
    <row r="170" spans="1:10">
      <c r="A170" s="5">
        <f>'02_Actual_Revenue'!A170</f>
        <v>45778</v>
      </c>
      <c r="B170" s="3" t="str">
        <f>'02_Actual_Revenue'!B170</f>
        <v>P003</v>
      </c>
      <c r="C170" s="3" t="str">
        <f>'02_Actual_Revenue'!C170</f>
        <v>R01</v>
      </c>
      <c r="D170" s="7">
        <f>'02_Actual_Revenue'!D170</f>
        <v>140000</v>
      </c>
      <c r="E170" s="7">
        <f>D170*(1+_xlfn.XLOOKUP("Devices",'01_Assumptions'!$A$4:$A$6,'01_Assumptions'!$B$4:$B$6))</f>
        <v>148400</v>
      </c>
      <c r="F170" s="3">
        <f>'02_Actual_Revenue'!E170*(1+_xlfn.XLOOKUP("Devices",'01_Assumptions'!$A$4:$A$6,'01_Assumptions'!$C$4:$C$6))</f>
        <v>559.98</v>
      </c>
      <c r="G170" s="9">
        <f t="shared" si="6"/>
        <v>83101032</v>
      </c>
      <c r="H170" s="9">
        <f>G170*'02_Actual_Revenue'!H170</f>
        <v>49860619.199999996</v>
      </c>
      <c r="I170" s="9">
        <f t="shared" si="7"/>
        <v>33240412.800000004</v>
      </c>
      <c r="J170" s="13">
        <f t="shared" si="8"/>
        <v>0.40000000000000008</v>
      </c>
    </row>
    <row r="171" spans="1:10">
      <c r="A171" s="5">
        <f>'02_Actual_Revenue'!A171</f>
        <v>45778</v>
      </c>
      <c r="B171" s="3" t="str">
        <f>'02_Actual_Revenue'!B171</f>
        <v>P003</v>
      </c>
      <c r="C171" s="3" t="str">
        <f>'02_Actual_Revenue'!C171</f>
        <v>R02</v>
      </c>
      <c r="D171" s="7">
        <f>'02_Actual_Revenue'!D171</f>
        <v>119000</v>
      </c>
      <c r="E171" s="7">
        <f>D171*(1+_xlfn.XLOOKUP("Devices",'01_Assumptions'!$A$4:$A$6,'01_Assumptions'!$B$4:$B$6))</f>
        <v>126140</v>
      </c>
      <c r="F171" s="3">
        <f>'02_Actual_Revenue'!E171*(1+_xlfn.XLOOKUP("Devices",'01_Assumptions'!$A$4:$A$6,'01_Assumptions'!$C$4:$C$6))</f>
        <v>559.98</v>
      </c>
      <c r="G171" s="9">
        <f t="shared" si="6"/>
        <v>70635877.200000003</v>
      </c>
      <c r="H171" s="9">
        <f>G171*'02_Actual_Revenue'!H171</f>
        <v>42381526.32</v>
      </c>
      <c r="I171" s="9">
        <f t="shared" si="7"/>
        <v>28254350.880000003</v>
      </c>
      <c r="J171" s="13">
        <f t="shared" si="8"/>
        <v>0.4</v>
      </c>
    </row>
    <row r="172" spans="1:10">
      <c r="A172" s="5">
        <f>'02_Actual_Revenue'!A172</f>
        <v>45778</v>
      </c>
      <c r="B172" s="3" t="str">
        <f>'02_Actual_Revenue'!B172</f>
        <v>P003</v>
      </c>
      <c r="C172" s="3" t="str">
        <f>'02_Actual_Revenue'!C172</f>
        <v>R03</v>
      </c>
      <c r="D172" s="7">
        <f>'02_Actual_Revenue'!D172</f>
        <v>133000</v>
      </c>
      <c r="E172" s="7">
        <f>D172*(1+_xlfn.XLOOKUP("Devices",'01_Assumptions'!$A$4:$A$6,'01_Assumptions'!$B$4:$B$6))</f>
        <v>140980</v>
      </c>
      <c r="F172" s="3">
        <f>'02_Actual_Revenue'!E172*(1+_xlfn.XLOOKUP("Devices",'01_Assumptions'!$A$4:$A$6,'01_Assumptions'!$C$4:$C$6))</f>
        <v>559.98</v>
      </c>
      <c r="G172" s="9">
        <f t="shared" si="6"/>
        <v>78945980.400000006</v>
      </c>
      <c r="H172" s="9">
        <f>G172*'02_Actual_Revenue'!H172</f>
        <v>47367588.240000002</v>
      </c>
      <c r="I172" s="9">
        <f t="shared" si="7"/>
        <v>31578392.160000004</v>
      </c>
      <c r="J172" s="13">
        <f t="shared" si="8"/>
        <v>0.4</v>
      </c>
    </row>
    <row r="173" spans="1:10">
      <c r="A173" s="5">
        <f>'02_Actual_Revenue'!A173</f>
        <v>45778</v>
      </c>
      <c r="B173" s="3" t="str">
        <f>'02_Actual_Revenue'!B173</f>
        <v>P003</v>
      </c>
      <c r="C173" s="3" t="str">
        <f>'02_Actual_Revenue'!C173</f>
        <v>R04</v>
      </c>
      <c r="D173" s="7">
        <f>'02_Actual_Revenue'!D173</f>
        <v>77000</v>
      </c>
      <c r="E173" s="7">
        <f>D173*(1+_xlfn.XLOOKUP("Devices",'01_Assumptions'!$A$4:$A$6,'01_Assumptions'!$B$4:$B$6))</f>
        <v>81620</v>
      </c>
      <c r="F173" s="3">
        <f>'02_Actual_Revenue'!E173*(1+_xlfn.XLOOKUP("Devices",'01_Assumptions'!$A$4:$A$6,'01_Assumptions'!$C$4:$C$6))</f>
        <v>559.98</v>
      </c>
      <c r="G173" s="9">
        <f t="shared" si="6"/>
        <v>45705567.600000001</v>
      </c>
      <c r="H173" s="9">
        <f>G173*'02_Actual_Revenue'!H173</f>
        <v>27423340.559999999</v>
      </c>
      <c r="I173" s="9">
        <f t="shared" si="7"/>
        <v>18282227.040000003</v>
      </c>
      <c r="J173" s="13">
        <f t="shared" si="8"/>
        <v>0.4</v>
      </c>
    </row>
    <row r="174" spans="1:10">
      <c r="A174" s="5">
        <f>'02_Actual_Revenue'!A174</f>
        <v>45778</v>
      </c>
      <c r="B174" s="3" t="str">
        <f>'02_Actual_Revenue'!B174</f>
        <v>P004</v>
      </c>
      <c r="C174" s="3" t="str">
        <f>'02_Actual_Revenue'!C174</f>
        <v>R01</v>
      </c>
      <c r="D174" s="7">
        <f>'02_Actual_Revenue'!D174</f>
        <v>70000</v>
      </c>
      <c r="E174" s="7">
        <f>D174*(1+_xlfn.XLOOKUP("Devices",'01_Assumptions'!$A$4:$A$6,'01_Assumptions'!$B$4:$B$6))</f>
        <v>74200</v>
      </c>
      <c r="F174" s="3">
        <f>'02_Actual_Revenue'!E174*(1+_xlfn.XLOOKUP("Devices",'01_Assumptions'!$A$4:$A$6,'01_Assumptions'!$C$4:$C$6))</f>
        <v>1222.98</v>
      </c>
      <c r="G174" s="9">
        <f t="shared" si="6"/>
        <v>90745116</v>
      </c>
      <c r="H174" s="9">
        <f>G174*'02_Actual_Revenue'!H174</f>
        <v>49909813.800000004</v>
      </c>
      <c r="I174" s="9">
        <f t="shared" si="7"/>
        <v>40835302.199999996</v>
      </c>
      <c r="J174" s="13">
        <f t="shared" si="8"/>
        <v>0.44999999999999996</v>
      </c>
    </row>
    <row r="175" spans="1:10">
      <c r="A175" s="5">
        <f>'02_Actual_Revenue'!A175</f>
        <v>45778</v>
      </c>
      <c r="B175" s="3" t="str">
        <f>'02_Actual_Revenue'!B175</f>
        <v>P004</v>
      </c>
      <c r="C175" s="3" t="str">
        <f>'02_Actual_Revenue'!C175</f>
        <v>R02</v>
      </c>
      <c r="D175" s="7">
        <f>'02_Actual_Revenue'!D175</f>
        <v>59500</v>
      </c>
      <c r="E175" s="7">
        <f>D175*(1+_xlfn.XLOOKUP("Devices",'01_Assumptions'!$A$4:$A$6,'01_Assumptions'!$B$4:$B$6))</f>
        <v>63070</v>
      </c>
      <c r="F175" s="3">
        <f>'02_Actual_Revenue'!E175*(1+_xlfn.XLOOKUP("Devices",'01_Assumptions'!$A$4:$A$6,'01_Assumptions'!$C$4:$C$6))</f>
        <v>1222.98</v>
      </c>
      <c r="G175" s="9">
        <f t="shared" si="6"/>
        <v>77133348.599999994</v>
      </c>
      <c r="H175" s="9">
        <f>G175*'02_Actual_Revenue'!H175</f>
        <v>42423341.729999997</v>
      </c>
      <c r="I175" s="9">
        <f t="shared" si="7"/>
        <v>34710006.869999997</v>
      </c>
      <c r="J175" s="13">
        <f t="shared" si="8"/>
        <v>0.45</v>
      </c>
    </row>
    <row r="176" spans="1:10">
      <c r="A176" s="5">
        <f>'02_Actual_Revenue'!A176</f>
        <v>45778</v>
      </c>
      <c r="B176" s="3" t="str">
        <f>'02_Actual_Revenue'!B176</f>
        <v>P004</v>
      </c>
      <c r="C176" s="3" t="str">
        <f>'02_Actual_Revenue'!C176</f>
        <v>R03</v>
      </c>
      <c r="D176" s="7">
        <f>'02_Actual_Revenue'!D176</f>
        <v>66500</v>
      </c>
      <c r="E176" s="7">
        <f>D176*(1+_xlfn.XLOOKUP("Devices",'01_Assumptions'!$A$4:$A$6,'01_Assumptions'!$B$4:$B$6))</f>
        <v>70490</v>
      </c>
      <c r="F176" s="3">
        <f>'02_Actual_Revenue'!E176*(1+_xlfn.XLOOKUP("Devices",'01_Assumptions'!$A$4:$A$6,'01_Assumptions'!$C$4:$C$6))</f>
        <v>1222.98</v>
      </c>
      <c r="G176" s="9">
        <f t="shared" si="6"/>
        <v>86207860.200000003</v>
      </c>
      <c r="H176" s="9">
        <f>G176*'02_Actual_Revenue'!H176</f>
        <v>47414323.110000007</v>
      </c>
      <c r="I176" s="9">
        <f t="shared" si="7"/>
        <v>38793537.089999996</v>
      </c>
      <c r="J176" s="13">
        <f t="shared" si="8"/>
        <v>0.44999999999999996</v>
      </c>
    </row>
    <row r="177" spans="1:10">
      <c r="A177" s="5">
        <f>'02_Actual_Revenue'!A177</f>
        <v>45778</v>
      </c>
      <c r="B177" s="3" t="str">
        <f>'02_Actual_Revenue'!B177</f>
        <v>P004</v>
      </c>
      <c r="C177" s="3" t="str">
        <f>'02_Actual_Revenue'!C177</f>
        <v>R04</v>
      </c>
      <c r="D177" s="7">
        <f>'02_Actual_Revenue'!D177</f>
        <v>38500</v>
      </c>
      <c r="E177" s="7">
        <f>D177*(1+_xlfn.XLOOKUP("Devices",'01_Assumptions'!$A$4:$A$6,'01_Assumptions'!$B$4:$B$6))</f>
        <v>40810</v>
      </c>
      <c r="F177" s="3">
        <f>'02_Actual_Revenue'!E177*(1+_xlfn.XLOOKUP("Devices",'01_Assumptions'!$A$4:$A$6,'01_Assumptions'!$C$4:$C$6))</f>
        <v>1222.98</v>
      </c>
      <c r="G177" s="9">
        <f t="shared" si="6"/>
        <v>49909813.799999997</v>
      </c>
      <c r="H177" s="9">
        <f>G177*'02_Actual_Revenue'!H177</f>
        <v>27450397.59</v>
      </c>
      <c r="I177" s="9">
        <f t="shared" si="7"/>
        <v>22459416.209999997</v>
      </c>
      <c r="J177" s="13">
        <f t="shared" si="8"/>
        <v>0.44999999999999996</v>
      </c>
    </row>
    <row r="178" spans="1:10">
      <c r="A178" s="5">
        <f>'02_Actual_Revenue'!A178</f>
        <v>45778</v>
      </c>
      <c r="B178" s="3" t="str">
        <f>'02_Actual_Revenue'!B178</f>
        <v>P005</v>
      </c>
      <c r="C178" s="3" t="str">
        <f>'02_Actual_Revenue'!C178</f>
        <v>R01</v>
      </c>
      <c r="D178" s="7">
        <f>'02_Actual_Revenue'!D178</f>
        <v>180000</v>
      </c>
      <c r="E178" s="7">
        <f>D178*(1+_xlfn.XLOOKUP("Devices",'01_Assumptions'!$A$4:$A$6,'01_Assumptions'!$B$4:$B$6))</f>
        <v>190800</v>
      </c>
      <c r="F178" s="3">
        <f>'02_Actual_Revenue'!E178*(1+_xlfn.XLOOKUP("Devices",'01_Assumptions'!$A$4:$A$6,'01_Assumptions'!$C$4:$C$6))</f>
        <v>304.98</v>
      </c>
      <c r="G178" s="9">
        <f t="shared" si="6"/>
        <v>58190184</v>
      </c>
      <c r="H178" s="9">
        <f>G178*'02_Actual_Revenue'!H178</f>
        <v>29095092</v>
      </c>
      <c r="I178" s="9">
        <f t="shared" si="7"/>
        <v>29095092</v>
      </c>
      <c r="J178" s="13">
        <f t="shared" si="8"/>
        <v>0.5</v>
      </c>
    </row>
    <row r="179" spans="1:10">
      <c r="A179" s="5">
        <f>'02_Actual_Revenue'!A179</f>
        <v>45778</v>
      </c>
      <c r="B179" s="3" t="str">
        <f>'02_Actual_Revenue'!B179</f>
        <v>P005</v>
      </c>
      <c r="C179" s="3" t="str">
        <f>'02_Actual_Revenue'!C179</f>
        <v>R02</v>
      </c>
      <c r="D179" s="7">
        <f>'02_Actual_Revenue'!D179</f>
        <v>153000</v>
      </c>
      <c r="E179" s="7">
        <f>D179*(1+_xlfn.XLOOKUP("Devices",'01_Assumptions'!$A$4:$A$6,'01_Assumptions'!$B$4:$B$6))</f>
        <v>162180</v>
      </c>
      <c r="F179" s="3">
        <f>'02_Actual_Revenue'!E179*(1+_xlfn.XLOOKUP("Devices",'01_Assumptions'!$A$4:$A$6,'01_Assumptions'!$C$4:$C$6))</f>
        <v>304.98</v>
      </c>
      <c r="G179" s="9">
        <f t="shared" si="6"/>
        <v>49461656.400000006</v>
      </c>
      <c r="H179" s="9">
        <f>G179*'02_Actual_Revenue'!H179</f>
        <v>24730828.200000003</v>
      </c>
      <c r="I179" s="9">
        <f t="shared" si="7"/>
        <v>24730828.200000003</v>
      </c>
      <c r="J179" s="13">
        <f t="shared" si="8"/>
        <v>0.5</v>
      </c>
    </row>
    <row r="180" spans="1:10">
      <c r="A180" s="5">
        <f>'02_Actual_Revenue'!A180</f>
        <v>45778</v>
      </c>
      <c r="B180" s="3" t="str">
        <f>'02_Actual_Revenue'!B180</f>
        <v>P005</v>
      </c>
      <c r="C180" s="3" t="str">
        <f>'02_Actual_Revenue'!C180</f>
        <v>R03</v>
      </c>
      <c r="D180" s="7">
        <f>'02_Actual_Revenue'!D180</f>
        <v>171000</v>
      </c>
      <c r="E180" s="7">
        <f>D180*(1+_xlfn.XLOOKUP("Devices",'01_Assumptions'!$A$4:$A$6,'01_Assumptions'!$B$4:$B$6))</f>
        <v>181260</v>
      </c>
      <c r="F180" s="3">
        <f>'02_Actual_Revenue'!E180*(1+_xlfn.XLOOKUP("Devices",'01_Assumptions'!$A$4:$A$6,'01_Assumptions'!$C$4:$C$6))</f>
        <v>304.98</v>
      </c>
      <c r="G180" s="9">
        <f t="shared" si="6"/>
        <v>55280674.800000004</v>
      </c>
      <c r="H180" s="9">
        <f>G180*'02_Actual_Revenue'!H180</f>
        <v>27640337.400000002</v>
      </c>
      <c r="I180" s="9">
        <f t="shared" si="7"/>
        <v>27640337.400000002</v>
      </c>
      <c r="J180" s="13">
        <f t="shared" si="8"/>
        <v>0.5</v>
      </c>
    </row>
    <row r="181" spans="1:10">
      <c r="A181" s="5">
        <f>'02_Actual_Revenue'!A181</f>
        <v>45778</v>
      </c>
      <c r="B181" s="3" t="str">
        <f>'02_Actual_Revenue'!B181</f>
        <v>P005</v>
      </c>
      <c r="C181" s="3" t="str">
        <f>'02_Actual_Revenue'!C181</f>
        <v>R04</v>
      </c>
      <c r="D181" s="7">
        <f>'02_Actual_Revenue'!D181</f>
        <v>99000</v>
      </c>
      <c r="E181" s="7">
        <f>D181*(1+_xlfn.XLOOKUP("Devices",'01_Assumptions'!$A$4:$A$6,'01_Assumptions'!$B$4:$B$6))</f>
        <v>104940</v>
      </c>
      <c r="F181" s="3">
        <f>'02_Actual_Revenue'!E181*(1+_xlfn.XLOOKUP("Devices",'01_Assumptions'!$A$4:$A$6,'01_Assumptions'!$C$4:$C$6))</f>
        <v>304.98</v>
      </c>
      <c r="G181" s="9">
        <f t="shared" si="6"/>
        <v>32004601.200000003</v>
      </c>
      <c r="H181" s="9">
        <f>G181*'02_Actual_Revenue'!H181</f>
        <v>16002300.600000001</v>
      </c>
      <c r="I181" s="9">
        <f t="shared" si="7"/>
        <v>16002300.600000001</v>
      </c>
      <c r="J181" s="13">
        <f t="shared" si="8"/>
        <v>0.5</v>
      </c>
    </row>
    <row r="182" spans="1:10">
      <c r="A182" s="5">
        <f>'02_Actual_Revenue'!A182</f>
        <v>45778</v>
      </c>
      <c r="B182" s="3" t="str">
        <f>'02_Actual_Revenue'!B182</f>
        <v>P006</v>
      </c>
      <c r="C182" s="3" t="str">
        <f>'02_Actual_Revenue'!C182</f>
        <v>R01</v>
      </c>
      <c r="D182" s="7">
        <f>'02_Actual_Revenue'!D182</f>
        <v>600000</v>
      </c>
      <c r="E182" s="7">
        <f>D182*(1+_xlfn.XLOOKUP("Cloud &amp; Software",'01_Assumptions'!$A$4:$A$6,'01_Assumptions'!$B$4:$B$6))</f>
        <v>660000</v>
      </c>
      <c r="F182" s="3">
        <f>'02_Actual_Revenue'!E182*(1+_xlfn.XLOOKUP("Cloud &amp; Software",'01_Assumptions'!$A$4:$A$6,'01_Assumptions'!$C$4:$C$6))</f>
        <v>40.17</v>
      </c>
      <c r="G182" s="9">
        <f t="shared" si="6"/>
        <v>26512200</v>
      </c>
      <c r="H182" s="9">
        <f>G182*'02_Actual_Revenue'!H182</f>
        <v>6628050</v>
      </c>
      <c r="I182" s="9">
        <f t="shared" si="7"/>
        <v>19884150</v>
      </c>
      <c r="J182" s="13">
        <f t="shared" si="8"/>
        <v>0.75</v>
      </c>
    </row>
    <row r="183" spans="1:10">
      <c r="A183" s="5">
        <f>'02_Actual_Revenue'!A183</f>
        <v>45778</v>
      </c>
      <c r="B183" s="3" t="str">
        <f>'02_Actual_Revenue'!B183</f>
        <v>P006</v>
      </c>
      <c r="C183" s="3" t="str">
        <f>'02_Actual_Revenue'!C183</f>
        <v>R02</v>
      </c>
      <c r="D183" s="7">
        <f>'02_Actual_Revenue'!D183</f>
        <v>510000</v>
      </c>
      <c r="E183" s="7">
        <f>D183*(1+_xlfn.XLOOKUP("Cloud &amp; Software",'01_Assumptions'!$A$4:$A$6,'01_Assumptions'!$B$4:$B$6))</f>
        <v>561000</v>
      </c>
      <c r="F183" s="3">
        <f>'02_Actual_Revenue'!E183*(1+_xlfn.XLOOKUP("Cloud &amp; Software",'01_Assumptions'!$A$4:$A$6,'01_Assumptions'!$C$4:$C$6))</f>
        <v>40.17</v>
      </c>
      <c r="G183" s="9">
        <f t="shared" si="6"/>
        <v>22535370</v>
      </c>
      <c r="H183" s="9">
        <f>G183*'02_Actual_Revenue'!H183</f>
        <v>5633842.5</v>
      </c>
      <c r="I183" s="9">
        <f t="shared" si="7"/>
        <v>16901527.5</v>
      </c>
      <c r="J183" s="13">
        <f t="shared" si="8"/>
        <v>0.75</v>
      </c>
    </row>
    <row r="184" spans="1:10">
      <c r="A184" s="5">
        <f>'02_Actual_Revenue'!A184</f>
        <v>45778</v>
      </c>
      <c r="B184" s="3" t="str">
        <f>'02_Actual_Revenue'!B184</f>
        <v>P006</v>
      </c>
      <c r="C184" s="3" t="str">
        <f>'02_Actual_Revenue'!C184</f>
        <v>R03</v>
      </c>
      <c r="D184" s="7">
        <f>'02_Actual_Revenue'!D184</f>
        <v>570000</v>
      </c>
      <c r="E184" s="7">
        <f>D184*(1+_xlfn.XLOOKUP("Cloud &amp; Software",'01_Assumptions'!$A$4:$A$6,'01_Assumptions'!$B$4:$B$6))</f>
        <v>627000</v>
      </c>
      <c r="F184" s="3">
        <f>'02_Actual_Revenue'!E184*(1+_xlfn.XLOOKUP("Cloud &amp; Software",'01_Assumptions'!$A$4:$A$6,'01_Assumptions'!$C$4:$C$6))</f>
        <v>40.17</v>
      </c>
      <c r="G184" s="9">
        <f t="shared" si="6"/>
        <v>25186590</v>
      </c>
      <c r="H184" s="9">
        <f>G184*'02_Actual_Revenue'!H184</f>
        <v>6296647.5</v>
      </c>
      <c r="I184" s="9">
        <f t="shared" si="7"/>
        <v>18889942.5</v>
      </c>
      <c r="J184" s="13">
        <f t="shared" si="8"/>
        <v>0.75</v>
      </c>
    </row>
    <row r="185" spans="1:10">
      <c r="A185" s="5">
        <f>'02_Actual_Revenue'!A185</f>
        <v>45778</v>
      </c>
      <c r="B185" s="3" t="str">
        <f>'02_Actual_Revenue'!B185</f>
        <v>P006</v>
      </c>
      <c r="C185" s="3" t="str">
        <f>'02_Actual_Revenue'!C185</f>
        <v>R04</v>
      </c>
      <c r="D185" s="7">
        <f>'02_Actual_Revenue'!D185</f>
        <v>330000</v>
      </c>
      <c r="E185" s="7">
        <f>D185*(1+_xlfn.XLOOKUP("Cloud &amp; Software",'01_Assumptions'!$A$4:$A$6,'01_Assumptions'!$B$4:$B$6))</f>
        <v>363000.00000000006</v>
      </c>
      <c r="F185" s="3">
        <f>'02_Actual_Revenue'!E185*(1+_xlfn.XLOOKUP("Cloud &amp; Software",'01_Assumptions'!$A$4:$A$6,'01_Assumptions'!$C$4:$C$6))</f>
        <v>40.17</v>
      </c>
      <c r="G185" s="9">
        <f t="shared" si="6"/>
        <v>14581710.000000004</v>
      </c>
      <c r="H185" s="9">
        <f>G185*'02_Actual_Revenue'!H185</f>
        <v>3645427.5000000009</v>
      </c>
      <c r="I185" s="9">
        <f t="shared" si="7"/>
        <v>10936282.500000004</v>
      </c>
      <c r="J185" s="13">
        <f t="shared" si="8"/>
        <v>0.75000000000000011</v>
      </c>
    </row>
    <row r="186" spans="1:10">
      <c r="A186" s="5">
        <f>'02_Actual_Revenue'!A186</f>
        <v>45778</v>
      </c>
      <c r="B186" s="3" t="str">
        <f>'02_Actual_Revenue'!B186</f>
        <v>P007</v>
      </c>
      <c r="C186" s="3" t="str">
        <f>'02_Actual_Revenue'!C186</f>
        <v>R01</v>
      </c>
      <c r="D186" s="7">
        <f>'02_Actual_Revenue'!D186</f>
        <v>400000</v>
      </c>
      <c r="E186" s="7">
        <f>D186*(1+_xlfn.XLOOKUP("Cloud &amp; Software",'01_Assumptions'!$A$4:$A$6,'01_Assumptions'!$B$4:$B$6))</f>
        <v>440000.00000000006</v>
      </c>
      <c r="F186" s="3">
        <f>'02_Actual_Revenue'!E186*(1+_xlfn.XLOOKUP("Cloud &amp; Software",'01_Assumptions'!$A$4:$A$6,'01_Assumptions'!$C$4:$C$6))</f>
        <v>24.72</v>
      </c>
      <c r="G186" s="9">
        <f t="shared" si="6"/>
        <v>10876800.000000002</v>
      </c>
      <c r="H186" s="9">
        <f>G186*'02_Actual_Revenue'!H186</f>
        <v>2175360.0000000005</v>
      </c>
      <c r="I186" s="9">
        <f t="shared" si="7"/>
        <v>8701440.0000000019</v>
      </c>
      <c r="J186" s="13">
        <f t="shared" si="8"/>
        <v>0.8</v>
      </c>
    </row>
    <row r="187" spans="1:10">
      <c r="A187" s="5">
        <f>'02_Actual_Revenue'!A187</f>
        <v>45778</v>
      </c>
      <c r="B187" s="3" t="str">
        <f>'02_Actual_Revenue'!B187</f>
        <v>P007</v>
      </c>
      <c r="C187" s="3" t="str">
        <f>'02_Actual_Revenue'!C187</f>
        <v>R02</v>
      </c>
      <c r="D187" s="7">
        <f>'02_Actual_Revenue'!D187</f>
        <v>340000</v>
      </c>
      <c r="E187" s="7">
        <f>D187*(1+_xlfn.XLOOKUP("Cloud &amp; Software",'01_Assumptions'!$A$4:$A$6,'01_Assumptions'!$B$4:$B$6))</f>
        <v>374000.00000000006</v>
      </c>
      <c r="F187" s="3">
        <f>'02_Actual_Revenue'!E187*(1+_xlfn.XLOOKUP("Cloud &amp; Software",'01_Assumptions'!$A$4:$A$6,'01_Assumptions'!$C$4:$C$6))</f>
        <v>24.72</v>
      </c>
      <c r="G187" s="9">
        <f t="shared" si="6"/>
        <v>9245280.0000000019</v>
      </c>
      <c r="H187" s="9">
        <f>G187*'02_Actual_Revenue'!H187</f>
        <v>1849056.0000000005</v>
      </c>
      <c r="I187" s="9">
        <f t="shared" si="7"/>
        <v>7396224.0000000019</v>
      </c>
      <c r="J187" s="13">
        <f t="shared" si="8"/>
        <v>0.8</v>
      </c>
    </row>
    <row r="188" spans="1:10">
      <c r="A188" s="5">
        <f>'02_Actual_Revenue'!A188</f>
        <v>45778</v>
      </c>
      <c r="B188" s="3" t="str">
        <f>'02_Actual_Revenue'!B188</f>
        <v>P007</v>
      </c>
      <c r="C188" s="3" t="str">
        <f>'02_Actual_Revenue'!C188</f>
        <v>R03</v>
      </c>
      <c r="D188" s="7">
        <f>'02_Actual_Revenue'!D188</f>
        <v>380000</v>
      </c>
      <c r="E188" s="7">
        <f>D188*(1+_xlfn.XLOOKUP("Cloud &amp; Software",'01_Assumptions'!$A$4:$A$6,'01_Assumptions'!$B$4:$B$6))</f>
        <v>418000.00000000006</v>
      </c>
      <c r="F188" s="3">
        <f>'02_Actual_Revenue'!E188*(1+_xlfn.XLOOKUP("Cloud &amp; Software",'01_Assumptions'!$A$4:$A$6,'01_Assumptions'!$C$4:$C$6))</f>
        <v>24.72</v>
      </c>
      <c r="G188" s="9">
        <f t="shared" si="6"/>
        <v>10332960.000000002</v>
      </c>
      <c r="H188" s="9">
        <f>G188*'02_Actual_Revenue'!H188</f>
        <v>2066592.0000000005</v>
      </c>
      <c r="I188" s="9">
        <f t="shared" si="7"/>
        <v>8266368.0000000019</v>
      </c>
      <c r="J188" s="13">
        <f t="shared" si="8"/>
        <v>0.8</v>
      </c>
    </row>
    <row r="189" spans="1:10">
      <c r="A189" s="5">
        <f>'02_Actual_Revenue'!A189</f>
        <v>45778</v>
      </c>
      <c r="B189" s="3" t="str">
        <f>'02_Actual_Revenue'!B189</f>
        <v>P007</v>
      </c>
      <c r="C189" s="3" t="str">
        <f>'02_Actual_Revenue'!C189</f>
        <v>R04</v>
      </c>
      <c r="D189" s="7">
        <f>'02_Actual_Revenue'!D189</f>
        <v>220000</v>
      </c>
      <c r="E189" s="7">
        <f>D189*(1+_xlfn.XLOOKUP("Cloud &amp; Software",'01_Assumptions'!$A$4:$A$6,'01_Assumptions'!$B$4:$B$6))</f>
        <v>242000.00000000003</v>
      </c>
      <c r="F189" s="3">
        <f>'02_Actual_Revenue'!E189*(1+_xlfn.XLOOKUP("Cloud &amp; Software",'01_Assumptions'!$A$4:$A$6,'01_Assumptions'!$C$4:$C$6))</f>
        <v>24.72</v>
      </c>
      <c r="G189" s="9">
        <f t="shared" si="6"/>
        <v>5982240</v>
      </c>
      <c r="H189" s="9">
        <f>G189*'02_Actual_Revenue'!H189</f>
        <v>1196448</v>
      </c>
      <c r="I189" s="9">
        <f t="shared" si="7"/>
        <v>4785792</v>
      </c>
      <c r="J189" s="13">
        <f t="shared" si="8"/>
        <v>0.8</v>
      </c>
    </row>
    <row r="190" spans="1:10">
      <c r="A190" s="5">
        <f>'02_Actual_Revenue'!A190</f>
        <v>45778</v>
      </c>
      <c r="B190" s="3" t="str">
        <f>'02_Actual_Revenue'!B190</f>
        <v>P008</v>
      </c>
      <c r="C190" s="3" t="str">
        <f>'02_Actual_Revenue'!C190</f>
        <v>R01</v>
      </c>
      <c r="D190" s="7">
        <f>'02_Actual_Revenue'!D190</f>
        <v>1200000</v>
      </c>
      <c r="E190" s="7">
        <f>D190*(1+_xlfn.XLOOKUP("Digital Services",'01_Assumptions'!$A$4:$A$6,'01_Assumptions'!$B$4:$B$6))</f>
        <v>1296000</v>
      </c>
      <c r="F190" s="3">
        <f>'02_Actual_Revenue'!E190*(1+_xlfn.XLOOKUP("Digital Services",'01_Assumptions'!$A$4:$A$6,'01_Assumptions'!$C$4:$C$6))</f>
        <v>12.24</v>
      </c>
      <c r="G190" s="9">
        <f t="shared" si="6"/>
        <v>15863040</v>
      </c>
      <c r="H190" s="9">
        <f>G190*'02_Actual_Revenue'!H190</f>
        <v>4758912</v>
      </c>
      <c r="I190" s="9">
        <f t="shared" si="7"/>
        <v>11104128</v>
      </c>
      <c r="J190" s="13">
        <f t="shared" si="8"/>
        <v>0.7</v>
      </c>
    </row>
    <row r="191" spans="1:10">
      <c r="A191" s="5">
        <f>'02_Actual_Revenue'!A191</f>
        <v>45778</v>
      </c>
      <c r="B191" s="3" t="str">
        <f>'02_Actual_Revenue'!B191</f>
        <v>P008</v>
      </c>
      <c r="C191" s="3" t="str">
        <f>'02_Actual_Revenue'!C191</f>
        <v>R02</v>
      </c>
      <c r="D191" s="7">
        <f>'02_Actual_Revenue'!D191</f>
        <v>1020000</v>
      </c>
      <c r="E191" s="7">
        <f>D191*(1+_xlfn.XLOOKUP("Digital Services",'01_Assumptions'!$A$4:$A$6,'01_Assumptions'!$B$4:$B$6))</f>
        <v>1101600</v>
      </c>
      <c r="F191" s="3">
        <f>'02_Actual_Revenue'!E191*(1+_xlfn.XLOOKUP("Digital Services",'01_Assumptions'!$A$4:$A$6,'01_Assumptions'!$C$4:$C$6))</f>
        <v>12.24</v>
      </c>
      <c r="G191" s="9">
        <f t="shared" si="6"/>
        <v>13483584</v>
      </c>
      <c r="H191" s="9">
        <f>G191*'02_Actual_Revenue'!H191</f>
        <v>4045075.1999999997</v>
      </c>
      <c r="I191" s="9">
        <f t="shared" si="7"/>
        <v>9438508.8000000007</v>
      </c>
      <c r="J191" s="13">
        <f t="shared" si="8"/>
        <v>0.70000000000000007</v>
      </c>
    </row>
    <row r="192" spans="1:10">
      <c r="A192" s="5">
        <f>'02_Actual_Revenue'!A192</f>
        <v>45778</v>
      </c>
      <c r="B192" s="3" t="str">
        <f>'02_Actual_Revenue'!B192</f>
        <v>P008</v>
      </c>
      <c r="C192" s="3" t="str">
        <f>'02_Actual_Revenue'!C192</f>
        <v>R03</v>
      </c>
      <c r="D192" s="7">
        <f>'02_Actual_Revenue'!D192</f>
        <v>1140000</v>
      </c>
      <c r="E192" s="7">
        <f>D192*(1+_xlfn.XLOOKUP("Digital Services",'01_Assumptions'!$A$4:$A$6,'01_Assumptions'!$B$4:$B$6))</f>
        <v>1231200</v>
      </c>
      <c r="F192" s="3">
        <f>'02_Actual_Revenue'!E192*(1+_xlfn.XLOOKUP("Digital Services",'01_Assumptions'!$A$4:$A$6,'01_Assumptions'!$C$4:$C$6))</f>
        <v>12.24</v>
      </c>
      <c r="G192" s="9">
        <f t="shared" si="6"/>
        <v>15069888</v>
      </c>
      <c r="H192" s="9">
        <f>G192*'02_Actual_Revenue'!H192</f>
        <v>4520966.3999999994</v>
      </c>
      <c r="I192" s="9">
        <f t="shared" si="7"/>
        <v>10548921.600000001</v>
      </c>
      <c r="J192" s="13">
        <f t="shared" si="8"/>
        <v>0.70000000000000007</v>
      </c>
    </row>
    <row r="193" spans="1:10">
      <c r="A193" s="5">
        <f>'02_Actual_Revenue'!A193</f>
        <v>45778</v>
      </c>
      <c r="B193" s="3" t="str">
        <f>'02_Actual_Revenue'!B193</f>
        <v>P008</v>
      </c>
      <c r="C193" s="3" t="str">
        <f>'02_Actual_Revenue'!C193</f>
        <v>R04</v>
      </c>
      <c r="D193" s="7">
        <f>'02_Actual_Revenue'!D193</f>
        <v>660000</v>
      </c>
      <c r="E193" s="7">
        <f>D193*(1+_xlfn.XLOOKUP("Digital Services",'01_Assumptions'!$A$4:$A$6,'01_Assumptions'!$B$4:$B$6))</f>
        <v>712800</v>
      </c>
      <c r="F193" s="3">
        <f>'02_Actual_Revenue'!E193*(1+_xlfn.XLOOKUP("Digital Services",'01_Assumptions'!$A$4:$A$6,'01_Assumptions'!$C$4:$C$6))</f>
        <v>12.24</v>
      </c>
      <c r="G193" s="9">
        <f t="shared" si="6"/>
        <v>8724672</v>
      </c>
      <c r="H193" s="9">
        <f>G193*'02_Actual_Revenue'!H193</f>
        <v>2617401.6</v>
      </c>
      <c r="I193" s="9">
        <f t="shared" si="7"/>
        <v>6107270.4000000004</v>
      </c>
      <c r="J193" s="13">
        <f t="shared" si="8"/>
        <v>0.70000000000000007</v>
      </c>
    </row>
    <row r="194" spans="1:10">
      <c r="A194" s="5">
        <f>'02_Actual_Revenue'!A194</f>
        <v>45778</v>
      </c>
      <c r="B194" s="3" t="str">
        <f>'02_Actual_Revenue'!B194</f>
        <v>P009</v>
      </c>
      <c r="C194" s="3" t="str">
        <f>'02_Actual_Revenue'!C194</f>
        <v>R01</v>
      </c>
      <c r="D194" s="7">
        <f>'02_Actual_Revenue'!D194</f>
        <v>800000</v>
      </c>
      <c r="E194" s="7">
        <f>D194*(1+_xlfn.XLOOKUP("Digital Services",'01_Assumptions'!$A$4:$A$6,'01_Assumptions'!$B$4:$B$6))</f>
        <v>864000</v>
      </c>
      <c r="F194" s="3">
        <f>'02_Actual_Revenue'!E194*(1+_xlfn.XLOOKUP("Digital Services",'01_Assumptions'!$A$4:$A$6,'01_Assumptions'!$C$4:$C$6))</f>
        <v>15.3</v>
      </c>
      <c r="G194" s="9">
        <f t="shared" si="6"/>
        <v>13219200</v>
      </c>
      <c r="H194" s="9">
        <f>G194*'02_Actual_Revenue'!H194</f>
        <v>4626720</v>
      </c>
      <c r="I194" s="9">
        <f t="shared" si="7"/>
        <v>8592480</v>
      </c>
      <c r="J194" s="13">
        <f t="shared" si="8"/>
        <v>0.65</v>
      </c>
    </row>
    <row r="195" spans="1:10">
      <c r="A195" s="5">
        <f>'02_Actual_Revenue'!A195</f>
        <v>45778</v>
      </c>
      <c r="B195" s="3" t="str">
        <f>'02_Actual_Revenue'!B195</f>
        <v>P009</v>
      </c>
      <c r="C195" s="3" t="str">
        <f>'02_Actual_Revenue'!C195</f>
        <v>R02</v>
      </c>
      <c r="D195" s="7">
        <f>'02_Actual_Revenue'!D195</f>
        <v>680000</v>
      </c>
      <c r="E195" s="7">
        <f>D195*(1+_xlfn.XLOOKUP("Digital Services",'01_Assumptions'!$A$4:$A$6,'01_Assumptions'!$B$4:$B$6))</f>
        <v>734400</v>
      </c>
      <c r="F195" s="3">
        <f>'02_Actual_Revenue'!E195*(1+_xlfn.XLOOKUP("Digital Services",'01_Assumptions'!$A$4:$A$6,'01_Assumptions'!$C$4:$C$6))</f>
        <v>15.3</v>
      </c>
      <c r="G195" s="9">
        <f t="shared" ref="G195:G258" si="9">E195*F195</f>
        <v>11236320</v>
      </c>
      <c r="H195" s="9">
        <f>G195*'02_Actual_Revenue'!H195</f>
        <v>3932711.9999999995</v>
      </c>
      <c r="I195" s="9">
        <f t="shared" ref="I195:I258" si="10">G195-H195</f>
        <v>7303608</v>
      </c>
      <c r="J195" s="13">
        <f t="shared" ref="J195:J258" si="11">I195/G195</f>
        <v>0.65</v>
      </c>
    </row>
    <row r="196" spans="1:10">
      <c r="A196" s="5">
        <f>'02_Actual_Revenue'!A196</f>
        <v>45778</v>
      </c>
      <c r="B196" s="3" t="str">
        <f>'02_Actual_Revenue'!B196</f>
        <v>P009</v>
      </c>
      <c r="C196" s="3" t="str">
        <f>'02_Actual_Revenue'!C196</f>
        <v>R03</v>
      </c>
      <c r="D196" s="7">
        <f>'02_Actual_Revenue'!D196</f>
        <v>760000</v>
      </c>
      <c r="E196" s="7">
        <f>D196*(1+_xlfn.XLOOKUP("Digital Services",'01_Assumptions'!$A$4:$A$6,'01_Assumptions'!$B$4:$B$6))</f>
        <v>820800</v>
      </c>
      <c r="F196" s="3">
        <f>'02_Actual_Revenue'!E196*(1+_xlfn.XLOOKUP("Digital Services",'01_Assumptions'!$A$4:$A$6,'01_Assumptions'!$C$4:$C$6))</f>
        <v>15.3</v>
      </c>
      <c r="G196" s="9">
        <f t="shared" si="9"/>
        <v>12558240</v>
      </c>
      <c r="H196" s="9">
        <f>G196*'02_Actual_Revenue'!H196</f>
        <v>4395384</v>
      </c>
      <c r="I196" s="9">
        <f t="shared" si="10"/>
        <v>8162856</v>
      </c>
      <c r="J196" s="13">
        <f t="shared" si="11"/>
        <v>0.65</v>
      </c>
    </row>
    <row r="197" spans="1:10">
      <c r="A197" s="5">
        <f>'02_Actual_Revenue'!A197</f>
        <v>45778</v>
      </c>
      <c r="B197" s="3" t="str">
        <f>'02_Actual_Revenue'!B197</f>
        <v>P009</v>
      </c>
      <c r="C197" s="3" t="str">
        <f>'02_Actual_Revenue'!C197</f>
        <v>R04</v>
      </c>
      <c r="D197" s="7">
        <f>'02_Actual_Revenue'!D197</f>
        <v>440000</v>
      </c>
      <c r="E197" s="7">
        <f>D197*(1+_xlfn.XLOOKUP("Digital Services",'01_Assumptions'!$A$4:$A$6,'01_Assumptions'!$B$4:$B$6))</f>
        <v>475200.00000000006</v>
      </c>
      <c r="F197" s="3">
        <f>'02_Actual_Revenue'!E197*(1+_xlfn.XLOOKUP("Digital Services",'01_Assumptions'!$A$4:$A$6,'01_Assumptions'!$C$4:$C$6))</f>
        <v>15.3</v>
      </c>
      <c r="G197" s="9">
        <f t="shared" si="9"/>
        <v>7270560.0000000009</v>
      </c>
      <c r="H197" s="9">
        <f>G197*'02_Actual_Revenue'!H197</f>
        <v>2544696</v>
      </c>
      <c r="I197" s="9">
        <f t="shared" si="10"/>
        <v>4725864.0000000009</v>
      </c>
      <c r="J197" s="13">
        <f t="shared" si="11"/>
        <v>0.65</v>
      </c>
    </row>
    <row r="198" spans="1:10">
      <c r="A198" s="5">
        <f>'02_Actual_Revenue'!A198</f>
        <v>45778</v>
      </c>
      <c r="B198" s="3" t="str">
        <f>'02_Actual_Revenue'!B198</f>
        <v>P010</v>
      </c>
      <c r="C198" s="3" t="str">
        <f>'02_Actual_Revenue'!C198</f>
        <v>R01</v>
      </c>
      <c r="D198" s="7">
        <f>'02_Actual_Revenue'!D198</f>
        <v>900000</v>
      </c>
      <c r="E198" s="7">
        <f>D198*(1+_xlfn.XLOOKUP("Digital Services",'01_Assumptions'!$A$4:$A$6,'01_Assumptions'!$B$4:$B$6))</f>
        <v>972000.00000000012</v>
      </c>
      <c r="F198" s="3">
        <f>'02_Actual_Revenue'!E198*(1+_xlfn.XLOOKUP("Digital Services",'01_Assumptions'!$A$4:$A$6,'01_Assumptions'!$C$4:$C$6))</f>
        <v>8.16</v>
      </c>
      <c r="G198" s="9">
        <f t="shared" si="9"/>
        <v>7931520.0000000009</v>
      </c>
      <c r="H198" s="9">
        <f>G198*'02_Actual_Revenue'!H198</f>
        <v>1189728</v>
      </c>
      <c r="I198" s="9">
        <f t="shared" si="10"/>
        <v>6741792.0000000009</v>
      </c>
      <c r="J198" s="13">
        <f t="shared" si="11"/>
        <v>0.85</v>
      </c>
    </row>
    <row r="199" spans="1:10">
      <c r="A199" s="5">
        <f>'02_Actual_Revenue'!A199</f>
        <v>45778</v>
      </c>
      <c r="B199" s="3" t="str">
        <f>'02_Actual_Revenue'!B199</f>
        <v>P010</v>
      </c>
      <c r="C199" s="3" t="str">
        <f>'02_Actual_Revenue'!C199</f>
        <v>R02</v>
      </c>
      <c r="D199" s="7">
        <f>'02_Actual_Revenue'!D199</f>
        <v>765000</v>
      </c>
      <c r="E199" s="7">
        <f>D199*(1+_xlfn.XLOOKUP("Digital Services",'01_Assumptions'!$A$4:$A$6,'01_Assumptions'!$B$4:$B$6))</f>
        <v>826200</v>
      </c>
      <c r="F199" s="3">
        <f>'02_Actual_Revenue'!E199*(1+_xlfn.XLOOKUP("Digital Services",'01_Assumptions'!$A$4:$A$6,'01_Assumptions'!$C$4:$C$6))</f>
        <v>8.16</v>
      </c>
      <c r="G199" s="9">
        <f t="shared" si="9"/>
        <v>6741792</v>
      </c>
      <c r="H199" s="9">
        <f>G199*'02_Actual_Revenue'!H199</f>
        <v>1011268.7999999999</v>
      </c>
      <c r="I199" s="9">
        <f t="shared" si="10"/>
        <v>5730523.2000000002</v>
      </c>
      <c r="J199" s="13">
        <f t="shared" si="11"/>
        <v>0.85</v>
      </c>
    </row>
    <row r="200" spans="1:10">
      <c r="A200" s="5">
        <f>'02_Actual_Revenue'!A200</f>
        <v>45778</v>
      </c>
      <c r="B200" s="3" t="str">
        <f>'02_Actual_Revenue'!B200</f>
        <v>P010</v>
      </c>
      <c r="C200" s="3" t="str">
        <f>'02_Actual_Revenue'!C200</f>
        <v>R03</v>
      </c>
      <c r="D200" s="7">
        <f>'02_Actual_Revenue'!D200</f>
        <v>855000</v>
      </c>
      <c r="E200" s="7">
        <f>D200*(1+_xlfn.XLOOKUP("Digital Services",'01_Assumptions'!$A$4:$A$6,'01_Assumptions'!$B$4:$B$6))</f>
        <v>923400.00000000012</v>
      </c>
      <c r="F200" s="3">
        <f>'02_Actual_Revenue'!E200*(1+_xlfn.XLOOKUP("Digital Services",'01_Assumptions'!$A$4:$A$6,'01_Assumptions'!$C$4:$C$6))</f>
        <v>8.16</v>
      </c>
      <c r="G200" s="9">
        <f t="shared" si="9"/>
        <v>7534944.0000000009</v>
      </c>
      <c r="H200" s="9">
        <f>G200*'02_Actual_Revenue'!H200</f>
        <v>1130241.6000000001</v>
      </c>
      <c r="I200" s="9">
        <f t="shared" si="10"/>
        <v>6404702.4000000004</v>
      </c>
      <c r="J200" s="13">
        <f t="shared" si="11"/>
        <v>0.85</v>
      </c>
    </row>
    <row r="201" spans="1:10">
      <c r="A201" s="5">
        <f>'02_Actual_Revenue'!A201</f>
        <v>45778</v>
      </c>
      <c r="B201" s="3" t="str">
        <f>'02_Actual_Revenue'!B201</f>
        <v>P010</v>
      </c>
      <c r="C201" s="3" t="str">
        <f>'02_Actual_Revenue'!C201</f>
        <v>R04</v>
      </c>
      <c r="D201" s="7">
        <f>'02_Actual_Revenue'!D201</f>
        <v>495000</v>
      </c>
      <c r="E201" s="7">
        <f>D201*(1+_xlfn.XLOOKUP("Digital Services",'01_Assumptions'!$A$4:$A$6,'01_Assumptions'!$B$4:$B$6))</f>
        <v>534600</v>
      </c>
      <c r="F201" s="3">
        <f>'02_Actual_Revenue'!E201*(1+_xlfn.XLOOKUP("Digital Services",'01_Assumptions'!$A$4:$A$6,'01_Assumptions'!$C$4:$C$6))</f>
        <v>8.16</v>
      </c>
      <c r="G201" s="9">
        <f t="shared" si="9"/>
        <v>4362336</v>
      </c>
      <c r="H201" s="9">
        <f>G201*'02_Actual_Revenue'!H201</f>
        <v>654350.4</v>
      </c>
      <c r="I201" s="9">
        <f t="shared" si="10"/>
        <v>3707985.6</v>
      </c>
      <c r="J201" s="13">
        <f t="shared" si="11"/>
        <v>0.85</v>
      </c>
    </row>
    <row r="202" spans="1:10">
      <c r="A202" s="5">
        <f>'02_Actual_Revenue'!A202</f>
        <v>45809</v>
      </c>
      <c r="B202" s="3" t="str">
        <f>'02_Actual_Revenue'!B202</f>
        <v>P001</v>
      </c>
      <c r="C202" s="3" t="str">
        <f>'02_Actual_Revenue'!C202</f>
        <v>R01</v>
      </c>
      <c r="D202" s="7">
        <f>'02_Actual_Revenue'!D202</f>
        <v>255000</v>
      </c>
      <c r="E202" s="7">
        <f>D202*(1+_xlfn.XLOOKUP("Devices",'01_Assumptions'!$A$4:$A$6,'01_Assumptions'!$B$4:$B$6))</f>
        <v>270300</v>
      </c>
      <c r="F202" s="3">
        <f>'02_Actual_Revenue'!E202*(1+_xlfn.XLOOKUP("Devices",'01_Assumptions'!$A$4:$A$6,'01_Assumptions'!$C$4:$C$6))</f>
        <v>712.98</v>
      </c>
      <c r="G202" s="9">
        <f t="shared" si="9"/>
        <v>192718494</v>
      </c>
      <c r="H202" s="9">
        <f>G202*'02_Actual_Revenue'!H202</f>
        <v>119485466.28</v>
      </c>
      <c r="I202" s="9">
        <f t="shared" si="10"/>
        <v>73233027.719999999</v>
      </c>
      <c r="J202" s="13">
        <f t="shared" si="11"/>
        <v>0.38</v>
      </c>
    </row>
    <row r="203" spans="1:10">
      <c r="A203" s="5">
        <f>'02_Actual_Revenue'!A203</f>
        <v>45809</v>
      </c>
      <c r="B203" s="3" t="str">
        <f>'02_Actual_Revenue'!B203</f>
        <v>P001</v>
      </c>
      <c r="C203" s="3" t="str">
        <f>'02_Actual_Revenue'!C203</f>
        <v>R02</v>
      </c>
      <c r="D203" s="7">
        <f>'02_Actual_Revenue'!D203</f>
        <v>216750</v>
      </c>
      <c r="E203" s="7">
        <f>D203*(1+_xlfn.XLOOKUP("Devices",'01_Assumptions'!$A$4:$A$6,'01_Assumptions'!$B$4:$B$6))</f>
        <v>229755</v>
      </c>
      <c r="F203" s="3">
        <f>'02_Actual_Revenue'!E203*(1+_xlfn.XLOOKUP("Devices",'01_Assumptions'!$A$4:$A$6,'01_Assumptions'!$C$4:$C$6))</f>
        <v>712.98</v>
      </c>
      <c r="G203" s="9">
        <f t="shared" si="9"/>
        <v>163810719.90000001</v>
      </c>
      <c r="H203" s="9">
        <f>G203*'02_Actual_Revenue'!H203</f>
        <v>101562646.338</v>
      </c>
      <c r="I203" s="9">
        <f t="shared" si="10"/>
        <v>62248073.562000006</v>
      </c>
      <c r="J203" s="13">
        <f t="shared" si="11"/>
        <v>0.38</v>
      </c>
    </row>
    <row r="204" spans="1:10">
      <c r="A204" s="5">
        <f>'02_Actual_Revenue'!A204</f>
        <v>45809</v>
      </c>
      <c r="B204" s="3" t="str">
        <f>'02_Actual_Revenue'!B204</f>
        <v>P001</v>
      </c>
      <c r="C204" s="3" t="str">
        <f>'02_Actual_Revenue'!C204</f>
        <v>R03</v>
      </c>
      <c r="D204" s="7">
        <f>'02_Actual_Revenue'!D204</f>
        <v>242250</v>
      </c>
      <c r="E204" s="7">
        <f>D204*(1+_xlfn.XLOOKUP("Devices",'01_Assumptions'!$A$4:$A$6,'01_Assumptions'!$B$4:$B$6))</f>
        <v>256785</v>
      </c>
      <c r="F204" s="3">
        <f>'02_Actual_Revenue'!E204*(1+_xlfn.XLOOKUP("Devices",'01_Assumptions'!$A$4:$A$6,'01_Assumptions'!$C$4:$C$6))</f>
        <v>712.98</v>
      </c>
      <c r="G204" s="9">
        <f t="shared" si="9"/>
        <v>183082569.30000001</v>
      </c>
      <c r="H204" s="9">
        <f>G204*'02_Actual_Revenue'!H204</f>
        <v>113511192.96600001</v>
      </c>
      <c r="I204" s="9">
        <f t="shared" si="10"/>
        <v>69571376.334000006</v>
      </c>
      <c r="J204" s="13">
        <f t="shared" si="11"/>
        <v>0.38</v>
      </c>
    </row>
    <row r="205" spans="1:10">
      <c r="A205" s="5">
        <f>'02_Actual_Revenue'!A205</f>
        <v>45809</v>
      </c>
      <c r="B205" s="3" t="str">
        <f>'02_Actual_Revenue'!B205</f>
        <v>P001</v>
      </c>
      <c r="C205" s="3" t="str">
        <f>'02_Actual_Revenue'!C205</f>
        <v>R04</v>
      </c>
      <c r="D205" s="7">
        <f>'02_Actual_Revenue'!D205</f>
        <v>140250</v>
      </c>
      <c r="E205" s="7">
        <f>D205*(1+_xlfn.XLOOKUP("Devices",'01_Assumptions'!$A$4:$A$6,'01_Assumptions'!$B$4:$B$6))</f>
        <v>148665</v>
      </c>
      <c r="F205" s="3">
        <f>'02_Actual_Revenue'!E205*(1+_xlfn.XLOOKUP("Devices",'01_Assumptions'!$A$4:$A$6,'01_Assumptions'!$C$4:$C$6))</f>
        <v>712.98</v>
      </c>
      <c r="G205" s="9">
        <f t="shared" si="9"/>
        <v>105995171.7</v>
      </c>
      <c r="H205" s="9">
        <f>G205*'02_Actual_Revenue'!H205</f>
        <v>65717006.454000004</v>
      </c>
      <c r="I205" s="9">
        <f t="shared" si="10"/>
        <v>40278165.245999999</v>
      </c>
      <c r="J205" s="13">
        <f t="shared" si="11"/>
        <v>0.38</v>
      </c>
    </row>
    <row r="206" spans="1:10">
      <c r="A206" s="5">
        <f>'02_Actual_Revenue'!A206</f>
        <v>45809</v>
      </c>
      <c r="B206" s="3" t="str">
        <f>'02_Actual_Revenue'!B206</f>
        <v>P002</v>
      </c>
      <c r="C206" s="3" t="str">
        <f>'02_Actual_Revenue'!C206</f>
        <v>R01</v>
      </c>
      <c r="D206" s="7">
        <f>'02_Actual_Revenue'!D206</f>
        <v>122400</v>
      </c>
      <c r="E206" s="7">
        <f>D206*(1+_xlfn.XLOOKUP("Devices",'01_Assumptions'!$A$4:$A$6,'01_Assumptions'!$B$4:$B$6))</f>
        <v>129744</v>
      </c>
      <c r="F206" s="3">
        <f>'02_Actual_Revenue'!E206*(1+_xlfn.XLOOKUP("Devices",'01_Assumptions'!$A$4:$A$6,'01_Assumptions'!$C$4:$C$6))</f>
        <v>1018.98</v>
      </c>
      <c r="G206" s="9">
        <f t="shared" si="9"/>
        <v>132206541.12</v>
      </c>
      <c r="H206" s="9">
        <f>G206*'02_Actual_Revenue'!H206</f>
        <v>76679793.849600002</v>
      </c>
      <c r="I206" s="9">
        <f t="shared" si="10"/>
        <v>55526747.270400003</v>
      </c>
      <c r="J206" s="13">
        <f t="shared" si="11"/>
        <v>0.42</v>
      </c>
    </row>
    <row r="207" spans="1:10">
      <c r="A207" s="5">
        <f>'02_Actual_Revenue'!A207</f>
        <v>45809</v>
      </c>
      <c r="B207" s="3" t="str">
        <f>'02_Actual_Revenue'!B207</f>
        <v>P002</v>
      </c>
      <c r="C207" s="3" t="str">
        <f>'02_Actual_Revenue'!C207</f>
        <v>R02</v>
      </c>
      <c r="D207" s="7">
        <f>'02_Actual_Revenue'!D207</f>
        <v>104040</v>
      </c>
      <c r="E207" s="7">
        <f>D207*(1+_xlfn.XLOOKUP("Devices",'01_Assumptions'!$A$4:$A$6,'01_Assumptions'!$B$4:$B$6))</f>
        <v>110282.40000000001</v>
      </c>
      <c r="F207" s="3">
        <f>'02_Actual_Revenue'!E207*(1+_xlfn.XLOOKUP("Devices",'01_Assumptions'!$A$4:$A$6,'01_Assumptions'!$C$4:$C$6))</f>
        <v>1018.98</v>
      </c>
      <c r="G207" s="9">
        <f t="shared" si="9"/>
        <v>112375559.95200001</v>
      </c>
      <c r="H207" s="9">
        <f>G207*'02_Actual_Revenue'!H207</f>
        <v>65177824.772160001</v>
      </c>
      <c r="I207" s="9">
        <f t="shared" si="10"/>
        <v>47197735.179840006</v>
      </c>
      <c r="J207" s="13">
        <f t="shared" si="11"/>
        <v>0.42000000000000004</v>
      </c>
    </row>
    <row r="208" spans="1:10">
      <c r="A208" s="5">
        <f>'02_Actual_Revenue'!A208</f>
        <v>45809</v>
      </c>
      <c r="B208" s="3" t="str">
        <f>'02_Actual_Revenue'!B208</f>
        <v>P002</v>
      </c>
      <c r="C208" s="3" t="str">
        <f>'02_Actual_Revenue'!C208</f>
        <v>R03</v>
      </c>
      <c r="D208" s="7">
        <f>'02_Actual_Revenue'!D208</f>
        <v>116280</v>
      </c>
      <c r="E208" s="7">
        <f>D208*(1+_xlfn.XLOOKUP("Devices",'01_Assumptions'!$A$4:$A$6,'01_Assumptions'!$B$4:$B$6))</f>
        <v>123256.8</v>
      </c>
      <c r="F208" s="3">
        <f>'02_Actual_Revenue'!E208*(1+_xlfn.XLOOKUP("Devices",'01_Assumptions'!$A$4:$A$6,'01_Assumptions'!$C$4:$C$6))</f>
        <v>1018.98</v>
      </c>
      <c r="G208" s="9">
        <f t="shared" si="9"/>
        <v>125596214.06400001</v>
      </c>
      <c r="H208" s="9">
        <f>G208*'02_Actual_Revenue'!H208</f>
        <v>72845804.157120004</v>
      </c>
      <c r="I208" s="9">
        <f t="shared" si="10"/>
        <v>52750409.906880006</v>
      </c>
      <c r="J208" s="13">
        <f t="shared" si="11"/>
        <v>0.42000000000000004</v>
      </c>
    </row>
    <row r="209" spans="1:10">
      <c r="A209" s="5">
        <f>'02_Actual_Revenue'!A209</f>
        <v>45809</v>
      </c>
      <c r="B209" s="3" t="str">
        <f>'02_Actual_Revenue'!B209</f>
        <v>P002</v>
      </c>
      <c r="C209" s="3" t="str">
        <f>'02_Actual_Revenue'!C209</f>
        <v>R04</v>
      </c>
      <c r="D209" s="7">
        <f>'02_Actual_Revenue'!D209</f>
        <v>67320</v>
      </c>
      <c r="E209" s="7">
        <f>D209*(1+_xlfn.XLOOKUP("Devices",'01_Assumptions'!$A$4:$A$6,'01_Assumptions'!$B$4:$B$6))</f>
        <v>71359.199999999997</v>
      </c>
      <c r="F209" s="3">
        <f>'02_Actual_Revenue'!E209*(1+_xlfn.XLOOKUP("Devices",'01_Assumptions'!$A$4:$A$6,'01_Assumptions'!$C$4:$C$6))</f>
        <v>1018.98</v>
      </c>
      <c r="G209" s="9">
        <f t="shared" si="9"/>
        <v>72713597.615999997</v>
      </c>
      <c r="H209" s="9">
        <f>G209*'02_Actual_Revenue'!H209</f>
        <v>42173886.617279992</v>
      </c>
      <c r="I209" s="9">
        <f t="shared" si="10"/>
        <v>30539710.998720005</v>
      </c>
      <c r="J209" s="13">
        <f t="shared" si="11"/>
        <v>0.4200000000000001</v>
      </c>
    </row>
    <row r="210" spans="1:10">
      <c r="A210" s="5">
        <f>'02_Actual_Revenue'!A210</f>
        <v>45809</v>
      </c>
      <c r="B210" s="3" t="str">
        <f>'02_Actual_Revenue'!B210</f>
        <v>P003</v>
      </c>
      <c r="C210" s="3" t="str">
        <f>'02_Actual_Revenue'!C210</f>
        <v>R01</v>
      </c>
      <c r="D210" s="7">
        <f>'02_Actual_Revenue'!D210</f>
        <v>142800</v>
      </c>
      <c r="E210" s="7">
        <f>D210*(1+_xlfn.XLOOKUP("Devices",'01_Assumptions'!$A$4:$A$6,'01_Assumptions'!$B$4:$B$6))</f>
        <v>151368</v>
      </c>
      <c r="F210" s="3">
        <f>'02_Actual_Revenue'!E210*(1+_xlfn.XLOOKUP("Devices",'01_Assumptions'!$A$4:$A$6,'01_Assumptions'!$C$4:$C$6))</f>
        <v>559.98</v>
      </c>
      <c r="G210" s="9">
        <f t="shared" si="9"/>
        <v>84763052.640000001</v>
      </c>
      <c r="H210" s="9">
        <f>G210*'02_Actual_Revenue'!H210</f>
        <v>50857831.583999999</v>
      </c>
      <c r="I210" s="9">
        <f t="shared" si="10"/>
        <v>33905221.056000002</v>
      </c>
      <c r="J210" s="13">
        <f t="shared" si="11"/>
        <v>0.4</v>
      </c>
    </row>
    <row r="211" spans="1:10">
      <c r="A211" s="5">
        <f>'02_Actual_Revenue'!A211</f>
        <v>45809</v>
      </c>
      <c r="B211" s="3" t="str">
        <f>'02_Actual_Revenue'!B211</f>
        <v>P003</v>
      </c>
      <c r="C211" s="3" t="str">
        <f>'02_Actual_Revenue'!C211</f>
        <v>R02</v>
      </c>
      <c r="D211" s="7">
        <f>'02_Actual_Revenue'!D211</f>
        <v>121380</v>
      </c>
      <c r="E211" s="7">
        <f>D211*(1+_xlfn.XLOOKUP("Devices",'01_Assumptions'!$A$4:$A$6,'01_Assumptions'!$B$4:$B$6))</f>
        <v>128662.8</v>
      </c>
      <c r="F211" s="3">
        <f>'02_Actual_Revenue'!E211*(1+_xlfn.XLOOKUP("Devices",'01_Assumptions'!$A$4:$A$6,'01_Assumptions'!$C$4:$C$6))</f>
        <v>559.98</v>
      </c>
      <c r="G211" s="9">
        <f t="shared" si="9"/>
        <v>72048594.744000003</v>
      </c>
      <c r="H211" s="9">
        <f>G211*'02_Actual_Revenue'!H211</f>
        <v>43229156.8464</v>
      </c>
      <c r="I211" s="9">
        <f t="shared" si="10"/>
        <v>28819437.897600003</v>
      </c>
      <c r="J211" s="13">
        <f t="shared" si="11"/>
        <v>0.4</v>
      </c>
    </row>
    <row r="212" spans="1:10">
      <c r="A212" s="5">
        <f>'02_Actual_Revenue'!A212</f>
        <v>45809</v>
      </c>
      <c r="B212" s="3" t="str">
        <f>'02_Actual_Revenue'!B212</f>
        <v>P003</v>
      </c>
      <c r="C212" s="3" t="str">
        <f>'02_Actual_Revenue'!C212</f>
        <v>R03</v>
      </c>
      <c r="D212" s="7">
        <f>'02_Actual_Revenue'!D212</f>
        <v>135660</v>
      </c>
      <c r="E212" s="7">
        <f>D212*(1+_xlfn.XLOOKUP("Devices",'01_Assumptions'!$A$4:$A$6,'01_Assumptions'!$B$4:$B$6))</f>
        <v>143799.6</v>
      </c>
      <c r="F212" s="3">
        <f>'02_Actual_Revenue'!E212*(1+_xlfn.XLOOKUP("Devices",'01_Assumptions'!$A$4:$A$6,'01_Assumptions'!$C$4:$C$6))</f>
        <v>559.98</v>
      </c>
      <c r="G212" s="9">
        <f t="shared" si="9"/>
        <v>80524900.008000001</v>
      </c>
      <c r="H212" s="9">
        <f>G212*'02_Actual_Revenue'!H212</f>
        <v>48314940.004799999</v>
      </c>
      <c r="I212" s="9">
        <f t="shared" si="10"/>
        <v>32209960.003200002</v>
      </c>
      <c r="J212" s="13">
        <f t="shared" si="11"/>
        <v>0.4</v>
      </c>
    </row>
    <row r="213" spans="1:10">
      <c r="A213" s="5">
        <f>'02_Actual_Revenue'!A213</f>
        <v>45809</v>
      </c>
      <c r="B213" s="3" t="str">
        <f>'02_Actual_Revenue'!B213</f>
        <v>P003</v>
      </c>
      <c r="C213" s="3" t="str">
        <f>'02_Actual_Revenue'!C213</f>
        <v>R04</v>
      </c>
      <c r="D213" s="7">
        <f>'02_Actual_Revenue'!D213</f>
        <v>78540</v>
      </c>
      <c r="E213" s="7">
        <f>D213*(1+_xlfn.XLOOKUP("Devices",'01_Assumptions'!$A$4:$A$6,'01_Assumptions'!$B$4:$B$6))</f>
        <v>83252.400000000009</v>
      </c>
      <c r="F213" s="3">
        <f>'02_Actual_Revenue'!E213*(1+_xlfn.XLOOKUP("Devices",'01_Assumptions'!$A$4:$A$6,'01_Assumptions'!$C$4:$C$6))</f>
        <v>559.98</v>
      </c>
      <c r="G213" s="9">
        <f t="shared" si="9"/>
        <v>46619678.952000007</v>
      </c>
      <c r="H213" s="9">
        <f>G213*'02_Actual_Revenue'!H213</f>
        <v>27971807.371200003</v>
      </c>
      <c r="I213" s="9">
        <f t="shared" si="10"/>
        <v>18647871.580800004</v>
      </c>
      <c r="J213" s="13">
        <f t="shared" si="11"/>
        <v>0.4</v>
      </c>
    </row>
    <row r="214" spans="1:10">
      <c r="A214" s="5">
        <f>'02_Actual_Revenue'!A214</f>
        <v>45809</v>
      </c>
      <c r="B214" s="3" t="str">
        <f>'02_Actual_Revenue'!B214</f>
        <v>P004</v>
      </c>
      <c r="C214" s="3" t="str">
        <f>'02_Actual_Revenue'!C214</f>
        <v>R01</v>
      </c>
      <c r="D214" s="7">
        <f>'02_Actual_Revenue'!D214</f>
        <v>71400</v>
      </c>
      <c r="E214" s="7">
        <f>D214*(1+_xlfn.XLOOKUP("Devices",'01_Assumptions'!$A$4:$A$6,'01_Assumptions'!$B$4:$B$6))</f>
        <v>75684</v>
      </c>
      <c r="F214" s="3">
        <f>'02_Actual_Revenue'!E214*(1+_xlfn.XLOOKUP("Devices",'01_Assumptions'!$A$4:$A$6,'01_Assumptions'!$C$4:$C$6))</f>
        <v>1222.98</v>
      </c>
      <c r="G214" s="9">
        <f t="shared" si="9"/>
        <v>92560018.320000008</v>
      </c>
      <c r="H214" s="9">
        <f>G214*'02_Actual_Revenue'!H214</f>
        <v>50908010.076000005</v>
      </c>
      <c r="I214" s="9">
        <f t="shared" si="10"/>
        <v>41652008.244000003</v>
      </c>
      <c r="J214" s="13">
        <f t="shared" si="11"/>
        <v>0.45</v>
      </c>
    </row>
    <row r="215" spans="1:10">
      <c r="A215" s="5">
        <f>'02_Actual_Revenue'!A215</f>
        <v>45809</v>
      </c>
      <c r="B215" s="3" t="str">
        <f>'02_Actual_Revenue'!B215</f>
        <v>P004</v>
      </c>
      <c r="C215" s="3" t="str">
        <f>'02_Actual_Revenue'!C215</f>
        <v>R02</v>
      </c>
      <c r="D215" s="7">
        <f>'02_Actual_Revenue'!D215</f>
        <v>60690</v>
      </c>
      <c r="E215" s="7">
        <f>D215*(1+_xlfn.XLOOKUP("Devices",'01_Assumptions'!$A$4:$A$6,'01_Assumptions'!$B$4:$B$6))</f>
        <v>64331.4</v>
      </c>
      <c r="F215" s="3">
        <f>'02_Actual_Revenue'!E215*(1+_xlfn.XLOOKUP("Devices",'01_Assumptions'!$A$4:$A$6,'01_Assumptions'!$C$4:$C$6))</f>
        <v>1222.98</v>
      </c>
      <c r="G215" s="9">
        <f t="shared" si="9"/>
        <v>78676015.571999997</v>
      </c>
      <c r="H215" s="9">
        <f>G215*'02_Actual_Revenue'!H215</f>
        <v>43271808.564599998</v>
      </c>
      <c r="I215" s="9">
        <f t="shared" si="10"/>
        <v>35404207.007399999</v>
      </c>
      <c r="J215" s="13">
        <f t="shared" si="11"/>
        <v>0.45</v>
      </c>
    </row>
    <row r="216" spans="1:10">
      <c r="A216" s="5">
        <f>'02_Actual_Revenue'!A216</f>
        <v>45809</v>
      </c>
      <c r="B216" s="3" t="str">
        <f>'02_Actual_Revenue'!B216</f>
        <v>P004</v>
      </c>
      <c r="C216" s="3" t="str">
        <f>'02_Actual_Revenue'!C216</f>
        <v>R03</v>
      </c>
      <c r="D216" s="7">
        <f>'02_Actual_Revenue'!D216</f>
        <v>67830</v>
      </c>
      <c r="E216" s="7">
        <f>D216*(1+_xlfn.XLOOKUP("Devices",'01_Assumptions'!$A$4:$A$6,'01_Assumptions'!$B$4:$B$6))</f>
        <v>71899.8</v>
      </c>
      <c r="F216" s="3">
        <f>'02_Actual_Revenue'!E216*(1+_xlfn.XLOOKUP("Devices",'01_Assumptions'!$A$4:$A$6,'01_Assumptions'!$C$4:$C$6))</f>
        <v>1222.98</v>
      </c>
      <c r="G216" s="9">
        <f t="shared" si="9"/>
        <v>87932017.403999999</v>
      </c>
      <c r="H216" s="9">
        <f>G216*'02_Actual_Revenue'!H216</f>
        <v>48362609.5722</v>
      </c>
      <c r="I216" s="9">
        <f t="shared" si="10"/>
        <v>39569407.831799999</v>
      </c>
      <c r="J216" s="13">
        <f t="shared" si="11"/>
        <v>0.45</v>
      </c>
    </row>
    <row r="217" spans="1:10">
      <c r="A217" s="5">
        <f>'02_Actual_Revenue'!A217</f>
        <v>45809</v>
      </c>
      <c r="B217" s="3" t="str">
        <f>'02_Actual_Revenue'!B217</f>
        <v>P004</v>
      </c>
      <c r="C217" s="3" t="str">
        <f>'02_Actual_Revenue'!C217</f>
        <v>R04</v>
      </c>
      <c r="D217" s="7">
        <f>'02_Actual_Revenue'!D217</f>
        <v>39270</v>
      </c>
      <c r="E217" s="7">
        <f>D217*(1+_xlfn.XLOOKUP("Devices",'01_Assumptions'!$A$4:$A$6,'01_Assumptions'!$B$4:$B$6))</f>
        <v>41626.200000000004</v>
      </c>
      <c r="F217" s="3">
        <f>'02_Actual_Revenue'!E217*(1+_xlfn.XLOOKUP("Devices",'01_Assumptions'!$A$4:$A$6,'01_Assumptions'!$C$4:$C$6))</f>
        <v>1222.98</v>
      </c>
      <c r="G217" s="9">
        <f t="shared" si="9"/>
        <v>50908010.076000005</v>
      </c>
      <c r="H217" s="9">
        <f>G217*'02_Actual_Revenue'!H217</f>
        <v>27999405.541800003</v>
      </c>
      <c r="I217" s="9">
        <f t="shared" si="10"/>
        <v>22908604.534200002</v>
      </c>
      <c r="J217" s="13">
        <f t="shared" si="11"/>
        <v>0.45</v>
      </c>
    </row>
    <row r="218" spans="1:10">
      <c r="A218" s="5">
        <f>'02_Actual_Revenue'!A218</f>
        <v>45809</v>
      </c>
      <c r="B218" s="3" t="str">
        <f>'02_Actual_Revenue'!B218</f>
        <v>P005</v>
      </c>
      <c r="C218" s="3" t="str">
        <f>'02_Actual_Revenue'!C218</f>
        <v>R01</v>
      </c>
      <c r="D218" s="7">
        <f>'02_Actual_Revenue'!D218</f>
        <v>183600</v>
      </c>
      <c r="E218" s="7">
        <f>D218*(1+_xlfn.XLOOKUP("Devices",'01_Assumptions'!$A$4:$A$6,'01_Assumptions'!$B$4:$B$6))</f>
        <v>194616</v>
      </c>
      <c r="F218" s="3">
        <f>'02_Actual_Revenue'!E218*(1+_xlfn.XLOOKUP("Devices",'01_Assumptions'!$A$4:$A$6,'01_Assumptions'!$C$4:$C$6))</f>
        <v>304.98</v>
      </c>
      <c r="G218" s="9">
        <f t="shared" si="9"/>
        <v>59353987.680000007</v>
      </c>
      <c r="H218" s="9">
        <f>G218*'02_Actual_Revenue'!H218</f>
        <v>29676993.840000004</v>
      </c>
      <c r="I218" s="9">
        <f t="shared" si="10"/>
        <v>29676993.840000004</v>
      </c>
      <c r="J218" s="13">
        <f t="shared" si="11"/>
        <v>0.5</v>
      </c>
    </row>
    <row r="219" spans="1:10">
      <c r="A219" s="5">
        <f>'02_Actual_Revenue'!A219</f>
        <v>45809</v>
      </c>
      <c r="B219" s="3" t="str">
        <f>'02_Actual_Revenue'!B219</f>
        <v>P005</v>
      </c>
      <c r="C219" s="3" t="str">
        <f>'02_Actual_Revenue'!C219</f>
        <v>R02</v>
      </c>
      <c r="D219" s="7">
        <f>'02_Actual_Revenue'!D219</f>
        <v>156060</v>
      </c>
      <c r="E219" s="7">
        <f>D219*(1+_xlfn.XLOOKUP("Devices",'01_Assumptions'!$A$4:$A$6,'01_Assumptions'!$B$4:$B$6))</f>
        <v>165423.6</v>
      </c>
      <c r="F219" s="3">
        <f>'02_Actual_Revenue'!E219*(1+_xlfn.XLOOKUP("Devices",'01_Assumptions'!$A$4:$A$6,'01_Assumptions'!$C$4:$C$6))</f>
        <v>304.98</v>
      </c>
      <c r="G219" s="9">
        <f t="shared" si="9"/>
        <v>50450889.528000005</v>
      </c>
      <c r="H219" s="9">
        <f>G219*'02_Actual_Revenue'!H219</f>
        <v>25225444.764000002</v>
      </c>
      <c r="I219" s="9">
        <f t="shared" si="10"/>
        <v>25225444.764000002</v>
      </c>
      <c r="J219" s="13">
        <f t="shared" si="11"/>
        <v>0.5</v>
      </c>
    </row>
    <row r="220" spans="1:10">
      <c r="A220" s="5">
        <f>'02_Actual_Revenue'!A220</f>
        <v>45809</v>
      </c>
      <c r="B220" s="3" t="str">
        <f>'02_Actual_Revenue'!B220</f>
        <v>P005</v>
      </c>
      <c r="C220" s="3" t="str">
        <f>'02_Actual_Revenue'!C220</f>
        <v>R03</v>
      </c>
      <c r="D220" s="7">
        <f>'02_Actual_Revenue'!D220</f>
        <v>174420</v>
      </c>
      <c r="E220" s="7">
        <f>D220*(1+_xlfn.XLOOKUP("Devices",'01_Assumptions'!$A$4:$A$6,'01_Assumptions'!$B$4:$B$6))</f>
        <v>184885.2</v>
      </c>
      <c r="F220" s="3">
        <f>'02_Actual_Revenue'!E220*(1+_xlfn.XLOOKUP("Devices",'01_Assumptions'!$A$4:$A$6,'01_Assumptions'!$C$4:$C$6))</f>
        <v>304.98</v>
      </c>
      <c r="G220" s="9">
        <f t="shared" si="9"/>
        <v>56386288.296000004</v>
      </c>
      <c r="H220" s="9">
        <f>G220*'02_Actual_Revenue'!H220</f>
        <v>28193144.148000002</v>
      </c>
      <c r="I220" s="9">
        <f t="shared" si="10"/>
        <v>28193144.148000002</v>
      </c>
      <c r="J220" s="13">
        <f t="shared" si="11"/>
        <v>0.5</v>
      </c>
    </row>
    <row r="221" spans="1:10">
      <c r="A221" s="5">
        <f>'02_Actual_Revenue'!A221</f>
        <v>45809</v>
      </c>
      <c r="B221" s="3" t="str">
        <f>'02_Actual_Revenue'!B221</f>
        <v>P005</v>
      </c>
      <c r="C221" s="3" t="str">
        <f>'02_Actual_Revenue'!C221</f>
        <v>R04</v>
      </c>
      <c r="D221" s="7">
        <f>'02_Actual_Revenue'!D221</f>
        <v>100980</v>
      </c>
      <c r="E221" s="7">
        <f>D221*(1+_xlfn.XLOOKUP("Devices",'01_Assumptions'!$A$4:$A$6,'01_Assumptions'!$B$4:$B$6))</f>
        <v>107038.8</v>
      </c>
      <c r="F221" s="3">
        <f>'02_Actual_Revenue'!E221*(1+_xlfn.XLOOKUP("Devices",'01_Assumptions'!$A$4:$A$6,'01_Assumptions'!$C$4:$C$6))</f>
        <v>304.98</v>
      </c>
      <c r="G221" s="9">
        <f t="shared" si="9"/>
        <v>32644693.224000003</v>
      </c>
      <c r="H221" s="9">
        <f>G221*'02_Actual_Revenue'!H221</f>
        <v>16322346.612000002</v>
      </c>
      <c r="I221" s="9">
        <f t="shared" si="10"/>
        <v>16322346.612000002</v>
      </c>
      <c r="J221" s="13">
        <f t="shared" si="11"/>
        <v>0.5</v>
      </c>
    </row>
    <row r="222" spans="1:10">
      <c r="A222" s="5">
        <f>'02_Actual_Revenue'!A222</f>
        <v>45809</v>
      </c>
      <c r="B222" s="3" t="str">
        <f>'02_Actual_Revenue'!B222</f>
        <v>P006</v>
      </c>
      <c r="C222" s="3" t="str">
        <f>'02_Actual_Revenue'!C222</f>
        <v>R01</v>
      </c>
      <c r="D222" s="7">
        <f>'02_Actual_Revenue'!D222</f>
        <v>612000</v>
      </c>
      <c r="E222" s="7">
        <f>D222*(1+_xlfn.XLOOKUP("Cloud &amp; Software",'01_Assumptions'!$A$4:$A$6,'01_Assumptions'!$B$4:$B$6))</f>
        <v>673200</v>
      </c>
      <c r="F222" s="3">
        <f>'02_Actual_Revenue'!E222*(1+_xlfn.XLOOKUP("Cloud &amp; Software",'01_Assumptions'!$A$4:$A$6,'01_Assumptions'!$C$4:$C$6))</f>
        <v>40.17</v>
      </c>
      <c r="G222" s="9">
        <f t="shared" si="9"/>
        <v>27042444</v>
      </c>
      <c r="H222" s="9">
        <f>G222*'02_Actual_Revenue'!H222</f>
        <v>6760611</v>
      </c>
      <c r="I222" s="9">
        <f t="shared" si="10"/>
        <v>20281833</v>
      </c>
      <c r="J222" s="13">
        <f t="shared" si="11"/>
        <v>0.75</v>
      </c>
    </row>
    <row r="223" spans="1:10">
      <c r="A223" s="5">
        <f>'02_Actual_Revenue'!A223</f>
        <v>45809</v>
      </c>
      <c r="B223" s="3" t="str">
        <f>'02_Actual_Revenue'!B223</f>
        <v>P006</v>
      </c>
      <c r="C223" s="3" t="str">
        <f>'02_Actual_Revenue'!C223</f>
        <v>R02</v>
      </c>
      <c r="D223" s="7">
        <f>'02_Actual_Revenue'!D223</f>
        <v>520200</v>
      </c>
      <c r="E223" s="7">
        <f>D223*(1+_xlfn.XLOOKUP("Cloud &amp; Software",'01_Assumptions'!$A$4:$A$6,'01_Assumptions'!$B$4:$B$6))</f>
        <v>572220</v>
      </c>
      <c r="F223" s="3">
        <f>'02_Actual_Revenue'!E223*(1+_xlfn.XLOOKUP("Cloud &amp; Software",'01_Assumptions'!$A$4:$A$6,'01_Assumptions'!$C$4:$C$6))</f>
        <v>40.17</v>
      </c>
      <c r="G223" s="9">
        <f t="shared" si="9"/>
        <v>22986077.400000002</v>
      </c>
      <c r="H223" s="9">
        <f>G223*'02_Actual_Revenue'!H223</f>
        <v>5746519.3500000006</v>
      </c>
      <c r="I223" s="9">
        <f t="shared" si="10"/>
        <v>17239558.050000001</v>
      </c>
      <c r="J223" s="13">
        <f t="shared" si="11"/>
        <v>0.75</v>
      </c>
    </row>
    <row r="224" spans="1:10">
      <c r="A224" s="5">
        <f>'02_Actual_Revenue'!A224</f>
        <v>45809</v>
      </c>
      <c r="B224" s="3" t="str">
        <f>'02_Actual_Revenue'!B224</f>
        <v>P006</v>
      </c>
      <c r="C224" s="3" t="str">
        <f>'02_Actual_Revenue'!C224</f>
        <v>R03</v>
      </c>
      <c r="D224" s="7">
        <f>'02_Actual_Revenue'!D224</f>
        <v>581400</v>
      </c>
      <c r="E224" s="7">
        <f>D224*(1+_xlfn.XLOOKUP("Cloud &amp; Software",'01_Assumptions'!$A$4:$A$6,'01_Assumptions'!$B$4:$B$6))</f>
        <v>639540</v>
      </c>
      <c r="F224" s="3">
        <f>'02_Actual_Revenue'!E224*(1+_xlfn.XLOOKUP("Cloud &amp; Software",'01_Assumptions'!$A$4:$A$6,'01_Assumptions'!$C$4:$C$6))</f>
        <v>40.17</v>
      </c>
      <c r="G224" s="9">
        <f t="shared" si="9"/>
        <v>25690321.800000001</v>
      </c>
      <c r="H224" s="9">
        <f>G224*'02_Actual_Revenue'!H224</f>
        <v>6422580.4500000002</v>
      </c>
      <c r="I224" s="9">
        <f t="shared" si="10"/>
        <v>19267741.350000001</v>
      </c>
      <c r="J224" s="13">
        <f t="shared" si="11"/>
        <v>0.75</v>
      </c>
    </row>
    <row r="225" spans="1:10">
      <c r="A225" s="5">
        <f>'02_Actual_Revenue'!A225</f>
        <v>45809</v>
      </c>
      <c r="B225" s="3" t="str">
        <f>'02_Actual_Revenue'!B225</f>
        <v>P006</v>
      </c>
      <c r="C225" s="3" t="str">
        <f>'02_Actual_Revenue'!C225</f>
        <v>R04</v>
      </c>
      <c r="D225" s="7">
        <f>'02_Actual_Revenue'!D225</f>
        <v>336600</v>
      </c>
      <c r="E225" s="7">
        <f>D225*(1+_xlfn.XLOOKUP("Cloud &amp; Software",'01_Assumptions'!$A$4:$A$6,'01_Assumptions'!$B$4:$B$6))</f>
        <v>370260.00000000006</v>
      </c>
      <c r="F225" s="3">
        <f>'02_Actual_Revenue'!E225*(1+_xlfn.XLOOKUP("Cloud &amp; Software",'01_Assumptions'!$A$4:$A$6,'01_Assumptions'!$C$4:$C$6))</f>
        <v>40.17</v>
      </c>
      <c r="G225" s="9">
        <f t="shared" si="9"/>
        <v>14873344.200000003</v>
      </c>
      <c r="H225" s="9">
        <f>G225*'02_Actual_Revenue'!H225</f>
        <v>3718336.0500000007</v>
      </c>
      <c r="I225" s="9">
        <f t="shared" si="10"/>
        <v>11155008.150000002</v>
      </c>
      <c r="J225" s="13">
        <f t="shared" si="11"/>
        <v>0.75</v>
      </c>
    </row>
    <row r="226" spans="1:10">
      <c r="A226" s="5">
        <f>'02_Actual_Revenue'!A226</f>
        <v>45809</v>
      </c>
      <c r="B226" s="3" t="str">
        <f>'02_Actual_Revenue'!B226</f>
        <v>P007</v>
      </c>
      <c r="C226" s="3" t="str">
        <f>'02_Actual_Revenue'!C226</f>
        <v>R01</v>
      </c>
      <c r="D226" s="7">
        <f>'02_Actual_Revenue'!D226</f>
        <v>408000</v>
      </c>
      <c r="E226" s="7">
        <f>D226*(1+_xlfn.XLOOKUP("Cloud &amp; Software",'01_Assumptions'!$A$4:$A$6,'01_Assumptions'!$B$4:$B$6))</f>
        <v>448800.00000000006</v>
      </c>
      <c r="F226" s="3">
        <f>'02_Actual_Revenue'!E226*(1+_xlfn.XLOOKUP("Cloud &amp; Software",'01_Assumptions'!$A$4:$A$6,'01_Assumptions'!$C$4:$C$6))</f>
        <v>24.72</v>
      </c>
      <c r="G226" s="9">
        <f t="shared" si="9"/>
        <v>11094336</v>
      </c>
      <c r="H226" s="9">
        <f>G226*'02_Actual_Revenue'!H226</f>
        <v>2218867.2000000002</v>
      </c>
      <c r="I226" s="9">
        <f t="shared" si="10"/>
        <v>8875468.8000000007</v>
      </c>
      <c r="J226" s="13">
        <f t="shared" si="11"/>
        <v>0.8</v>
      </c>
    </row>
    <row r="227" spans="1:10">
      <c r="A227" s="5">
        <f>'02_Actual_Revenue'!A227</f>
        <v>45809</v>
      </c>
      <c r="B227" s="3" t="str">
        <f>'02_Actual_Revenue'!B227</f>
        <v>P007</v>
      </c>
      <c r="C227" s="3" t="str">
        <f>'02_Actual_Revenue'!C227</f>
        <v>R02</v>
      </c>
      <c r="D227" s="7">
        <f>'02_Actual_Revenue'!D227</f>
        <v>346800</v>
      </c>
      <c r="E227" s="7">
        <f>D227*(1+_xlfn.XLOOKUP("Cloud &amp; Software",'01_Assumptions'!$A$4:$A$6,'01_Assumptions'!$B$4:$B$6))</f>
        <v>381480.00000000006</v>
      </c>
      <c r="F227" s="3">
        <f>'02_Actual_Revenue'!E227*(1+_xlfn.XLOOKUP("Cloud &amp; Software",'01_Assumptions'!$A$4:$A$6,'01_Assumptions'!$C$4:$C$6))</f>
        <v>24.72</v>
      </c>
      <c r="G227" s="9">
        <f t="shared" si="9"/>
        <v>9430185.6000000015</v>
      </c>
      <c r="H227" s="9">
        <f>G227*'02_Actual_Revenue'!H227</f>
        <v>1886037.1200000003</v>
      </c>
      <c r="I227" s="9">
        <f t="shared" si="10"/>
        <v>7544148.4800000014</v>
      </c>
      <c r="J227" s="13">
        <f t="shared" si="11"/>
        <v>0.8</v>
      </c>
    </row>
    <row r="228" spans="1:10">
      <c r="A228" s="5">
        <f>'02_Actual_Revenue'!A228</f>
        <v>45809</v>
      </c>
      <c r="B228" s="3" t="str">
        <f>'02_Actual_Revenue'!B228</f>
        <v>P007</v>
      </c>
      <c r="C228" s="3" t="str">
        <f>'02_Actual_Revenue'!C228</f>
        <v>R03</v>
      </c>
      <c r="D228" s="7">
        <f>'02_Actual_Revenue'!D228</f>
        <v>387600</v>
      </c>
      <c r="E228" s="7">
        <f>D228*(1+_xlfn.XLOOKUP("Cloud &amp; Software",'01_Assumptions'!$A$4:$A$6,'01_Assumptions'!$B$4:$B$6))</f>
        <v>426360.00000000006</v>
      </c>
      <c r="F228" s="3">
        <f>'02_Actual_Revenue'!E228*(1+_xlfn.XLOOKUP("Cloud &amp; Software",'01_Assumptions'!$A$4:$A$6,'01_Assumptions'!$C$4:$C$6))</f>
        <v>24.72</v>
      </c>
      <c r="G228" s="9">
        <f t="shared" si="9"/>
        <v>10539619.200000001</v>
      </c>
      <c r="H228" s="9">
        <f>G228*'02_Actual_Revenue'!H228</f>
        <v>2107923.8400000003</v>
      </c>
      <c r="I228" s="9">
        <f t="shared" si="10"/>
        <v>8431695.3600000013</v>
      </c>
      <c r="J228" s="13">
        <f t="shared" si="11"/>
        <v>0.8</v>
      </c>
    </row>
    <row r="229" spans="1:10">
      <c r="A229" s="5">
        <f>'02_Actual_Revenue'!A229</f>
        <v>45809</v>
      </c>
      <c r="B229" s="3" t="str">
        <f>'02_Actual_Revenue'!B229</f>
        <v>P007</v>
      </c>
      <c r="C229" s="3" t="str">
        <f>'02_Actual_Revenue'!C229</f>
        <v>R04</v>
      </c>
      <c r="D229" s="7">
        <f>'02_Actual_Revenue'!D229</f>
        <v>224400</v>
      </c>
      <c r="E229" s="7">
        <f>D229*(1+_xlfn.XLOOKUP("Cloud &amp; Software",'01_Assumptions'!$A$4:$A$6,'01_Assumptions'!$B$4:$B$6))</f>
        <v>246840.00000000003</v>
      </c>
      <c r="F229" s="3">
        <f>'02_Actual_Revenue'!E229*(1+_xlfn.XLOOKUP("Cloud &amp; Software",'01_Assumptions'!$A$4:$A$6,'01_Assumptions'!$C$4:$C$6))</f>
        <v>24.72</v>
      </c>
      <c r="G229" s="9">
        <f t="shared" si="9"/>
        <v>6101884.8000000007</v>
      </c>
      <c r="H229" s="9">
        <f>G229*'02_Actual_Revenue'!H229</f>
        <v>1220376.9600000002</v>
      </c>
      <c r="I229" s="9">
        <f t="shared" si="10"/>
        <v>4881507.8400000008</v>
      </c>
      <c r="J229" s="13">
        <f t="shared" si="11"/>
        <v>0.8</v>
      </c>
    </row>
    <row r="230" spans="1:10">
      <c r="A230" s="5">
        <f>'02_Actual_Revenue'!A230</f>
        <v>45809</v>
      </c>
      <c r="B230" s="3" t="str">
        <f>'02_Actual_Revenue'!B230</f>
        <v>P008</v>
      </c>
      <c r="C230" s="3" t="str">
        <f>'02_Actual_Revenue'!C230</f>
        <v>R01</v>
      </c>
      <c r="D230" s="7">
        <f>'02_Actual_Revenue'!D230</f>
        <v>1224000</v>
      </c>
      <c r="E230" s="7">
        <f>D230*(1+_xlfn.XLOOKUP("Digital Services",'01_Assumptions'!$A$4:$A$6,'01_Assumptions'!$B$4:$B$6))</f>
        <v>1321920</v>
      </c>
      <c r="F230" s="3">
        <f>'02_Actual_Revenue'!E230*(1+_xlfn.XLOOKUP("Digital Services",'01_Assumptions'!$A$4:$A$6,'01_Assumptions'!$C$4:$C$6))</f>
        <v>12.24</v>
      </c>
      <c r="G230" s="9">
        <f t="shared" si="9"/>
        <v>16180300.800000001</v>
      </c>
      <c r="H230" s="9">
        <f>G230*'02_Actual_Revenue'!H230</f>
        <v>4854090.24</v>
      </c>
      <c r="I230" s="9">
        <f t="shared" si="10"/>
        <v>11326210.560000001</v>
      </c>
      <c r="J230" s="13">
        <f t="shared" si="11"/>
        <v>0.7</v>
      </c>
    </row>
    <row r="231" spans="1:10">
      <c r="A231" s="5">
        <f>'02_Actual_Revenue'!A231</f>
        <v>45809</v>
      </c>
      <c r="B231" s="3" t="str">
        <f>'02_Actual_Revenue'!B231</f>
        <v>P008</v>
      </c>
      <c r="C231" s="3" t="str">
        <f>'02_Actual_Revenue'!C231</f>
        <v>R02</v>
      </c>
      <c r="D231" s="7">
        <f>'02_Actual_Revenue'!D231</f>
        <v>1040400</v>
      </c>
      <c r="E231" s="7">
        <f>D231*(1+_xlfn.XLOOKUP("Digital Services",'01_Assumptions'!$A$4:$A$6,'01_Assumptions'!$B$4:$B$6))</f>
        <v>1123632</v>
      </c>
      <c r="F231" s="3">
        <f>'02_Actual_Revenue'!E231*(1+_xlfn.XLOOKUP("Digital Services",'01_Assumptions'!$A$4:$A$6,'01_Assumptions'!$C$4:$C$6))</f>
        <v>12.24</v>
      </c>
      <c r="G231" s="9">
        <f t="shared" si="9"/>
        <v>13753255.68</v>
      </c>
      <c r="H231" s="9">
        <f>G231*'02_Actual_Revenue'!H231</f>
        <v>4125976.7039999999</v>
      </c>
      <c r="I231" s="9">
        <f t="shared" si="10"/>
        <v>9627278.9759999998</v>
      </c>
      <c r="J231" s="13">
        <f t="shared" si="11"/>
        <v>0.7</v>
      </c>
    </row>
    <row r="232" spans="1:10">
      <c r="A232" s="5">
        <f>'02_Actual_Revenue'!A232</f>
        <v>45809</v>
      </c>
      <c r="B232" s="3" t="str">
        <f>'02_Actual_Revenue'!B232</f>
        <v>P008</v>
      </c>
      <c r="C232" s="3" t="str">
        <f>'02_Actual_Revenue'!C232</f>
        <v>R03</v>
      </c>
      <c r="D232" s="7">
        <f>'02_Actual_Revenue'!D232</f>
        <v>1162800</v>
      </c>
      <c r="E232" s="7">
        <f>D232*(1+_xlfn.XLOOKUP("Digital Services",'01_Assumptions'!$A$4:$A$6,'01_Assumptions'!$B$4:$B$6))</f>
        <v>1255824</v>
      </c>
      <c r="F232" s="3">
        <f>'02_Actual_Revenue'!E232*(1+_xlfn.XLOOKUP("Digital Services",'01_Assumptions'!$A$4:$A$6,'01_Assumptions'!$C$4:$C$6))</f>
        <v>12.24</v>
      </c>
      <c r="G232" s="9">
        <f t="shared" si="9"/>
        <v>15371285.76</v>
      </c>
      <c r="H232" s="9">
        <f>G232*'02_Actual_Revenue'!H232</f>
        <v>4611385.7280000001</v>
      </c>
      <c r="I232" s="9">
        <f t="shared" si="10"/>
        <v>10759900.032</v>
      </c>
      <c r="J232" s="13">
        <f t="shared" si="11"/>
        <v>0.7</v>
      </c>
    </row>
    <row r="233" spans="1:10">
      <c r="A233" s="5">
        <f>'02_Actual_Revenue'!A233</f>
        <v>45809</v>
      </c>
      <c r="B233" s="3" t="str">
        <f>'02_Actual_Revenue'!B233</f>
        <v>P008</v>
      </c>
      <c r="C233" s="3" t="str">
        <f>'02_Actual_Revenue'!C233</f>
        <v>R04</v>
      </c>
      <c r="D233" s="7">
        <f>'02_Actual_Revenue'!D233</f>
        <v>673200</v>
      </c>
      <c r="E233" s="7">
        <f>D233*(1+_xlfn.XLOOKUP("Digital Services",'01_Assumptions'!$A$4:$A$6,'01_Assumptions'!$B$4:$B$6))</f>
        <v>727056</v>
      </c>
      <c r="F233" s="3">
        <f>'02_Actual_Revenue'!E233*(1+_xlfn.XLOOKUP("Digital Services",'01_Assumptions'!$A$4:$A$6,'01_Assumptions'!$C$4:$C$6))</f>
        <v>12.24</v>
      </c>
      <c r="G233" s="9">
        <f t="shared" si="9"/>
        <v>8899165.4399999995</v>
      </c>
      <c r="H233" s="9">
        <f>G233*'02_Actual_Revenue'!H233</f>
        <v>2669749.6319999998</v>
      </c>
      <c r="I233" s="9">
        <f t="shared" si="10"/>
        <v>6229415.8080000002</v>
      </c>
      <c r="J233" s="13">
        <f t="shared" si="11"/>
        <v>0.70000000000000007</v>
      </c>
    </row>
    <row r="234" spans="1:10">
      <c r="A234" s="5">
        <f>'02_Actual_Revenue'!A234</f>
        <v>45809</v>
      </c>
      <c r="B234" s="3" t="str">
        <f>'02_Actual_Revenue'!B234</f>
        <v>P009</v>
      </c>
      <c r="C234" s="3" t="str">
        <f>'02_Actual_Revenue'!C234</f>
        <v>R01</v>
      </c>
      <c r="D234" s="7">
        <f>'02_Actual_Revenue'!D234</f>
        <v>816000</v>
      </c>
      <c r="E234" s="7">
        <f>D234*(1+_xlfn.XLOOKUP("Digital Services",'01_Assumptions'!$A$4:$A$6,'01_Assumptions'!$B$4:$B$6))</f>
        <v>881280</v>
      </c>
      <c r="F234" s="3">
        <f>'02_Actual_Revenue'!E234*(1+_xlfn.XLOOKUP("Digital Services",'01_Assumptions'!$A$4:$A$6,'01_Assumptions'!$C$4:$C$6))</f>
        <v>15.3</v>
      </c>
      <c r="G234" s="9">
        <f t="shared" si="9"/>
        <v>13483584</v>
      </c>
      <c r="H234" s="9">
        <f>G234*'02_Actual_Revenue'!H234</f>
        <v>4719254.3999999994</v>
      </c>
      <c r="I234" s="9">
        <f t="shared" si="10"/>
        <v>8764329.6000000015</v>
      </c>
      <c r="J234" s="13">
        <f t="shared" si="11"/>
        <v>0.65000000000000013</v>
      </c>
    </row>
    <row r="235" spans="1:10">
      <c r="A235" s="5">
        <f>'02_Actual_Revenue'!A235</f>
        <v>45809</v>
      </c>
      <c r="B235" s="3" t="str">
        <f>'02_Actual_Revenue'!B235</f>
        <v>P009</v>
      </c>
      <c r="C235" s="3" t="str">
        <f>'02_Actual_Revenue'!C235</f>
        <v>R02</v>
      </c>
      <c r="D235" s="7">
        <f>'02_Actual_Revenue'!D235</f>
        <v>693600</v>
      </c>
      <c r="E235" s="7">
        <f>D235*(1+_xlfn.XLOOKUP("Digital Services",'01_Assumptions'!$A$4:$A$6,'01_Assumptions'!$B$4:$B$6))</f>
        <v>749088</v>
      </c>
      <c r="F235" s="3">
        <f>'02_Actual_Revenue'!E235*(1+_xlfn.XLOOKUP("Digital Services",'01_Assumptions'!$A$4:$A$6,'01_Assumptions'!$C$4:$C$6))</f>
        <v>15.3</v>
      </c>
      <c r="G235" s="9">
        <f t="shared" si="9"/>
        <v>11461046.4</v>
      </c>
      <c r="H235" s="9">
        <f>G235*'02_Actual_Revenue'!H235</f>
        <v>4011366.2399999998</v>
      </c>
      <c r="I235" s="9">
        <f t="shared" si="10"/>
        <v>7449680.1600000001</v>
      </c>
      <c r="J235" s="13">
        <f t="shared" si="11"/>
        <v>0.65</v>
      </c>
    </row>
    <row r="236" spans="1:10">
      <c r="A236" s="5">
        <f>'02_Actual_Revenue'!A236</f>
        <v>45809</v>
      </c>
      <c r="B236" s="3" t="str">
        <f>'02_Actual_Revenue'!B236</f>
        <v>P009</v>
      </c>
      <c r="C236" s="3" t="str">
        <f>'02_Actual_Revenue'!C236</f>
        <v>R03</v>
      </c>
      <c r="D236" s="7">
        <f>'02_Actual_Revenue'!D236</f>
        <v>775200</v>
      </c>
      <c r="E236" s="7">
        <f>D236*(1+_xlfn.XLOOKUP("Digital Services",'01_Assumptions'!$A$4:$A$6,'01_Assumptions'!$B$4:$B$6))</f>
        <v>837216</v>
      </c>
      <c r="F236" s="3">
        <f>'02_Actual_Revenue'!E236*(1+_xlfn.XLOOKUP("Digital Services",'01_Assumptions'!$A$4:$A$6,'01_Assumptions'!$C$4:$C$6))</f>
        <v>15.3</v>
      </c>
      <c r="G236" s="9">
        <f t="shared" si="9"/>
        <v>12809404.800000001</v>
      </c>
      <c r="H236" s="9">
        <f>G236*'02_Actual_Revenue'!H236</f>
        <v>4483291.68</v>
      </c>
      <c r="I236" s="9">
        <f t="shared" si="10"/>
        <v>8326113.120000001</v>
      </c>
      <c r="J236" s="13">
        <f t="shared" si="11"/>
        <v>0.65</v>
      </c>
    </row>
    <row r="237" spans="1:10">
      <c r="A237" s="5">
        <f>'02_Actual_Revenue'!A237</f>
        <v>45809</v>
      </c>
      <c r="B237" s="3" t="str">
        <f>'02_Actual_Revenue'!B237</f>
        <v>P009</v>
      </c>
      <c r="C237" s="3" t="str">
        <f>'02_Actual_Revenue'!C237</f>
        <v>R04</v>
      </c>
      <c r="D237" s="7">
        <f>'02_Actual_Revenue'!D237</f>
        <v>448800</v>
      </c>
      <c r="E237" s="7">
        <f>D237*(1+_xlfn.XLOOKUP("Digital Services",'01_Assumptions'!$A$4:$A$6,'01_Assumptions'!$B$4:$B$6))</f>
        <v>484704.00000000006</v>
      </c>
      <c r="F237" s="3">
        <f>'02_Actual_Revenue'!E237*(1+_xlfn.XLOOKUP("Digital Services",'01_Assumptions'!$A$4:$A$6,'01_Assumptions'!$C$4:$C$6))</f>
        <v>15.3</v>
      </c>
      <c r="G237" s="9">
        <f t="shared" si="9"/>
        <v>7415971.2000000011</v>
      </c>
      <c r="H237" s="9">
        <f>G237*'02_Actual_Revenue'!H237</f>
        <v>2595589.9200000004</v>
      </c>
      <c r="I237" s="9">
        <f t="shared" si="10"/>
        <v>4820381.2800000012</v>
      </c>
      <c r="J237" s="13">
        <f t="shared" si="11"/>
        <v>0.65</v>
      </c>
    </row>
    <row r="238" spans="1:10">
      <c r="A238" s="5">
        <f>'02_Actual_Revenue'!A238</f>
        <v>45809</v>
      </c>
      <c r="B238" s="3" t="str">
        <f>'02_Actual_Revenue'!B238</f>
        <v>P010</v>
      </c>
      <c r="C238" s="3" t="str">
        <f>'02_Actual_Revenue'!C238</f>
        <v>R01</v>
      </c>
      <c r="D238" s="7">
        <f>'02_Actual_Revenue'!D238</f>
        <v>918000</v>
      </c>
      <c r="E238" s="7">
        <f>D238*(1+_xlfn.XLOOKUP("Digital Services",'01_Assumptions'!$A$4:$A$6,'01_Assumptions'!$B$4:$B$6))</f>
        <v>991440.00000000012</v>
      </c>
      <c r="F238" s="3">
        <f>'02_Actual_Revenue'!E238*(1+_xlfn.XLOOKUP("Digital Services",'01_Assumptions'!$A$4:$A$6,'01_Assumptions'!$C$4:$C$6))</f>
        <v>8.16</v>
      </c>
      <c r="G238" s="9">
        <f t="shared" si="9"/>
        <v>8090150.4000000013</v>
      </c>
      <c r="H238" s="9">
        <f>G238*'02_Actual_Revenue'!H238</f>
        <v>1213522.56</v>
      </c>
      <c r="I238" s="9">
        <f t="shared" si="10"/>
        <v>6876627.8400000017</v>
      </c>
      <c r="J238" s="13">
        <f t="shared" si="11"/>
        <v>0.85000000000000009</v>
      </c>
    </row>
    <row r="239" spans="1:10">
      <c r="A239" s="5">
        <f>'02_Actual_Revenue'!A239</f>
        <v>45809</v>
      </c>
      <c r="B239" s="3" t="str">
        <f>'02_Actual_Revenue'!B239</f>
        <v>P010</v>
      </c>
      <c r="C239" s="3" t="str">
        <f>'02_Actual_Revenue'!C239</f>
        <v>R02</v>
      </c>
      <c r="D239" s="7">
        <f>'02_Actual_Revenue'!D239</f>
        <v>780300</v>
      </c>
      <c r="E239" s="7">
        <f>D239*(1+_xlfn.XLOOKUP("Digital Services",'01_Assumptions'!$A$4:$A$6,'01_Assumptions'!$B$4:$B$6))</f>
        <v>842724</v>
      </c>
      <c r="F239" s="3">
        <f>'02_Actual_Revenue'!E239*(1+_xlfn.XLOOKUP("Digital Services",'01_Assumptions'!$A$4:$A$6,'01_Assumptions'!$C$4:$C$6))</f>
        <v>8.16</v>
      </c>
      <c r="G239" s="9">
        <f t="shared" si="9"/>
        <v>6876627.8399999999</v>
      </c>
      <c r="H239" s="9">
        <f>G239*'02_Actual_Revenue'!H239</f>
        <v>1031494.176</v>
      </c>
      <c r="I239" s="9">
        <f t="shared" si="10"/>
        <v>5845133.6639999999</v>
      </c>
      <c r="J239" s="13">
        <f t="shared" si="11"/>
        <v>0.85</v>
      </c>
    </row>
    <row r="240" spans="1:10">
      <c r="A240" s="5">
        <f>'02_Actual_Revenue'!A240</f>
        <v>45809</v>
      </c>
      <c r="B240" s="3" t="str">
        <f>'02_Actual_Revenue'!B240</f>
        <v>P010</v>
      </c>
      <c r="C240" s="3" t="str">
        <f>'02_Actual_Revenue'!C240</f>
        <v>R03</v>
      </c>
      <c r="D240" s="7">
        <f>'02_Actual_Revenue'!D240</f>
        <v>872100</v>
      </c>
      <c r="E240" s="7">
        <f>D240*(1+_xlfn.XLOOKUP("Digital Services",'01_Assumptions'!$A$4:$A$6,'01_Assumptions'!$B$4:$B$6))</f>
        <v>941868.00000000012</v>
      </c>
      <c r="F240" s="3">
        <f>'02_Actual_Revenue'!E240*(1+_xlfn.XLOOKUP("Digital Services",'01_Assumptions'!$A$4:$A$6,'01_Assumptions'!$C$4:$C$6))</f>
        <v>8.16</v>
      </c>
      <c r="G240" s="9">
        <f t="shared" si="9"/>
        <v>7685642.8800000008</v>
      </c>
      <c r="H240" s="9">
        <f>G240*'02_Actual_Revenue'!H240</f>
        <v>1152846.432</v>
      </c>
      <c r="I240" s="9">
        <f t="shared" si="10"/>
        <v>6532796.4480000008</v>
      </c>
      <c r="J240" s="13">
        <f t="shared" si="11"/>
        <v>0.85</v>
      </c>
    </row>
    <row r="241" spans="1:10">
      <c r="A241" s="5">
        <f>'02_Actual_Revenue'!A241</f>
        <v>45809</v>
      </c>
      <c r="B241" s="3" t="str">
        <f>'02_Actual_Revenue'!B241</f>
        <v>P010</v>
      </c>
      <c r="C241" s="3" t="str">
        <f>'02_Actual_Revenue'!C241</f>
        <v>R04</v>
      </c>
      <c r="D241" s="7">
        <f>'02_Actual_Revenue'!D241</f>
        <v>504900</v>
      </c>
      <c r="E241" s="7">
        <f>D241*(1+_xlfn.XLOOKUP("Digital Services",'01_Assumptions'!$A$4:$A$6,'01_Assumptions'!$B$4:$B$6))</f>
        <v>545292</v>
      </c>
      <c r="F241" s="3">
        <f>'02_Actual_Revenue'!E241*(1+_xlfn.XLOOKUP("Digital Services",'01_Assumptions'!$A$4:$A$6,'01_Assumptions'!$C$4:$C$6))</f>
        <v>8.16</v>
      </c>
      <c r="G241" s="9">
        <f t="shared" si="9"/>
        <v>4449582.72</v>
      </c>
      <c r="H241" s="9">
        <f>G241*'02_Actual_Revenue'!H241</f>
        <v>667437.40799999994</v>
      </c>
      <c r="I241" s="9">
        <f t="shared" si="10"/>
        <v>3782145.3119999999</v>
      </c>
      <c r="J241" s="13">
        <f t="shared" si="11"/>
        <v>0.85</v>
      </c>
    </row>
    <row r="242" spans="1:10">
      <c r="A242" s="5">
        <f>'02_Actual_Revenue'!A242</f>
        <v>45839</v>
      </c>
      <c r="B242" s="3" t="str">
        <f>'02_Actual_Revenue'!B242</f>
        <v>P001</v>
      </c>
      <c r="C242" s="3" t="str">
        <f>'02_Actual_Revenue'!C242</f>
        <v>R01</v>
      </c>
      <c r="D242" s="7">
        <f>'02_Actual_Revenue'!D242</f>
        <v>257500</v>
      </c>
      <c r="E242" s="7">
        <f>D242*(1+_xlfn.XLOOKUP("Devices",'01_Assumptions'!$A$4:$A$6,'01_Assumptions'!$B$4:$B$6))</f>
        <v>272950</v>
      </c>
      <c r="F242" s="3">
        <f>'02_Actual_Revenue'!E242*(1+_xlfn.XLOOKUP("Devices",'01_Assumptions'!$A$4:$A$6,'01_Assumptions'!$C$4:$C$6))</f>
        <v>712.98</v>
      </c>
      <c r="G242" s="9">
        <f t="shared" si="9"/>
        <v>194607891</v>
      </c>
      <c r="H242" s="9">
        <f>G242*'02_Actual_Revenue'!H242</f>
        <v>120656892.42</v>
      </c>
      <c r="I242" s="9">
        <f t="shared" si="10"/>
        <v>73950998.579999998</v>
      </c>
      <c r="J242" s="13">
        <f t="shared" si="11"/>
        <v>0.38</v>
      </c>
    </row>
    <row r="243" spans="1:10">
      <c r="A243" s="5">
        <f>'02_Actual_Revenue'!A243</f>
        <v>45839</v>
      </c>
      <c r="B243" s="3" t="str">
        <f>'02_Actual_Revenue'!B243</f>
        <v>P001</v>
      </c>
      <c r="C243" s="3" t="str">
        <f>'02_Actual_Revenue'!C243</f>
        <v>R02</v>
      </c>
      <c r="D243" s="7">
        <f>'02_Actual_Revenue'!D243</f>
        <v>218875</v>
      </c>
      <c r="E243" s="7">
        <f>D243*(1+_xlfn.XLOOKUP("Devices",'01_Assumptions'!$A$4:$A$6,'01_Assumptions'!$B$4:$B$6))</f>
        <v>232007.5</v>
      </c>
      <c r="F243" s="3">
        <f>'02_Actual_Revenue'!E243*(1+_xlfn.XLOOKUP("Devices",'01_Assumptions'!$A$4:$A$6,'01_Assumptions'!$C$4:$C$6))</f>
        <v>712.98</v>
      </c>
      <c r="G243" s="9">
        <f t="shared" si="9"/>
        <v>165416707.34999999</v>
      </c>
      <c r="H243" s="9">
        <f>G243*'02_Actual_Revenue'!H243</f>
        <v>102558358.557</v>
      </c>
      <c r="I243" s="9">
        <f t="shared" si="10"/>
        <v>62858348.792999998</v>
      </c>
      <c r="J243" s="13">
        <f t="shared" si="11"/>
        <v>0.38</v>
      </c>
    </row>
    <row r="244" spans="1:10">
      <c r="A244" s="5">
        <f>'02_Actual_Revenue'!A244</f>
        <v>45839</v>
      </c>
      <c r="B244" s="3" t="str">
        <f>'02_Actual_Revenue'!B244</f>
        <v>P001</v>
      </c>
      <c r="C244" s="3" t="str">
        <f>'02_Actual_Revenue'!C244</f>
        <v>R03</v>
      </c>
      <c r="D244" s="7">
        <f>'02_Actual_Revenue'!D244</f>
        <v>244625</v>
      </c>
      <c r="E244" s="7">
        <f>D244*(1+_xlfn.XLOOKUP("Devices",'01_Assumptions'!$A$4:$A$6,'01_Assumptions'!$B$4:$B$6))</f>
        <v>259302.5</v>
      </c>
      <c r="F244" s="3">
        <f>'02_Actual_Revenue'!E244*(1+_xlfn.XLOOKUP("Devices",'01_Assumptions'!$A$4:$A$6,'01_Assumptions'!$C$4:$C$6))</f>
        <v>712.98</v>
      </c>
      <c r="G244" s="9">
        <f t="shared" si="9"/>
        <v>184877496.45000002</v>
      </c>
      <c r="H244" s="9">
        <f>G244*'02_Actual_Revenue'!H244</f>
        <v>114624047.79900001</v>
      </c>
      <c r="I244" s="9">
        <f t="shared" si="10"/>
        <v>70253448.651000008</v>
      </c>
      <c r="J244" s="13">
        <f t="shared" si="11"/>
        <v>0.38</v>
      </c>
    </row>
    <row r="245" spans="1:10">
      <c r="A245" s="5">
        <f>'02_Actual_Revenue'!A245</f>
        <v>45839</v>
      </c>
      <c r="B245" s="3" t="str">
        <f>'02_Actual_Revenue'!B245</f>
        <v>P001</v>
      </c>
      <c r="C245" s="3" t="str">
        <f>'02_Actual_Revenue'!C245</f>
        <v>R04</v>
      </c>
      <c r="D245" s="7">
        <f>'02_Actual_Revenue'!D245</f>
        <v>141625</v>
      </c>
      <c r="E245" s="7">
        <f>D245*(1+_xlfn.XLOOKUP("Devices",'01_Assumptions'!$A$4:$A$6,'01_Assumptions'!$B$4:$B$6))</f>
        <v>150122.5</v>
      </c>
      <c r="F245" s="3">
        <f>'02_Actual_Revenue'!E245*(1+_xlfn.XLOOKUP("Devices",'01_Assumptions'!$A$4:$A$6,'01_Assumptions'!$C$4:$C$6))</f>
        <v>712.98</v>
      </c>
      <c r="G245" s="9">
        <f t="shared" si="9"/>
        <v>107034340.05</v>
      </c>
      <c r="H245" s="9">
        <f>G245*'02_Actual_Revenue'!H245</f>
        <v>66361290.831</v>
      </c>
      <c r="I245" s="9">
        <f t="shared" si="10"/>
        <v>40673049.218999997</v>
      </c>
      <c r="J245" s="13">
        <f t="shared" si="11"/>
        <v>0.38</v>
      </c>
    </row>
    <row r="246" spans="1:10">
      <c r="A246" s="5">
        <f>'02_Actual_Revenue'!A246</f>
        <v>45839</v>
      </c>
      <c r="B246" s="3" t="str">
        <f>'02_Actual_Revenue'!B246</f>
        <v>P002</v>
      </c>
      <c r="C246" s="3" t="str">
        <f>'02_Actual_Revenue'!C246</f>
        <v>R01</v>
      </c>
      <c r="D246" s="7">
        <f>'02_Actual_Revenue'!D246</f>
        <v>123600</v>
      </c>
      <c r="E246" s="7">
        <f>D246*(1+_xlfn.XLOOKUP("Devices",'01_Assumptions'!$A$4:$A$6,'01_Assumptions'!$B$4:$B$6))</f>
        <v>131016</v>
      </c>
      <c r="F246" s="3">
        <f>'02_Actual_Revenue'!E246*(1+_xlfn.XLOOKUP("Devices",'01_Assumptions'!$A$4:$A$6,'01_Assumptions'!$C$4:$C$6))</f>
        <v>1018.98</v>
      </c>
      <c r="G246" s="9">
        <f t="shared" si="9"/>
        <v>133502683.68000001</v>
      </c>
      <c r="H246" s="9">
        <f>G246*'02_Actual_Revenue'!H246</f>
        <v>77431556.534400001</v>
      </c>
      <c r="I246" s="9">
        <f t="shared" si="10"/>
        <v>56071127.145600006</v>
      </c>
      <c r="J246" s="13">
        <f t="shared" si="11"/>
        <v>0.42000000000000004</v>
      </c>
    </row>
    <row r="247" spans="1:10">
      <c r="A247" s="5">
        <f>'02_Actual_Revenue'!A247</f>
        <v>45839</v>
      </c>
      <c r="B247" s="3" t="str">
        <f>'02_Actual_Revenue'!B247</f>
        <v>P002</v>
      </c>
      <c r="C247" s="3" t="str">
        <f>'02_Actual_Revenue'!C247</f>
        <v>R02</v>
      </c>
      <c r="D247" s="7">
        <f>'02_Actual_Revenue'!D247</f>
        <v>105060</v>
      </c>
      <c r="E247" s="7">
        <f>D247*(1+_xlfn.XLOOKUP("Devices",'01_Assumptions'!$A$4:$A$6,'01_Assumptions'!$B$4:$B$6))</f>
        <v>111363.6</v>
      </c>
      <c r="F247" s="3">
        <f>'02_Actual_Revenue'!E247*(1+_xlfn.XLOOKUP("Devices",'01_Assumptions'!$A$4:$A$6,'01_Assumptions'!$C$4:$C$6))</f>
        <v>1018.98</v>
      </c>
      <c r="G247" s="9">
        <f t="shared" si="9"/>
        <v>113477281.12800001</v>
      </c>
      <c r="H247" s="9">
        <f>G247*'02_Actual_Revenue'!H247</f>
        <v>65816823.054240011</v>
      </c>
      <c r="I247" s="9">
        <f t="shared" si="10"/>
        <v>47660458.073759995</v>
      </c>
      <c r="J247" s="13">
        <f t="shared" si="11"/>
        <v>0.41999999999999993</v>
      </c>
    </row>
    <row r="248" spans="1:10">
      <c r="A248" s="5">
        <f>'02_Actual_Revenue'!A248</f>
        <v>45839</v>
      </c>
      <c r="B248" s="3" t="str">
        <f>'02_Actual_Revenue'!B248</f>
        <v>P002</v>
      </c>
      <c r="C248" s="3" t="str">
        <f>'02_Actual_Revenue'!C248</f>
        <v>R03</v>
      </c>
      <c r="D248" s="7">
        <f>'02_Actual_Revenue'!D248</f>
        <v>117420</v>
      </c>
      <c r="E248" s="7">
        <f>D248*(1+_xlfn.XLOOKUP("Devices",'01_Assumptions'!$A$4:$A$6,'01_Assumptions'!$B$4:$B$6))</f>
        <v>124465.20000000001</v>
      </c>
      <c r="F248" s="3">
        <f>'02_Actual_Revenue'!E248*(1+_xlfn.XLOOKUP("Devices",'01_Assumptions'!$A$4:$A$6,'01_Assumptions'!$C$4:$C$6))</f>
        <v>1018.98</v>
      </c>
      <c r="G248" s="9">
        <f t="shared" si="9"/>
        <v>126827549.49600001</v>
      </c>
      <c r="H248" s="9">
        <f>G248*'02_Actual_Revenue'!H248</f>
        <v>73559978.707680017</v>
      </c>
      <c r="I248" s="9">
        <f t="shared" si="10"/>
        <v>53267570.78831999</v>
      </c>
      <c r="J248" s="13">
        <f t="shared" si="11"/>
        <v>0.41999999999999987</v>
      </c>
    </row>
    <row r="249" spans="1:10">
      <c r="A249" s="5">
        <f>'02_Actual_Revenue'!A249</f>
        <v>45839</v>
      </c>
      <c r="B249" s="3" t="str">
        <f>'02_Actual_Revenue'!B249</f>
        <v>P002</v>
      </c>
      <c r="C249" s="3" t="str">
        <f>'02_Actual_Revenue'!C249</f>
        <v>R04</v>
      </c>
      <c r="D249" s="7">
        <f>'02_Actual_Revenue'!D249</f>
        <v>67980</v>
      </c>
      <c r="E249" s="7">
        <f>D249*(1+_xlfn.XLOOKUP("Devices",'01_Assumptions'!$A$4:$A$6,'01_Assumptions'!$B$4:$B$6))</f>
        <v>72058.8</v>
      </c>
      <c r="F249" s="3">
        <f>'02_Actual_Revenue'!E249*(1+_xlfn.XLOOKUP("Devices",'01_Assumptions'!$A$4:$A$6,'01_Assumptions'!$C$4:$C$6))</f>
        <v>1018.98</v>
      </c>
      <c r="G249" s="9">
        <f t="shared" si="9"/>
        <v>73426476.024000004</v>
      </c>
      <c r="H249" s="9">
        <f>G249*'02_Actual_Revenue'!H249</f>
        <v>42587356.093920007</v>
      </c>
      <c r="I249" s="9">
        <f t="shared" si="10"/>
        <v>30839119.930079997</v>
      </c>
      <c r="J249" s="13">
        <f t="shared" si="11"/>
        <v>0.41999999999999993</v>
      </c>
    </row>
    <row r="250" spans="1:10">
      <c r="A250" s="5">
        <f>'02_Actual_Revenue'!A250</f>
        <v>45839</v>
      </c>
      <c r="B250" s="3" t="str">
        <f>'02_Actual_Revenue'!B250</f>
        <v>P003</v>
      </c>
      <c r="C250" s="3" t="str">
        <f>'02_Actual_Revenue'!C250</f>
        <v>R01</v>
      </c>
      <c r="D250" s="7">
        <f>'02_Actual_Revenue'!D250</f>
        <v>144200</v>
      </c>
      <c r="E250" s="7">
        <f>D250*(1+_xlfn.XLOOKUP("Devices",'01_Assumptions'!$A$4:$A$6,'01_Assumptions'!$B$4:$B$6))</f>
        <v>152852</v>
      </c>
      <c r="F250" s="3">
        <f>'02_Actual_Revenue'!E250*(1+_xlfn.XLOOKUP("Devices",'01_Assumptions'!$A$4:$A$6,'01_Assumptions'!$C$4:$C$6))</f>
        <v>559.98</v>
      </c>
      <c r="G250" s="9">
        <f t="shared" si="9"/>
        <v>85594062.960000008</v>
      </c>
      <c r="H250" s="9">
        <f>G250*'02_Actual_Revenue'!H250</f>
        <v>51356437.776000001</v>
      </c>
      <c r="I250" s="9">
        <f t="shared" si="10"/>
        <v>34237625.184000008</v>
      </c>
      <c r="J250" s="13">
        <f t="shared" si="11"/>
        <v>0.40000000000000008</v>
      </c>
    </row>
    <row r="251" spans="1:10">
      <c r="A251" s="5">
        <f>'02_Actual_Revenue'!A251</f>
        <v>45839</v>
      </c>
      <c r="B251" s="3" t="str">
        <f>'02_Actual_Revenue'!B251</f>
        <v>P003</v>
      </c>
      <c r="C251" s="3" t="str">
        <f>'02_Actual_Revenue'!C251</f>
        <v>R02</v>
      </c>
      <c r="D251" s="7">
        <f>'02_Actual_Revenue'!D251</f>
        <v>122570</v>
      </c>
      <c r="E251" s="7">
        <f>D251*(1+_xlfn.XLOOKUP("Devices",'01_Assumptions'!$A$4:$A$6,'01_Assumptions'!$B$4:$B$6))</f>
        <v>129924.20000000001</v>
      </c>
      <c r="F251" s="3">
        <f>'02_Actual_Revenue'!E251*(1+_xlfn.XLOOKUP("Devices",'01_Assumptions'!$A$4:$A$6,'01_Assumptions'!$C$4:$C$6))</f>
        <v>559.98</v>
      </c>
      <c r="G251" s="9">
        <f t="shared" si="9"/>
        <v>72754953.516000003</v>
      </c>
      <c r="H251" s="9">
        <f>G251*'02_Actual_Revenue'!H251</f>
        <v>43652972.1096</v>
      </c>
      <c r="I251" s="9">
        <f t="shared" si="10"/>
        <v>29101981.406400003</v>
      </c>
      <c r="J251" s="13">
        <f t="shared" si="11"/>
        <v>0.4</v>
      </c>
    </row>
    <row r="252" spans="1:10">
      <c r="A252" s="5">
        <f>'02_Actual_Revenue'!A252</f>
        <v>45839</v>
      </c>
      <c r="B252" s="3" t="str">
        <f>'02_Actual_Revenue'!B252</f>
        <v>P003</v>
      </c>
      <c r="C252" s="3" t="str">
        <f>'02_Actual_Revenue'!C252</f>
        <v>R03</v>
      </c>
      <c r="D252" s="7">
        <f>'02_Actual_Revenue'!D252</f>
        <v>136990</v>
      </c>
      <c r="E252" s="7">
        <f>D252*(1+_xlfn.XLOOKUP("Devices",'01_Assumptions'!$A$4:$A$6,'01_Assumptions'!$B$4:$B$6))</f>
        <v>145209.4</v>
      </c>
      <c r="F252" s="3">
        <f>'02_Actual_Revenue'!E252*(1+_xlfn.XLOOKUP("Devices",'01_Assumptions'!$A$4:$A$6,'01_Assumptions'!$C$4:$C$6))</f>
        <v>559.98</v>
      </c>
      <c r="G252" s="9">
        <f t="shared" si="9"/>
        <v>81314359.812000006</v>
      </c>
      <c r="H252" s="9">
        <f>G252*'02_Actual_Revenue'!H252</f>
        <v>48788615.887200005</v>
      </c>
      <c r="I252" s="9">
        <f t="shared" si="10"/>
        <v>32525743.924800001</v>
      </c>
      <c r="J252" s="13">
        <f t="shared" si="11"/>
        <v>0.39999999999999997</v>
      </c>
    </row>
    <row r="253" spans="1:10">
      <c r="A253" s="5">
        <f>'02_Actual_Revenue'!A253</f>
        <v>45839</v>
      </c>
      <c r="B253" s="3" t="str">
        <f>'02_Actual_Revenue'!B253</f>
        <v>P003</v>
      </c>
      <c r="C253" s="3" t="str">
        <f>'02_Actual_Revenue'!C253</f>
        <v>R04</v>
      </c>
      <c r="D253" s="7">
        <f>'02_Actual_Revenue'!D253</f>
        <v>79310</v>
      </c>
      <c r="E253" s="7">
        <f>D253*(1+_xlfn.XLOOKUP("Devices",'01_Assumptions'!$A$4:$A$6,'01_Assumptions'!$B$4:$B$6))</f>
        <v>84068.6</v>
      </c>
      <c r="F253" s="3">
        <f>'02_Actual_Revenue'!E253*(1+_xlfn.XLOOKUP("Devices",'01_Assumptions'!$A$4:$A$6,'01_Assumptions'!$C$4:$C$6))</f>
        <v>559.98</v>
      </c>
      <c r="G253" s="9">
        <f t="shared" si="9"/>
        <v>47076734.628000006</v>
      </c>
      <c r="H253" s="9">
        <f>G253*'02_Actual_Revenue'!H253</f>
        <v>28246040.776800003</v>
      </c>
      <c r="I253" s="9">
        <f t="shared" si="10"/>
        <v>18830693.851200003</v>
      </c>
      <c r="J253" s="13">
        <f t="shared" si="11"/>
        <v>0.4</v>
      </c>
    </row>
    <row r="254" spans="1:10">
      <c r="A254" s="5">
        <f>'02_Actual_Revenue'!A254</f>
        <v>45839</v>
      </c>
      <c r="B254" s="3" t="str">
        <f>'02_Actual_Revenue'!B254</f>
        <v>P004</v>
      </c>
      <c r="C254" s="3" t="str">
        <f>'02_Actual_Revenue'!C254</f>
        <v>R01</v>
      </c>
      <c r="D254" s="7">
        <f>'02_Actual_Revenue'!D254</f>
        <v>72100</v>
      </c>
      <c r="E254" s="7">
        <f>D254*(1+_xlfn.XLOOKUP("Devices",'01_Assumptions'!$A$4:$A$6,'01_Assumptions'!$B$4:$B$6))</f>
        <v>76426</v>
      </c>
      <c r="F254" s="3">
        <f>'02_Actual_Revenue'!E254*(1+_xlfn.XLOOKUP("Devices",'01_Assumptions'!$A$4:$A$6,'01_Assumptions'!$C$4:$C$6))</f>
        <v>1222.98</v>
      </c>
      <c r="G254" s="9">
        <f t="shared" si="9"/>
        <v>93467469.480000004</v>
      </c>
      <c r="H254" s="9">
        <f>G254*'02_Actual_Revenue'!H254</f>
        <v>51407108.214000009</v>
      </c>
      <c r="I254" s="9">
        <f t="shared" si="10"/>
        <v>42060361.265999995</v>
      </c>
      <c r="J254" s="13">
        <f t="shared" si="11"/>
        <v>0.44999999999999996</v>
      </c>
    </row>
    <row r="255" spans="1:10">
      <c r="A255" s="5">
        <f>'02_Actual_Revenue'!A255</f>
        <v>45839</v>
      </c>
      <c r="B255" s="3" t="str">
        <f>'02_Actual_Revenue'!B255</f>
        <v>P004</v>
      </c>
      <c r="C255" s="3" t="str">
        <f>'02_Actual_Revenue'!C255</f>
        <v>R02</v>
      </c>
      <c r="D255" s="7">
        <f>'02_Actual_Revenue'!D255</f>
        <v>61285</v>
      </c>
      <c r="E255" s="7">
        <f>D255*(1+_xlfn.XLOOKUP("Devices",'01_Assumptions'!$A$4:$A$6,'01_Assumptions'!$B$4:$B$6))</f>
        <v>64962.100000000006</v>
      </c>
      <c r="F255" s="3">
        <f>'02_Actual_Revenue'!E255*(1+_xlfn.XLOOKUP("Devices",'01_Assumptions'!$A$4:$A$6,'01_Assumptions'!$C$4:$C$6))</f>
        <v>1222.98</v>
      </c>
      <c r="G255" s="9">
        <f t="shared" si="9"/>
        <v>79447349.058000013</v>
      </c>
      <c r="H255" s="9">
        <f>G255*'02_Actual_Revenue'!H255</f>
        <v>43696041.981900014</v>
      </c>
      <c r="I255" s="9">
        <f t="shared" si="10"/>
        <v>35751307.076099999</v>
      </c>
      <c r="J255" s="13">
        <f t="shared" si="11"/>
        <v>0.4499999999999999</v>
      </c>
    </row>
    <row r="256" spans="1:10">
      <c r="A256" s="5">
        <f>'02_Actual_Revenue'!A256</f>
        <v>45839</v>
      </c>
      <c r="B256" s="3" t="str">
        <f>'02_Actual_Revenue'!B256</f>
        <v>P004</v>
      </c>
      <c r="C256" s="3" t="str">
        <f>'02_Actual_Revenue'!C256</f>
        <v>R03</v>
      </c>
      <c r="D256" s="7">
        <f>'02_Actual_Revenue'!D256</f>
        <v>68495</v>
      </c>
      <c r="E256" s="7">
        <f>D256*(1+_xlfn.XLOOKUP("Devices",'01_Assumptions'!$A$4:$A$6,'01_Assumptions'!$B$4:$B$6))</f>
        <v>72604.7</v>
      </c>
      <c r="F256" s="3">
        <f>'02_Actual_Revenue'!E256*(1+_xlfn.XLOOKUP("Devices",'01_Assumptions'!$A$4:$A$6,'01_Assumptions'!$C$4:$C$6))</f>
        <v>1222.98</v>
      </c>
      <c r="G256" s="9">
        <f t="shared" si="9"/>
        <v>88794096.005999997</v>
      </c>
      <c r="H256" s="9">
        <f>G256*'02_Actual_Revenue'!H256</f>
        <v>48836752.803300001</v>
      </c>
      <c r="I256" s="9">
        <f t="shared" si="10"/>
        <v>39957343.202699997</v>
      </c>
      <c r="J256" s="13">
        <f t="shared" si="11"/>
        <v>0.44999999999999996</v>
      </c>
    </row>
    <row r="257" spans="1:10">
      <c r="A257" s="5">
        <f>'02_Actual_Revenue'!A257</f>
        <v>45839</v>
      </c>
      <c r="B257" s="3" t="str">
        <f>'02_Actual_Revenue'!B257</f>
        <v>P004</v>
      </c>
      <c r="C257" s="3" t="str">
        <f>'02_Actual_Revenue'!C257</f>
        <v>R04</v>
      </c>
      <c r="D257" s="7">
        <f>'02_Actual_Revenue'!D257</f>
        <v>39655</v>
      </c>
      <c r="E257" s="7">
        <f>D257*(1+_xlfn.XLOOKUP("Devices",'01_Assumptions'!$A$4:$A$6,'01_Assumptions'!$B$4:$B$6))</f>
        <v>42034.3</v>
      </c>
      <c r="F257" s="3">
        <f>'02_Actual_Revenue'!E257*(1+_xlfn.XLOOKUP("Devices",'01_Assumptions'!$A$4:$A$6,'01_Assumptions'!$C$4:$C$6))</f>
        <v>1222.98</v>
      </c>
      <c r="G257" s="9">
        <f t="shared" si="9"/>
        <v>51407108.214000002</v>
      </c>
      <c r="H257" s="9">
        <f>G257*'02_Actual_Revenue'!H257</f>
        <v>28273909.517700002</v>
      </c>
      <c r="I257" s="9">
        <f t="shared" si="10"/>
        <v>23133198.6963</v>
      </c>
      <c r="J257" s="13">
        <f t="shared" si="11"/>
        <v>0.45</v>
      </c>
    </row>
    <row r="258" spans="1:10">
      <c r="A258" s="5">
        <f>'02_Actual_Revenue'!A258</f>
        <v>45839</v>
      </c>
      <c r="B258" s="3" t="str">
        <f>'02_Actual_Revenue'!B258</f>
        <v>P005</v>
      </c>
      <c r="C258" s="3" t="str">
        <f>'02_Actual_Revenue'!C258</f>
        <v>R01</v>
      </c>
      <c r="D258" s="7">
        <f>'02_Actual_Revenue'!D258</f>
        <v>185400</v>
      </c>
      <c r="E258" s="7">
        <f>D258*(1+_xlfn.XLOOKUP("Devices",'01_Assumptions'!$A$4:$A$6,'01_Assumptions'!$B$4:$B$6))</f>
        <v>196524</v>
      </c>
      <c r="F258" s="3">
        <f>'02_Actual_Revenue'!E258*(1+_xlfn.XLOOKUP("Devices",'01_Assumptions'!$A$4:$A$6,'01_Assumptions'!$C$4:$C$6))</f>
        <v>304.98</v>
      </c>
      <c r="G258" s="9">
        <f t="shared" si="9"/>
        <v>59935889.520000003</v>
      </c>
      <c r="H258" s="9">
        <f>G258*'02_Actual_Revenue'!H258</f>
        <v>29967944.760000002</v>
      </c>
      <c r="I258" s="9">
        <f t="shared" si="10"/>
        <v>29967944.760000002</v>
      </c>
      <c r="J258" s="13">
        <f t="shared" si="11"/>
        <v>0.5</v>
      </c>
    </row>
    <row r="259" spans="1:10">
      <c r="A259" s="5">
        <f>'02_Actual_Revenue'!A259</f>
        <v>45839</v>
      </c>
      <c r="B259" s="3" t="str">
        <f>'02_Actual_Revenue'!B259</f>
        <v>P005</v>
      </c>
      <c r="C259" s="3" t="str">
        <f>'02_Actual_Revenue'!C259</f>
        <v>R02</v>
      </c>
      <c r="D259" s="7">
        <f>'02_Actual_Revenue'!D259</f>
        <v>157590</v>
      </c>
      <c r="E259" s="7">
        <f>D259*(1+_xlfn.XLOOKUP("Devices",'01_Assumptions'!$A$4:$A$6,'01_Assumptions'!$B$4:$B$6))</f>
        <v>167045.4</v>
      </c>
      <c r="F259" s="3">
        <f>'02_Actual_Revenue'!E259*(1+_xlfn.XLOOKUP("Devices",'01_Assumptions'!$A$4:$A$6,'01_Assumptions'!$C$4:$C$6))</f>
        <v>304.98</v>
      </c>
      <c r="G259" s="9">
        <f t="shared" ref="G259:G322" si="12">E259*F259</f>
        <v>50945506.092</v>
      </c>
      <c r="H259" s="9">
        <f>G259*'02_Actual_Revenue'!H259</f>
        <v>25472753.046</v>
      </c>
      <c r="I259" s="9">
        <f t="shared" ref="I259:I322" si="13">G259-H259</f>
        <v>25472753.046</v>
      </c>
      <c r="J259" s="13">
        <f t="shared" ref="J259:J322" si="14">I259/G259</f>
        <v>0.5</v>
      </c>
    </row>
    <row r="260" spans="1:10">
      <c r="A260" s="5">
        <f>'02_Actual_Revenue'!A260</f>
        <v>45839</v>
      </c>
      <c r="B260" s="3" t="str">
        <f>'02_Actual_Revenue'!B260</f>
        <v>P005</v>
      </c>
      <c r="C260" s="3" t="str">
        <f>'02_Actual_Revenue'!C260</f>
        <v>R03</v>
      </c>
      <c r="D260" s="7">
        <f>'02_Actual_Revenue'!D260</f>
        <v>176130</v>
      </c>
      <c r="E260" s="7">
        <f>D260*(1+_xlfn.XLOOKUP("Devices",'01_Assumptions'!$A$4:$A$6,'01_Assumptions'!$B$4:$B$6))</f>
        <v>186697.80000000002</v>
      </c>
      <c r="F260" s="3">
        <f>'02_Actual_Revenue'!E260*(1+_xlfn.XLOOKUP("Devices",'01_Assumptions'!$A$4:$A$6,'01_Assumptions'!$C$4:$C$6))</f>
        <v>304.98</v>
      </c>
      <c r="G260" s="9">
        <f t="shared" si="12"/>
        <v>56939095.044000007</v>
      </c>
      <c r="H260" s="9">
        <f>G260*'02_Actual_Revenue'!H260</f>
        <v>28469547.522000004</v>
      </c>
      <c r="I260" s="9">
        <f t="shared" si="13"/>
        <v>28469547.522000004</v>
      </c>
      <c r="J260" s="13">
        <f t="shared" si="14"/>
        <v>0.5</v>
      </c>
    </row>
    <row r="261" spans="1:10">
      <c r="A261" s="5">
        <f>'02_Actual_Revenue'!A261</f>
        <v>45839</v>
      </c>
      <c r="B261" s="3" t="str">
        <f>'02_Actual_Revenue'!B261</f>
        <v>P005</v>
      </c>
      <c r="C261" s="3" t="str">
        <f>'02_Actual_Revenue'!C261</f>
        <v>R04</v>
      </c>
      <c r="D261" s="7">
        <f>'02_Actual_Revenue'!D261</f>
        <v>101970</v>
      </c>
      <c r="E261" s="7">
        <f>D261*(1+_xlfn.XLOOKUP("Devices",'01_Assumptions'!$A$4:$A$6,'01_Assumptions'!$B$4:$B$6))</f>
        <v>108088.20000000001</v>
      </c>
      <c r="F261" s="3">
        <f>'02_Actual_Revenue'!E261*(1+_xlfn.XLOOKUP("Devices",'01_Assumptions'!$A$4:$A$6,'01_Assumptions'!$C$4:$C$6))</f>
        <v>304.98</v>
      </c>
      <c r="G261" s="9">
        <f t="shared" si="12"/>
        <v>32964739.236000005</v>
      </c>
      <c r="H261" s="9">
        <f>G261*'02_Actual_Revenue'!H261</f>
        <v>16482369.618000003</v>
      </c>
      <c r="I261" s="9">
        <f t="shared" si="13"/>
        <v>16482369.618000003</v>
      </c>
      <c r="J261" s="13">
        <f t="shared" si="14"/>
        <v>0.5</v>
      </c>
    </row>
    <row r="262" spans="1:10">
      <c r="A262" s="5">
        <f>'02_Actual_Revenue'!A262</f>
        <v>45839</v>
      </c>
      <c r="B262" s="3" t="str">
        <f>'02_Actual_Revenue'!B262</f>
        <v>P006</v>
      </c>
      <c r="C262" s="3" t="str">
        <f>'02_Actual_Revenue'!C262</f>
        <v>R01</v>
      </c>
      <c r="D262" s="7">
        <f>'02_Actual_Revenue'!D262</f>
        <v>618000</v>
      </c>
      <c r="E262" s="7">
        <f>D262*(1+_xlfn.XLOOKUP("Cloud &amp; Software",'01_Assumptions'!$A$4:$A$6,'01_Assumptions'!$B$4:$B$6))</f>
        <v>679800</v>
      </c>
      <c r="F262" s="3">
        <f>'02_Actual_Revenue'!E262*(1+_xlfn.XLOOKUP("Cloud &amp; Software",'01_Assumptions'!$A$4:$A$6,'01_Assumptions'!$C$4:$C$6))</f>
        <v>40.17</v>
      </c>
      <c r="G262" s="9">
        <f t="shared" si="12"/>
        <v>27307566</v>
      </c>
      <c r="H262" s="9">
        <f>G262*'02_Actual_Revenue'!H262</f>
        <v>6826891.5</v>
      </c>
      <c r="I262" s="9">
        <f t="shared" si="13"/>
        <v>20480674.5</v>
      </c>
      <c r="J262" s="13">
        <f t="shared" si="14"/>
        <v>0.75</v>
      </c>
    </row>
    <row r="263" spans="1:10">
      <c r="A263" s="5">
        <f>'02_Actual_Revenue'!A263</f>
        <v>45839</v>
      </c>
      <c r="B263" s="3" t="str">
        <f>'02_Actual_Revenue'!B263</f>
        <v>P006</v>
      </c>
      <c r="C263" s="3" t="str">
        <f>'02_Actual_Revenue'!C263</f>
        <v>R02</v>
      </c>
      <c r="D263" s="7">
        <f>'02_Actual_Revenue'!D263</f>
        <v>525300</v>
      </c>
      <c r="E263" s="7">
        <f>D263*(1+_xlfn.XLOOKUP("Cloud &amp; Software",'01_Assumptions'!$A$4:$A$6,'01_Assumptions'!$B$4:$B$6))</f>
        <v>577830</v>
      </c>
      <c r="F263" s="3">
        <f>'02_Actual_Revenue'!E263*(1+_xlfn.XLOOKUP("Cloud &amp; Software",'01_Assumptions'!$A$4:$A$6,'01_Assumptions'!$C$4:$C$6))</f>
        <v>40.17</v>
      </c>
      <c r="G263" s="9">
        <f t="shared" si="12"/>
        <v>23211431.100000001</v>
      </c>
      <c r="H263" s="9">
        <f>G263*'02_Actual_Revenue'!H263</f>
        <v>5802857.7750000004</v>
      </c>
      <c r="I263" s="9">
        <f t="shared" si="13"/>
        <v>17408573.325000003</v>
      </c>
      <c r="J263" s="13">
        <f t="shared" si="14"/>
        <v>0.75000000000000011</v>
      </c>
    </row>
    <row r="264" spans="1:10">
      <c r="A264" s="5">
        <f>'02_Actual_Revenue'!A264</f>
        <v>45839</v>
      </c>
      <c r="B264" s="3" t="str">
        <f>'02_Actual_Revenue'!B264</f>
        <v>P006</v>
      </c>
      <c r="C264" s="3" t="str">
        <f>'02_Actual_Revenue'!C264</f>
        <v>R03</v>
      </c>
      <c r="D264" s="7">
        <f>'02_Actual_Revenue'!D264</f>
        <v>587100</v>
      </c>
      <c r="E264" s="7">
        <f>D264*(1+_xlfn.XLOOKUP("Cloud &amp; Software",'01_Assumptions'!$A$4:$A$6,'01_Assumptions'!$B$4:$B$6))</f>
        <v>645810</v>
      </c>
      <c r="F264" s="3">
        <f>'02_Actual_Revenue'!E264*(1+_xlfn.XLOOKUP("Cloud &amp; Software",'01_Assumptions'!$A$4:$A$6,'01_Assumptions'!$C$4:$C$6))</f>
        <v>40.17</v>
      </c>
      <c r="G264" s="9">
        <f t="shared" si="12"/>
        <v>25942187.699999999</v>
      </c>
      <c r="H264" s="9">
        <f>G264*'02_Actual_Revenue'!H264</f>
        <v>6485546.9249999998</v>
      </c>
      <c r="I264" s="9">
        <f t="shared" si="13"/>
        <v>19456640.774999999</v>
      </c>
      <c r="J264" s="13">
        <f t="shared" si="14"/>
        <v>0.75</v>
      </c>
    </row>
    <row r="265" spans="1:10">
      <c r="A265" s="5">
        <f>'02_Actual_Revenue'!A265</f>
        <v>45839</v>
      </c>
      <c r="B265" s="3" t="str">
        <f>'02_Actual_Revenue'!B265</f>
        <v>P006</v>
      </c>
      <c r="C265" s="3" t="str">
        <f>'02_Actual_Revenue'!C265</f>
        <v>R04</v>
      </c>
      <c r="D265" s="7">
        <f>'02_Actual_Revenue'!D265</f>
        <v>339900</v>
      </c>
      <c r="E265" s="7">
        <f>D265*(1+_xlfn.XLOOKUP("Cloud &amp; Software",'01_Assumptions'!$A$4:$A$6,'01_Assumptions'!$B$4:$B$6))</f>
        <v>373890.00000000006</v>
      </c>
      <c r="F265" s="3">
        <f>'02_Actual_Revenue'!E265*(1+_xlfn.XLOOKUP("Cloud &amp; Software",'01_Assumptions'!$A$4:$A$6,'01_Assumptions'!$C$4:$C$6))</f>
        <v>40.17</v>
      </c>
      <c r="G265" s="9">
        <f t="shared" si="12"/>
        <v>15019161.300000003</v>
      </c>
      <c r="H265" s="9">
        <f>G265*'02_Actual_Revenue'!H265</f>
        <v>3754790.3250000007</v>
      </c>
      <c r="I265" s="9">
        <f t="shared" si="13"/>
        <v>11264370.975000001</v>
      </c>
      <c r="J265" s="13">
        <f t="shared" si="14"/>
        <v>0.75</v>
      </c>
    </row>
    <row r="266" spans="1:10">
      <c r="A266" s="5">
        <f>'02_Actual_Revenue'!A266</f>
        <v>45839</v>
      </c>
      <c r="B266" s="3" t="str">
        <f>'02_Actual_Revenue'!B266</f>
        <v>P007</v>
      </c>
      <c r="C266" s="3" t="str">
        <f>'02_Actual_Revenue'!C266</f>
        <v>R01</v>
      </c>
      <c r="D266" s="7">
        <f>'02_Actual_Revenue'!D266</f>
        <v>412000</v>
      </c>
      <c r="E266" s="7">
        <f>D266*(1+_xlfn.XLOOKUP("Cloud &amp; Software",'01_Assumptions'!$A$4:$A$6,'01_Assumptions'!$B$4:$B$6))</f>
        <v>453200.00000000006</v>
      </c>
      <c r="F266" s="3">
        <f>'02_Actual_Revenue'!E266*(1+_xlfn.XLOOKUP("Cloud &amp; Software",'01_Assumptions'!$A$4:$A$6,'01_Assumptions'!$C$4:$C$6))</f>
        <v>24.72</v>
      </c>
      <c r="G266" s="9">
        <f t="shared" si="12"/>
        <v>11203104</v>
      </c>
      <c r="H266" s="9">
        <f>G266*'02_Actual_Revenue'!H266</f>
        <v>2240620.8000000003</v>
      </c>
      <c r="I266" s="9">
        <f t="shared" si="13"/>
        <v>8962483.1999999993</v>
      </c>
      <c r="J266" s="13">
        <f t="shared" si="14"/>
        <v>0.79999999999999993</v>
      </c>
    </row>
    <row r="267" spans="1:10">
      <c r="A267" s="5">
        <f>'02_Actual_Revenue'!A267</f>
        <v>45839</v>
      </c>
      <c r="B267" s="3" t="str">
        <f>'02_Actual_Revenue'!B267</f>
        <v>P007</v>
      </c>
      <c r="C267" s="3" t="str">
        <f>'02_Actual_Revenue'!C267</f>
        <v>R02</v>
      </c>
      <c r="D267" s="7">
        <f>'02_Actual_Revenue'!D267</f>
        <v>350200</v>
      </c>
      <c r="E267" s="7">
        <f>D267*(1+_xlfn.XLOOKUP("Cloud &amp; Software",'01_Assumptions'!$A$4:$A$6,'01_Assumptions'!$B$4:$B$6))</f>
        <v>385220.00000000006</v>
      </c>
      <c r="F267" s="3">
        <f>'02_Actual_Revenue'!E267*(1+_xlfn.XLOOKUP("Cloud &amp; Software",'01_Assumptions'!$A$4:$A$6,'01_Assumptions'!$C$4:$C$6))</f>
        <v>24.72</v>
      </c>
      <c r="G267" s="9">
        <f t="shared" si="12"/>
        <v>9522638.4000000004</v>
      </c>
      <c r="H267" s="9">
        <f>G267*'02_Actual_Revenue'!H267</f>
        <v>1904527.6800000002</v>
      </c>
      <c r="I267" s="9">
        <f t="shared" si="13"/>
        <v>7618110.7200000007</v>
      </c>
      <c r="J267" s="13">
        <f t="shared" si="14"/>
        <v>0.8</v>
      </c>
    </row>
    <row r="268" spans="1:10">
      <c r="A268" s="5">
        <f>'02_Actual_Revenue'!A268</f>
        <v>45839</v>
      </c>
      <c r="B268" s="3" t="str">
        <f>'02_Actual_Revenue'!B268</f>
        <v>P007</v>
      </c>
      <c r="C268" s="3" t="str">
        <f>'02_Actual_Revenue'!C268</f>
        <v>R03</v>
      </c>
      <c r="D268" s="7">
        <f>'02_Actual_Revenue'!D268</f>
        <v>391400</v>
      </c>
      <c r="E268" s="7">
        <f>D268*(1+_xlfn.XLOOKUP("Cloud &amp; Software",'01_Assumptions'!$A$4:$A$6,'01_Assumptions'!$B$4:$B$6))</f>
        <v>430540.00000000006</v>
      </c>
      <c r="F268" s="3">
        <f>'02_Actual_Revenue'!E268*(1+_xlfn.XLOOKUP("Cloud &amp; Software",'01_Assumptions'!$A$4:$A$6,'01_Assumptions'!$C$4:$C$6))</f>
        <v>24.72</v>
      </c>
      <c r="G268" s="9">
        <f t="shared" si="12"/>
        <v>10642948.800000001</v>
      </c>
      <c r="H268" s="9">
        <f>G268*'02_Actual_Revenue'!H268</f>
        <v>2128589.7600000002</v>
      </c>
      <c r="I268" s="9">
        <f t="shared" si="13"/>
        <v>8514359.040000001</v>
      </c>
      <c r="J268" s="13">
        <f t="shared" si="14"/>
        <v>0.8</v>
      </c>
    </row>
    <row r="269" spans="1:10">
      <c r="A269" s="5">
        <f>'02_Actual_Revenue'!A269</f>
        <v>45839</v>
      </c>
      <c r="B269" s="3" t="str">
        <f>'02_Actual_Revenue'!B269</f>
        <v>P007</v>
      </c>
      <c r="C269" s="3" t="str">
        <f>'02_Actual_Revenue'!C269</f>
        <v>R04</v>
      </c>
      <c r="D269" s="7">
        <f>'02_Actual_Revenue'!D269</f>
        <v>226600</v>
      </c>
      <c r="E269" s="7">
        <f>D269*(1+_xlfn.XLOOKUP("Cloud &amp; Software",'01_Assumptions'!$A$4:$A$6,'01_Assumptions'!$B$4:$B$6))</f>
        <v>249260.00000000003</v>
      </c>
      <c r="F269" s="3">
        <f>'02_Actual_Revenue'!E269*(1+_xlfn.XLOOKUP("Cloud &amp; Software",'01_Assumptions'!$A$4:$A$6,'01_Assumptions'!$C$4:$C$6))</f>
        <v>24.72</v>
      </c>
      <c r="G269" s="9">
        <f t="shared" si="12"/>
        <v>6161707.2000000002</v>
      </c>
      <c r="H269" s="9">
        <f>G269*'02_Actual_Revenue'!H269</f>
        <v>1232341.4400000002</v>
      </c>
      <c r="I269" s="9">
        <f t="shared" si="13"/>
        <v>4929365.76</v>
      </c>
      <c r="J269" s="13">
        <f t="shared" si="14"/>
        <v>0.79999999999999993</v>
      </c>
    </row>
    <row r="270" spans="1:10">
      <c r="A270" s="5">
        <f>'02_Actual_Revenue'!A270</f>
        <v>45839</v>
      </c>
      <c r="B270" s="3" t="str">
        <f>'02_Actual_Revenue'!B270</f>
        <v>P008</v>
      </c>
      <c r="C270" s="3" t="str">
        <f>'02_Actual_Revenue'!C270</f>
        <v>R01</v>
      </c>
      <c r="D270" s="7">
        <f>'02_Actual_Revenue'!D270</f>
        <v>1236000</v>
      </c>
      <c r="E270" s="7">
        <f>D270*(1+_xlfn.XLOOKUP("Digital Services",'01_Assumptions'!$A$4:$A$6,'01_Assumptions'!$B$4:$B$6))</f>
        <v>1334880</v>
      </c>
      <c r="F270" s="3">
        <f>'02_Actual_Revenue'!E270*(1+_xlfn.XLOOKUP("Digital Services",'01_Assumptions'!$A$4:$A$6,'01_Assumptions'!$C$4:$C$6))</f>
        <v>12.24</v>
      </c>
      <c r="G270" s="9">
        <f t="shared" si="12"/>
        <v>16338931.200000001</v>
      </c>
      <c r="H270" s="9">
        <f>G270*'02_Actual_Revenue'!H270</f>
        <v>4901679.3600000003</v>
      </c>
      <c r="I270" s="9">
        <f t="shared" si="13"/>
        <v>11437251.84</v>
      </c>
      <c r="J270" s="13">
        <f t="shared" si="14"/>
        <v>0.7</v>
      </c>
    </row>
    <row r="271" spans="1:10">
      <c r="A271" s="5">
        <f>'02_Actual_Revenue'!A271</f>
        <v>45839</v>
      </c>
      <c r="B271" s="3" t="str">
        <f>'02_Actual_Revenue'!B271</f>
        <v>P008</v>
      </c>
      <c r="C271" s="3" t="str">
        <f>'02_Actual_Revenue'!C271</f>
        <v>R02</v>
      </c>
      <c r="D271" s="7">
        <f>'02_Actual_Revenue'!D271</f>
        <v>1050600</v>
      </c>
      <c r="E271" s="7">
        <f>D271*(1+_xlfn.XLOOKUP("Digital Services",'01_Assumptions'!$A$4:$A$6,'01_Assumptions'!$B$4:$B$6))</f>
        <v>1134648</v>
      </c>
      <c r="F271" s="3">
        <f>'02_Actual_Revenue'!E271*(1+_xlfn.XLOOKUP("Digital Services",'01_Assumptions'!$A$4:$A$6,'01_Assumptions'!$C$4:$C$6))</f>
        <v>12.24</v>
      </c>
      <c r="G271" s="9">
        <f t="shared" si="12"/>
        <v>13888091.52</v>
      </c>
      <c r="H271" s="9">
        <f>G271*'02_Actual_Revenue'!H271</f>
        <v>4166427.4559999998</v>
      </c>
      <c r="I271" s="9">
        <f t="shared" si="13"/>
        <v>9721664.0639999993</v>
      </c>
      <c r="J271" s="13">
        <f t="shared" si="14"/>
        <v>0.7</v>
      </c>
    </row>
    <row r="272" spans="1:10">
      <c r="A272" s="5">
        <f>'02_Actual_Revenue'!A272</f>
        <v>45839</v>
      </c>
      <c r="B272" s="3" t="str">
        <f>'02_Actual_Revenue'!B272</f>
        <v>P008</v>
      </c>
      <c r="C272" s="3" t="str">
        <f>'02_Actual_Revenue'!C272</f>
        <v>R03</v>
      </c>
      <c r="D272" s="7">
        <f>'02_Actual_Revenue'!D272</f>
        <v>1174200</v>
      </c>
      <c r="E272" s="7">
        <f>D272*(1+_xlfn.XLOOKUP("Digital Services",'01_Assumptions'!$A$4:$A$6,'01_Assumptions'!$B$4:$B$6))</f>
        <v>1268136</v>
      </c>
      <c r="F272" s="3">
        <f>'02_Actual_Revenue'!E272*(1+_xlfn.XLOOKUP("Digital Services",'01_Assumptions'!$A$4:$A$6,'01_Assumptions'!$C$4:$C$6))</f>
        <v>12.24</v>
      </c>
      <c r="G272" s="9">
        <f t="shared" si="12"/>
        <v>15521984.640000001</v>
      </c>
      <c r="H272" s="9">
        <f>G272*'02_Actual_Revenue'!H272</f>
        <v>4656595.392</v>
      </c>
      <c r="I272" s="9">
        <f t="shared" si="13"/>
        <v>10865389.248</v>
      </c>
      <c r="J272" s="13">
        <f t="shared" si="14"/>
        <v>0.7</v>
      </c>
    </row>
    <row r="273" spans="1:10">
      <c r="A273" s="5">
        <f>'02_Actual_Revenue'!A273</f>
        <v>45839</v>
      </c>
      <c r="B273" s="3" t="str">
        <f>'02_Actual_Revenue'!B273</f>
        <v>P008</v>
      </c>
      <c r="C273" s="3" t="str">
        <f>'02_Actual_Revenue'!C273</f>
        <v>R04</v>
      </c>
      <c r="D273" s="7">
        <f>'02_Actual_Revenue'!D273</f>
        <v>679800</v>
      </c>
      <c r="E273" s="7">
        <f>D273*(1+_xlfn.XLOOKUP("Digital Services",'01_Assumptions'!$A$4:$A$6,'01_Assumptions'!$B$4:$B$6))</f>
        <v>734184</v>
      </c>
      <c r="F273" s="3">
        <f>'02_Actual_Revenue'!E273*(1+_xlfn.XLOOKUP("Digital Services",'01_Assumptions'!$A$4:$A$6,'01_Assumptions'!$C$4:$C$6))</f>
        <v>12.24</v>
      </c>
      <c r="G273" s="9">
        <f t="shared" si="12"/>
        <v>8986412.1600000001</v>
      </c>
      <c r="H273" s="9">
        <f>G273*'02_Actual_Revenue'!H273</f>
        <v>2695923.648</v>
      </c>
      <c r="I273" s="9">
        <f t="shared" si="13"/>
        <v>6290488.5120000001</v>
      </c>
      <c r="J273" s="13">
        <f t="shared" si="14"/>
        <v>0.7</v>
      </c>
    </row>
    <row r="274" spans="1:10">
      <c r="A274" s="5">
        <f>'02_Actual_Revenue'!A274</f>
        <v>45839</v>
      </c>
      <c r="B274" s="3" t="str">
        <f>'02_Actual_Revenue'!B274</f>
        <v>P009</v>
      </c>
      <c r="C274" s="3" t="str">
        <f>'02_Actual_Revenue'!C274</f>
        <v>R01</v>
      </c>
      <c r="D274" s="7">
        <f>'02_Actual_Revenue'!D274</f>
        <v>824000</v>
      </c>
      <c r="E274" s="7">
        <f>D274*(1+_xlfn.XLOOKUP("Digital Services",'01_Assumptions'!$A$4:$A$6,'01_Assumptions'!$B$4:$B$6))</f>
        <v>889920.00000000012</v>
      </c>
      <c r="F274" s="3">
        <f>'02_Actual_Revenue'!E274*(1+_xlfn.XLOOKUP("Digital Services",'01_Assumptions'!$A$4:$A$6,'01_Assumptions'!$C$4:$C$6))</f>
        <v>15.3</v>
      </c>
      <c r="G274" s="9">
        <f t="shared" si="12"/>
        <v>13615776.000000002</v>
      </c>
      <c r="H274" s="9">
        <f>G274*'02_Actual_Revenue'!H274</f>
        <v>4765521.6000000006</v>
      </c>
      <c r="I274" s="9">
        <f t="shared" si="13"/>
        <v>8850254.4000000022</v>
      </c>
      <c r="J274" s="13">
        <f t="shared" si="14"/>
        <v>0.65</v>
      </c>
    </row>
    <row r="275" spans="1:10">
      <c r="A275" s="5">
        <f>'02_Actual_Revenue'!A275</f>
        <v>45839</v>
      </c>
      <c r="B275" s="3" t="str">
        <f>'02_Actual_Revenue'!B275</f>
        <v>P009</v>
      </c>
      <c r="C275" s="3" t="str">
        <f>'02_Actual_Revenue'!C275</f>
        <v>R02</v>
      </c>
      <c r="D275" s="7">
        <f>'02_Actual_Revenue'!D275</f>
        <v>700400</v>
      </c>
      <c r="E275" s="7">
        <f>D275*(1+_xlfn.XLOOKUP("Digital Services",'01_Assumptions'!$A$4:$A$6,'01_Assumptions'!$B$4:$B$6))</f>
        <v>756432</v>
      </c>
      <c r="F275" s="3">
        <f>'02_Actual_Revenue'!E275*(1+_xlfn.XLOOKUP("Digital Services",'01_Assumptions'!$A$4:$A$6,'01_Assumptions'!$C$4:$C$6))</f>
        <v>15.3</v>
      </c>
      <c r="G275" s="9">
        <f t="shared" si="12"/>
        <v>11573409.6</v>
      </c>
      <c r="H275" s="9">
        <f>G275*'02_Actual_Revenue'!H275</f>
        <v>4050693.3599999994</v>
      </c>
      <c r="I275" s="9">
        <f t="shared" si="13"/>
        <v>7522716.2400000002</v>
      </c>
      <c r="J275" s="13">
        <f t="shared" si="14"/>
        <v>0.65</v>
      </c>
    </row>
    <row r="276" spans="1:10">
      <c r="A276" s="5">
        <f>'02_Actual_Revenue'!A276</f>
        <v>45839</v>
      </c>
      <c r="B276" s="3" t="str">
        <f>'02_Actual_Revenue'!B276</f>
        <v>P009</v>
      </c>
      <c r="C276" s="3" t="str">
        <f>'02_Actual_Revenue'!C276</f>
        <v>R03</v>
      </c>
      <c r="D276" s="7">
        <f>'02_Actual_Revenue'!D276</f>
        <v>782800</v>
      </c>
      <c r="E276" s="7">
        <f>D276*(1+_xlfn.XLOOKUP("Digital Services",'01_Assumptions'!$A$4:$A$6,'01_Assumptions'!$B$4:$B$6))</f>
        <v>845424</v>
      </c>
      <c r="F276" s="3">
        <f>'02_Actual_Revenue'!E276*(1+_xlfn.XLOOKUP("Digital Services",'01_Assumptions'!$A$4:$A$6,'01_Assumptions'!$C$4:$C$6))</f>
        <v>15.3</v>
      </c>
      <c r="G276" s="9">
        <f t="shared" si="12"/>
        <v>12934987.200000001</v>
      </c>
      <c r="H276" s="9">
        <f>G276*'02_Actual_Revenue'!H276</f>
        <v>4527245.5200000005</v>
      </c>
      <c r="I276" s="9">
        <f t="shared" si="13"/>
        <v>8407741.6799999997</v>
      </c>
      <c r="J276" s="13">
        <f t="shared" si="14"/>
        <v>0.64999999999999991</v>
      </c>
    </row>
    <row r="277" spans="1:10">
      <c r="A277" s="5">
        <f>'02_Actual_Revenue'!A277</f>
        <v>45839</v>
      </c>
      <c r="B277" s="3" t="str">
        <f>'02_Actual_Revenue'!B277</f>
        <v>P009</v>
      </c>
      <c r="C277" s="3" t="str">
        <f>'02_Actual_Revenue'!C277</f>
        <v>R04</v>
      </c>
      <c r="D277" s="7">
        <f>'02_Actual_Revenue'!D277</f>
        <v>453200</v>
      </c>
      <c r="E277" s="7">
        <f>D277*(1+_xlfn.XLOOKUP("Digital Services",'01_Assumptions'!$A$4:$A$6,'01_Assumptions'!$B$4:$B$6))</f>
        <v>489456.00000000006</v>
      </c>
      <c r="F277" s="3">
        <f>'02_Actual_Revenue'!E277*(1+_xlfn.XLOOKUP("Digital Services",'01_Assumptions'!$A$4:$A$6,'01_Assumptions'!$C$4:$C$6))</f>
        <v>15.3</v>
      </c>
      <c r="G277" s="9">
        <f t="shared" si="12"/>
        <v>7488676.8000000017</v>
      </c>
      <c r="H277" s="9">
        <f>G277*'02_Actual_Revenue'!H277</f>
        <v>2621036.8800000004</v>
      </c>
      <c r="I277" s="9">
        <f t="shared" si="13"/>
        <v>4867639.9200000018</v>
      </c>
      <c r="J277" s="13">
        <f t="shared" si="14"/>
        <v>0.65000000000000013</v>
      </c>
    </row>
    <row r="278" spans="1:10">
      <c r="A278" s="5">
        <f>'02_Actual_Revenue'!A278</f>
        <v>45839</v>
      </c>
      <c r="B278" s="3" t="str">
        <f>'02_Actual_Revenue'!B278</f>
        <v>P010</v>
      </c>
      <c r="C278" s="3" t="str">
        <f>'02_Actual_Revenue'!C278</f>
        <v>R01</v>
      </c>
      <c r="D278" s="7">
        <f>'02_Actual_Revenue'!D278</f>
        <v>927000</v>
      </c>
      <c r="E278" s="7">
        <f>D278*(1+_xlfn.XLOOKUP("Digital Services",'01_Assumptions'!$A$4:$A$6,'01_Assumptions'!$B$4:$B$6))</f>
        <v>1001160.0000000001</v>
      </c>
      <c r="F278" s="3">
        <f>'02_Actual_Revenue'!E278*(1+_xlfn.XLOOKUP("Digital Services",'01_Assumptions'!$A$4:$A$6,'01_Assumptions'!$C$4:$C$6))</f>
        <v>8.16</v>
      </c>
      <c r="G278" s="9">
        <f t="shared" si="12"/>
        <v>8169465.6000000015</v>
      </c>
      <c r="H278" s="9">
        <f>G278*'02_Actual_Revenue'!H278</f>
        <v>1225419.8400000001</v>
      </c>
      <c r="I278" s="9">
        <f t="shared" si="13"/>
        <v>6944045.7600000016</v>
      </c>
      <c r="J278" s="13">
        <f t="shared" si="14"/>
        <v>0.85000000000000009</v>
      </c>
    </row>
    <row r="279" spans="1:10">
      <c r="A279" s="5">
        <f>'02_Actual_Revenue'!A279</f>
        <v>45839</v>
      </c>
      <c r="B279" s="3" t="str">
        <f>'02_Actual_Revenue'!B279</f>
        <v>P010</v>
      </c>
      <c r="C279" s="3" t="str">
        <f>'02_Actual_Revenue'!C279</f>
        <v>R02</v>
      </c>
      <c r="D279" s="7">
        <f>'02_Actual_Revenue'!D279</f>
        <v>787950</v>
      </c>
      <c r="E279" s="7">
        <f>D279*(1+_xlfn.XLOOKUP("Digital Services",'01_Assumptions'!$A$4:$A$6,'01_Assumptions'!$B$4:$B$6))</f>
        <v>850986</v>
      </c>
      <c r="F279" s="3">
        <f>'02_Actual_Revenue'!E279*(1+_xlfn.XLOOKUP("Digital Services",'01_Assumptions'!$A$4:$A$6,'01_Assumptions'!$C$4:$C$6))</f>
        <v>8.16</v>
      </c>
      <c r="G279" s="9">
        <f t="shared" si="12"/>
        <v>6944045.7599999998</v>
      </c>
      <c r="H279" s="9">
        <f>G279*'02_Actual_Revenue'!H279</f>
        <v>1041606.8639999999</v>
      </c>
      <c r="I279" s="9">
        <f t="shared" si="13"/>
        <v>5902438.8959999997</v>
      </c>
      <c r="J279" s="13">
        <f t="shared" si="14"/>
        <v>0.85</v>
      </c>
    </row>
    <row r="280" spans="1:10">
      <c r="A280" s="5">
        <f>'02_Actual_Revenue'!A280</f>
        <v>45839</v>
      </c>
      <c r="B280" s="3" t="str">
        <f>'02_Actual_Revenue'!B280</f>
        <v>P010</v>
      </c>
      <c r="C280" s="3" t="str">
        <f>'02_Actual_Revenue'!C280</f>
        <v>R03</v>
      </c>
      <c r="D280" s="7">
        <f>'02_Actual_Revenue'!D280</f>
        <v>880650</v>
      </c>
      <c r="E280" s="7">
        <f>D280*(1+_xlfn.XLOOKUP("Digital Services",'01_Assumptions'!$A$4:$A$6,'01_Assumptions'!$B$4:$B$6))</f>
        <v>951102.00000000012</v>
      </c>
      <c r="F280" s="3">
        <f>'02_Actual_Revenue'!E280*(1+_xlfn.XLOOKUP("Digital Services",'01_Assumptions'!$A$4:$A$6,'01_Assumptions'!$C$4:$C$6))</f>
        <v>8.16</v>
      </c>
      <c r="G280" s="9">
        <f t="shared" si="12"/>
        <v>7760992.3200000012</v>
      </c>
      <c r="H280" s="9">
        <f>G280*'02_Actual_Revenue'!H280</f>
        <v>1164148.8480000002</v>
      </c>
      <c r="I280" s="9">
        <f t="shared" si="13"/>
        <v>6596843.472000001</v>
      </c>
      <c r="J280" s="13">
        <f t="shared" si="14"/>
        <v>0.85</v>
      </c>
    </row>
    <row r="281" spans="1:10">
      <c r="A281" s="5">
        <f>'02_Actual_Revenue'!A281</f>
        <v>45839</v>
      </c>
      <c r="B281" s="3" t="str">
        <f>'02_Actual_Revenue'!B281</f>
        <v>P010</v>
      </c>
      <c r="C281" s="3" t="str">
        <f>'02_Actual_Revenue'!C281</f>
        <v>R04</v>
      </c>
      <c r="D281" s="7">
        <f>'02_Actual_Revenue'!D281</f>
        <v>509850</v>
      </c>
      <c r="E281" s="7">
        <f>D281*(1+_xlfn.XLOOKUP("Digital Services",'01_Assumptions'!$A$4:$A$6,'01_Assumptions'!$B$4:$B$6))</f>
        <v>550638</v>
      </c>
      <c r="F281" s="3">
        <f>'02_Actual_Revenue'!E281*(1+_xlfn.XLOOKUP("Digital Services",'01_Assumptions'!$A$4:$A$6,'01_Assumptions'!$C$4:$C$6))</f>
        <v>8.16</v>
      </c>
      <c r="G281" s="9">
        <f t="shared" si="12"/>
        <v>4493206.08</v>
      </c>
      <c r="H281" s="9">
        <f>G281*'02_Actual_Revenue'!H281</f>
        <v>673980.91200000001</v>
      </c>
      <c r="I281" s="9">
        <f t="shared" si="13"/>
        <v>3819225.1680000001</v>
      </c>
      <c r="J281" s="13">
        <f t="shared" si="14"/>
        <v>0.85</v>
      </c>
    </row>
    <row r="282" spans="1:10">
      <c r="A282" s="5">
        <f>'02_Actual_Revenue'!A282</f>
        <v>45870</v>
      </c>
      <c r="B282" s="3" t="str">
        <f>'02_Actual_Revenue'!B282</f>
        <v>P001</v>
      </c>
      <c r="C282" s="3" t="str">
        <f>'02_Actual_Revenue'!C282</f>
        <v>R01</v>
      </c>
      <c r="D282" s="7">
        <f>'02_Actual_Revenue'!D282</f>
        <v>255000</v>
      </c>
      <c r="E282" s="7">
        <f>D282*(1+_xlfn.XLOOKUP("Devices",'01_Assumptions'!$A$4:$A$6,'01_Assumptions'!$B$4:$B$6))</f>
        <v>270300</v>
      </c>
      <c r="F282" s="3">
        <f>'02_Actual_Revenue'!E282*(1+_xlfn.XLOOKUP("Devices",'01_Assumptions'!$A$4:$A$6,'01_Assumptions'!$C$4:$C$6))</f>
        <v>712.98</v>
      </c>
      <c r="G282" s="9">
        <f t="shared" si="12"/>
        <v>192718494</v>
      </c>
      <c r="H282" s="9">
        <f>G282*'02_Actual_Revenue'!H282</f>
        <v>119485466.28</v>
      </c>
      <c r="I282" s="9">
        <f t="shared" si="13"/>
        <v>73233027.719999999</v>
      </c>
      <c r="J282" s="13">
        <f t="shared" si="14"/>
        <v>0.38</v>
      </c>
    </row>
    <row r="283" spans="1:10">
      <c r="A283" s="5">
        <f>'02_Actual_Revenue'!A283</f>
        <v>45870</v>
      </c>
      <c r="B283" s="3" t="str">
        <f>'02_Actual_Revenue'!B283</f>
        <v>P001</v>
      </c>
      <c r="C283" s="3" t="str">
        <f>'02_Actual_Revenue'!C283</f>
        <v>R02</v>
      </c>
      <c r="D283" s="7">
        <f>'02_Actual_Revenue'!D283</f>
        <v>216750</v>
      </c>
      <c r="E283" s="7">
        <f>D283*(1+_xlfn.XLOOKUP("Devices",'01_Assumptions'!$A$4:$A$6,'01_Assumptions'!$B$4:$B$6))</f>
        <v>229755</v>
      </c>
      <c r="F283" s="3">
        <f>'02_Actual_Revenue'!E283*(1+_xlfn.XLOOKUP("Devices",'01_Assumptions'!$A$4:$A$6,'01_Assumptions'!$C$4:$C$6))</f>
        <v>712.98</v>
      </c>
      <c r="G283" s="9">
        <f t="shared" si="12"/>
        <v>163810719.90000001</v>
      </c>
      <c r="H283" s="9">
        <f>G283*'02_Actual_Revenue'!H283</f>
        <v>101562646.338</v>
      </c>
      <c r="I283" s="9">
        <f t="shared" si="13"/>
        <v>62248073.562000006</v>
      </c>
      <c r="J283" s="13">
        <f t="shared" si="14"/>
        <v>0.38</v>
      </c>
    </row>
    <row r="284" spans="1:10">
      <c r="A284" s="5">
        <f>'02_Actual_Revenue'!A284</f>
        <v>45870</v>
      </c>
      <c r="B284" s="3" t="str">
        <f>'02_Actual_Revenue'!B284</f>
        <v>P001</v>
      </c>
      <c r="C284" s="3" t="str">
        <f>'02_Actual_Revenue'!C284</f>
        <v>R03</v>
      </c>
      <c r="D284" s="7">
        <f>'02_Actual_Revenue'!D284</f>
        <v>242250</v>
      </c>
      <c r="E284" s="7">
        <f>D284*(1+_xlfn.XLOOKUP("Devices",'01_Assumptions'!$A$4:$A$6,'01_Assumptions'!$B$4:$B$6))</f>
        <v>256785</v>
      </c>
      <c r="F284" s="3">
        <f>'02_Actual_Revenue'!E284*(1+_xlfn.XLOOKUP("Devices",'01_Assumptions'!$A$4:$A$6,'01_Assumptions'!$C$4:$C$6))</f>
        <v>712.98</v>
      </c>
      <c r="G284" s="9">
        <f t="shared" si="12"/>
        <v>183082569.30000001</v>
      </c>
      <c r="H284" s="9">
        <f>G284*'02_Actual_Revenue'!H284</f>
        <v>113511192.96600001</v>
      </c>
      <c r="I284" s="9">
        <f t="shared" si="13"/>
        <v>69571376.334000006</v>
      </c>
      <c r="J284" s="13">
        <f t="shared" si="14"/>
        <v>0.38</v>
      </c>
    </row>
    <row r="285" spans="1:10">
      <c r="A285" s="5">
        <f>'02_Actual_Revenue'!A285</f>
        <v>45870</v>
      </c>
      <c r="B285" s="3" t="str">
        <f>'02_Actual_Revenue'!B285</f>
        <v>P001</v>
      </c>
      <c r="C285" s="3" t="str">
        <f>'02_Actual_Revenue'!C285</f>
        <v>R04</v>
      </c>
      <c r="D285" s="7">
        <f>'02_Actual_Revenue'!D285</f>
        <v>140250</v>
      </c>
      <c r="E285" s="7">
        <f>D285*(1+_xlfn.XLOOKUP("Devices",'01_Assumptions'!$A$4:$A$6,'01_Assumptions'!$B$4:$B$6))</f>
        <v>148665</v>
      </c>
      <c r="F285" s="3">
        <f>'02_Actual_Revenue'!E285*(1+_xlfn.XLOOKUP("Devices",'01_Assumptions'!$A$4:$A$6,'01_Assumptions'!$C$4:$C$6))</f>
        <v>712.98</v>
      </c>
      <c r="G285" s="9">
        <f t="shared" si="12"/>
        <v>105995171.7</v>
      </c>
      <c r="H285" s="9">
        <f>G285*'02_Actual_Revenue'!H285</f>
        <v>65717006.454000004</v>
      </c>
      <c r="I285" s="9">
        <f t="shared" si="13"/>
        <v>40278165.245999999</v>
      </c>
      <c r="J285" s="13">
        <f t="shared" si="14"/>
        <v>0.38</v>
      </c>
    </row>
    <row r="286" spans="1:10">
      <c r="A286" s="5">
        <f>'02_Actual_Revenue'!A286</f>
        <v>45870</v>
      </c>
      <c r="B286" s="3" t="str">
        <f>'02_Actual_Revenue'!B286</f>
        <v>P002</v>
      </c>
      <c r="C286" s="3" t="str">
        <f>'02_Actual_Revenue'!C286</f>
        <v>R01</v>
      </c>
      <c r="D286" s="7">
        <f>'02_Actual_Revenue'!D286</f>
        <v>122400</v>
      </c>
      <c r="E286" s="7">
        <f>D286*(1+_xlfn.XLOOKUP("Devices",'01_Assumptions'!$A$4:$A$6,'01_Assumptions'!$B$4:$B$6))</f>
        <v>129744</v>
      </c>
      <c r="F286" s="3">
        <f>'02_Actual_Revenue'!E286*(1+_xlfn.XLOOKUP("Devices",'01_Assumptions'!$A$4:$A$6,'01_Assumptions'!$C$4:$C$6))</f>
        <v>1018.98</v>
      </c>
      <c r="G286" s="9">
        <f t="shared" si="12"/>
        <v>132206541.12</v>
      </c>
      <c r="H286" s="9">
        <f>G286*'02_Actual_Revenue'!H286</f>
        <v>76679793.849600002</v>
      </c>
      <c r="I286" s="9">
        <f t="shared" si="13"/>
        <v>55526747.270400003</v>
      </c>
      <c r="J286" s="13">
        <f t="shared" si="14"/>
        <v>0.42</v>
      </c>
    </row>
    <row r="287" spans="1:10">
      <c r="A287" s="5">
        <f>'02_Actual_Revenue'!A287</f>
        <v>45870</v>
      </c>
      <c r="B287" s="3" t="str">
        <f>'02_Actual_Revenue'!B287</f>
        <v>P002</v>
      </c>
      <c r="C287" s="3" t="str">
        <f>'02_Actual_Revenue'!C287</f>
        <v>R02</v>
      </c>
      <c r="D287" s="7">
        <f>'02_Actual_Revenue'!D287</f>
        <v>104040</v>
      </c>
      <c r="E287" s="7">
        <f>D287*(1+_xlfn.XLOOKUP("Devices",'01_Assumptions'!$A$4:$A$6,'01_Assumptions'!$B$4:$B$6))</f>
        <v>110282.40000000001</v>
      </c>
      <c r="F287" s="3">
        <f>'02_Actual_Revenue'!E287*(1+_xlfn.XLOOKUP("Devices",'01_Assumptions'!$A$4:$A$6,'01_Assumptions'!$C$4:$C$6))</f>
        <v>1018.98</v>
      </c>
      <c r="G287" s="9">
        <f t="shared" si="12"/>
        <v>112375559.95200001</v>
      </c>
      <c r="H287" s="9">
        <f>G287*'02_Actual_Revenue'!H287</f>
        <v>65177824.772160001</v>
      </c>
      <c r="I287" s="9">
        <f t="shared" si="13"/>
        <v>47197735.179840006</v>
      </c>
      <c r="J287" s="13">
        <f t="shared" si="14"/>
        <v>0.42000000000000004</v>
      </c>
    </row>
    <row r="288" spans="1:10">
      <c r="A288" s="5">
        <f>'02_Actual_Revenue'!A288</f>
        <v>45870</v>
      </c>
      <c r="B288" s="3" t="str">
        <f>'02_Actual_Revenue'!B288</f>
        <v>P002</v>
      </c>
      <c r="C288" s="3" t="str">
        <f>'02_Actual_Revenue'!C288</f>
        <v>R03</v>
      </c>
      <c r="D288" s="7">
        <f>'02_Actual_Revenue'!D288</f>
        <v>116280</v>
      </c>
      <c r="E288" s="7">
        <f>D288*(1+_xlfn.XLOOKUP("Devices",'01_Assumptions'!$A$4:$A$6,'01_Assumptions'!$B$4:$B$6))</f>
        <v>123256.8</v>
      </c>
      <c r="F288" s="3">
        <f>'02_Actual_Revenue'!E288*(1+_xlfn.XLOOKUP("Devices",'01_Assumptions'!$A$4:$A$6,'01_Assumptions'!$C$4:$C$6))</f>
        <v>1018.98</v>
      </c>
      <c r="G288" s="9">
        <f t="shared" si="12"/>
        <v>125596214.06400001</v>
      </c>
      <c r="H288" s="9">
        <f>G288*'02_Actual_Revenue'!H288</f>
        <v>72845804.157120004</v>
      </c>
      <c r="I288" s="9">
        <f t="shared" si="13"/>
        <v>52750409.906880006</v>
      </c>
      <c r="J288" s="13">
        <f t="shared" si="14"/>
        <v>0.42000000000000004</v>
      </c>
    </row>
    <row r="289" spans="1:10">
      <c r="A289" s="5">
        <f>'02_Actual_Revenue'!A289</f>
        <v>45870</v>
      </c>
      <c r="B289" s="3" t="str">
        <f>'02_Actual_Revenue'!B289</f>
        <v>P002</v>
      </c>
      <c r="C289" s="3" t="str">
        <f>'02_Actual_Revenue'!C289</f>
        <v>R04</v>
      </c>
      <c r="D289" s="7">
        <f>'02_Actual_Revenue'!D289</f>
        <v>67320</v>
      </c>
      <c r="E289" s="7">
        <f>D289*(1+_xlfn.XLOOKUP("Devices",'01_Assumptions'!$A$4:$A$6,'01_Assumptions'!$B$4:$B$6))</f>
        <v>71359.199999999997</v>
      </c>
      <c r="F289" s="3">
        <f>'02_Actual_Revenue'!E289*(1+_xlfn.XLOOKUP("Devices",'01_Assumptions'!$A$4:$A$6,'01_Assumptions'!$C$4:$C$6))</f>
        <v>1018.98</v>
      </c>
      <c r="G289" s="9">
        <f t="shared" si="12"/>
        <v>72713597.615999997</v>
      </c>
      <c r="H289" s="9">
        <f>G289*'02_Actual_Revenue'!H289</f>
        <v>42173886.617279992</v>
      </c>
      <c r="I289" s="9">
        <f t="shared" si="13"/>
        <v>30539710.998720005</v>
      </c>
      <c r="J289" s="13">
        <f t="shared" si="14"/>
        <v>0.4200000000000001</v>
      </c>
    </row>
    <row r="290" spans="1:10">
      <c r="A290" s="5">
        <f>'02_Actual_Revenue'!A290</f>
        <v>45870</v>
      </c>
      <c r="B290" s="3" t="str">
        <f>'02_Actual_Revenue'!B290</f>
        <v>P003</v>
      </c>
      <c r="C290" s="3" t="str">
        <f>'02_Actual_Revenue'!C290</f>
        <v>R01</v>
      </c>
      <c r="D290" s="7">
        <f>'02_Actual_Revenue'!D290</f>
        <v>142800</v>
      </c>
      <c r="E290" s="7">
        <f>D290*(1+_xlfn.XLOOKUP("Devices",'01_Assumptions'!$A$4:$A$6,'01_Assumptions'!$B$4:$B$6))</f>
        <v>151368</v>
      </c>
      <c r="F290" s="3">
        <f>'02_Actual_Revenue'!E290*(1+_xlfn.XLOOKUP("Devices",'01_Assumptions'!$A$4:$A$6,'01_Assumptions'!$C$4:$C$6))</f>
        <v>559.98</v>
      </c>
      <c r="G290" s="9">
        <f t="shared" si="12"/>
        <v>84763052.640000001</v>
      </c>
      <c r="H290" s="9">
        <f>G290*'02_Actual_Revenue'!H290</f>
        <v>50857831.583999999</v>
      </c>
      <c r="I290" s="9">
        <f t="shared" si="13"/>
        <v>33905221.056000002</v>
      </c>
      <c r="J290" s="13">
        <f t="shared" si="14"/>
        <v>0.4</v>
      </c>
    </row>
    <row r="291" spans="1:10">
      <c r="A291" s="5">
        <f>'02_Actual_Revenue'!A291</f>
        <v>45870</v>
      </c>
      <c r="B291" s="3" t="str">
        <f>'02_Actual_Revenue'!B291</f>
        <v>P003</v>
      </c>
      <c r="C291" s="3" t="str">
        <f>'02_Actual_Revenue'!C291</f>
        <v>R02</v>
      </c>
      <c r="D291" s="7">
        <f>'02_Actual_Revenue'!D291</f>
        <v>121380</v>
      </c>
      <c r="E291" s="7">
        <f>D291*(1+_xlfn.XLOOKUP("Devices",'01_Assumptions'!$A$4:$A$6,'01_Assumptions'!$B$4:$B$6))</f>
        <v>128662.8</v>
      </c>
      <c r="F291" s="3">
        <f>'02_Actual_Revenue'!E291*(1+_xlfn.XLOOKUP("Devices",'01_Assumptions'!$A$4:$A$6,'01_Assumptions'!$C$4:$C$6))</f>
        <v>559.98</v>
      </c>
      <c r="G291" s="9">
        <f t="shared" si="12"/>
        <v>72048594.744000003</v>
      </c>
      <c r="H291" s="9">
        <f>G291*'02_Actual_Revenue'!H291</f>
        <v>43229156.8464</v>
      </c>
      <c r="I291" s="9">
        <f t="shared" si="13"/>
        <v>28819437.897600003</v>
      </c>
      <c r="J291" s="13">
        <f t="shared" si="14"/>
        <v>0.4</v>
      </c>
    </row>
    <row r="292" spans="1:10">
      <c r="A292" s="5">
        <f>'02_Actual_Revenue'!A292</f>
        <v>45870</v>
      </c>
      <c r="B292" s="3" t="str">
        <f>'02_Actual_Revenue'!B292</f>
        <v>P003</v>
      </c>
      <c r="C292" s="3" t="str">
        <f>'02_Actual_Revenue'!C292</f>
        <v>R03</v>
      </c>
      <c r="D292" s="7">
        <f>'02_Actual_Revenue'!D292</f>
        <v>135660</v>
      </c>
      <c r="E292" s="7">
        <f>D292*(1+_xlfn.XLOOKUP("Devices",'01_Assumptions'!$A$4:$A$6,'01_Assumptions'!$B$4:$B$6))</f>
        <v>143799.6</v>
      </c>
      <c r="F292" s="3">
        <f>'02_Actual_Revenue'!E292*(1+_xlfn.XLOOKUP("Devices",'01_Assumptions'!$A$4:$A$6,'01_Assumptions'!$C$4:$C$6))</f>
        <v>559.98</v>
      </c>
      <c r="G292" s="9">
        <f t="shared" si="12"/>
        <v>80524900.008000001</v>
      </c>
      <c r="H292" s="9">
        <f>G292*'02_Actual_Revenue'!H292</f>
        <v>48314940.004799999</v>
      </c>
      <c r="I292" s="9">
        <f t="shared" si="13"/>
        <v>32209960.003200002</v>
      </c>
      <c r="J292" s="13">
        <f t="shared" si="14"/>
        <v>0.4</v>
      </c>
    </row>
    <row r="293" spans="1:10">
      <c r="A293" s="5">
        <f>'02_Actual_Revenue'!A293</f>
        <v>45870</v>
      </c>
      <c r="B293" s="3" t="str">
        <f>'02_Actual_Revenue'!B293</f>
        <v>P003</v>
      </c>
      <c r="C293" s="3" t="str">
        <f>'02_Actual_Revenue'!C293</f>
        <v>R04</v>
      </c>
      <c r="D293" s="7">
        <f>'02_Actual_Revenue'!D293</f>
        <v>78540</v>
      </c>
      <c r="E293" s="7">
        <f>D293*(1+_xlfn.XLOOKUP("Devices",'01_Assumptions'!$A$4:$A$6,'01_Assumptions'!$B$4:$B$6))</f>
        <v>83252.400000000009</v>
      </c>
      <c r="F293" s="3">
        <f>'02_Actual_Revenue'!E293*(1+_xlfn.XLOOKUP("Devices",'01_Assumptions'!$A$4:$A$6,'01_Assumptions'!$C$4:$C$6))</f>
        <v>559.98</v>
      </c>
      <c r="G293" s="9">
        <f t="shared" si="12"/>
        <v>46619678.952000007</v>
      </c>
      <c r="H293" s="9">
        <f>G293*'02_Actual_Revenue'!H293</f>
        <v>27971807.371200003</v>
      </c>
      <c r="I293" s="9">
        <f t="shared" si="13"/>
        <v>18647871.580800004</v>
      </c>
      <c r="J293" s="13">
        <f t="shared" si="14"/>
        <v>0.4</v>
      </c>
    </row>
    <row r="294" spans="1:10">
      <c r="A294" s="5">
        <f>'02_Actual_Revenue'!A294</f>
        <v>45870</v>
      </c>
      <c r="B294" s="3" t="str">
        <f>'02_Actual_Revenue'!B294</f>
        <v>P004</v>
      </c>
      <c r="C294" s="3" t="str">
        <f>'02_Actual_Revenue'!C294</f>
        <v>R01</v>
      </c>
      <c r="D294" s="7">
        <f>'02_Actual_Revenue'!D294</f>
        <v>71400</v>
      </c>
      <c r="E294" s="7">
        <f>D294*(1+_xlfn.XLOOKUP("Devices",'01_Assumptions'!$A$4:$A$6,'01_Assumptions'!$B$4:$B$6))</f>
        <v>75684</v>
      </c>
      <c r="F294" s="3">
        <f>'02_Actual_Revenue'!E294*(1+_xlfn.XLOOKUP("Devices",'01_Assumptions'!$A$4:$A$6,'01_Assumptions'!$C$4:$C$6))</f>
        <v>1222.98</v>
      </c>
      <c r="G294" s="9">
        <f t="shared" si="12"/>
        <v>92560018.320000008</v>
      </c>
      <c r="H294" s="9">
        <f>G294*'02_Actual_Revenue'!H294</f>
        <v>50908010.076000005</v>
      </c>
      <c r="I294" s="9">
        <f t="shared" si="13"/>
        <v>41652008.244000003</v>
      </c>
      <c r="J294" s="13">
        <f t="shared" si="14"/>
        <v>0.45</v>
      </c>
    </row>
    <row r="295" spans="1:10">
      <c r="A295" s="5">
        <f>'02_Actual_Revenue'!A295</f>
        <v>45870</v>
      </c>
      <c r="B295" s="3" t="str">
        <f>'02_Actual_Revenue'!B295</f>
        <v>P004</v>
      </c>
      <c r="C295" s="3" t="str">
        <f>'02_Actual_Revenue'!C295</f>
        <v>R02</v>
      </c>
      <c r="D295" s="7">
        <f>'02_Actual_Revenue'!D295</f>
        <v>60690</v>
      </c>
      <c r="E295" s="7">
        <f>D295*(1+_xlfn.XLOOKUP("Devices",'01_Assumptions'!$A$4:$A$6,'01_Assumptions'!$B$4:$B$6))</f>
        <v>64331.4</v>
      </c>
      <c r="F295" s="3">
        <f>'02_Actual_Revenue'!E295*(1+_xlfn.XLOOKUP("Devices",'01_Assumptions'!$A$4:$A$6,'01_Assumptions'!$C$4:$C$6))</f>
        <v>1222.98</v>
      </c>
      <c r="G295" s="9">
        <f t="shared" si="12"/>
        <v>78676015.571999997</v>
      </c>
      <c r="H295" s="9">
        <f>G295*'02_Actual_Revenue'!H295</f>
        <v>43271808.564599998</v>
      </c>
      <c r="I295" s="9">
        <f t="shared" si="13"/>
        <v>35404207.007399999</v>
      </c>
      <c r="J295" s="13">
        <f t="shared" si="14"/>
        <v>0.45</v>
      </c>
    </row>
    <row r="296" spans="1:10">
      <c r="A296" s="5">
        <f>'02_Actual_Revenue'!A296</f>
        <v>45870</v>
      </c>
      <c r="B296" s="3" t="str">
        <f>'02_Actual_Revenue'!B296</f>
        <v>P004</v>
      </c>
      <c r="C296" s="3" t="str">
        <f>'02_Actual_Revenue'!C296</f>
        <v>R03</v>
      </c>
      <c r="D296" s="7">
        <f>'02_Actual_Revenue'!D296</f>
        <v>67830</v>
      </c>
      <c r="E296" s="7">
        <f>D296*(1+_xlfn.XLOOKUP("Devices",'01_Assumptions'!$A$4:$A$6,'01_Assumptions'!$B$4:$B$6))</f>
        <v>71899.8</v>
      </c>
      <c r="F296" s="3">
        <f>'02_Actual_Revenue'!E296*(1+_xlfn.XLOOKUP("Devices",'01_Assumptions'!$A$4:$A$6,'01_Assumptions'!$C$4:$C$6))</f>
        <v>1222.98</v>
      </c>
      <c r="G296" s="9">
        <f t="shared" si="12"/>
        <v>87932017.403999999</v>
      </c>
      <c r="H296" s="9">
        <f>G296*'02_Actual_Revenue'!H296</f>
        <v>48362609.5722</v>
      </c>
      <c r="I296" s="9">
        <f t="shared" si="13"/>
        <v>39569407.831799999</v>
      </c>
      <c r="J296" s="13">
        <f t="shared" si="14"/>
        <v>0.45</v>
      </c>
    </row>
    <row r="297" spans="1:10">
      <c r="A297" s="5">
        <f>'02_Actual_Revenue'!A297</f>
        <v>45870</v>
      </c>
      <c r="B297" s="3" t="str">
        <f>'02_Actual_Revenue'!B297</f>
        <v>P004</v>
      </c>
      <c r="C297" s="3" t="str">
        <f>'02_Actual_Revenue'!C297</f>
        <v>R04</v>
      </c>
      <c r="D297" s="7">
        <f>'02_Actual_Revenue'!D297</f>
        <v>39270</v>
      </c>
      <c r="E297" s="7">
        <f>D297*(1+_xlfn.XLOOKUP("Devices",'01_Assumptions'!$A$4:$A$6,'01_Assumptions'!$B$4:$B$6))</f>
        <v>41626.200000000004</v>
      </c>
      <c r="F297" s="3">
        <f>'02_Actual_Revenue'!E297*(1+_xlfn.XLOOKUP("Devices",'01_Assumptions'!$A$4:$A$6,'01_Assumptions'!$C$4:$C$6))</f>
        <v>1222.98</v>
      </c>
      <c r="G297" s="9">
        <f t="shared" si="12"/>
        <v>50908010.076000005</v>
      </c>
      <c r="H297" s="9">
        <f>G297*'02_Actual_Revenue'!H297</f>
        <v>27999405.541800003</v>
      </c>
      <c r="I297" s="9">
        <f t="shared" si="13"/>
        <v>22908604.534200002</v>
      </c>
      <c r="J297" s="13">
        <f t="shared" si="14"/>
        <v>0.45</v>
      </c>
    </row>
    <row r="298" spans="1:10">
      <c r="A298" s="5">
        <f>'02_Actual_Revenue'!A298</f>
        <v>45870</v>
      </c>
      <c r="B298" s="3" t="str">
        <f>'02_Actual_Revenue'!B298</f>
        <v>P005</v>
      </c>
      <c r="C298" s="3" t="str">
        <f>'02_Actual_Revenue'!C298</f>
        <v>R01</v>
      </c>
      <c r="D298" s="7">
        <f>'02_Actual_Revenue'!D298</f>
        <v>183600</v>
      </c>
      <c r="E298" s="7">
        <f>D298*(1+_xlfn.XLOOKUP("Devices",'01_Assumptions'!$A$4:$A$6,'01_Assumptions'!$B$4:$B$6))</f>
        <v>194616</v>
      </c>
      <c r="F298" s="3">
        <f>'02_Actual_Revenue'!E298*(1+_xlfn.XLOOKUP("Devices",'01_Assumptions'!$A$4:$A$6,'01_Assumptions'!$C$4:$C$6))</f>
        <v>304.98</v>
      </c>
      <c r="G298" s="9">
        <f t="shared" si="12"/>
        <v>59353987.680000007</v>
      </c>
      <c r="H298" s="9">
        <f>G298*'02_Actual_Revenue'!H298</f>
        <v>29676993.840000004</v>
      </c>
      <c r="I298" s="9">
        <f t="shared" si="13"/>
        <v>29676993.840000004</v>
      </c>
      <c r="J298" s="13">
        <f t="shared" si="14"/>
        <v>0.5</v>
      </c>
    </row>
    <row r="299" spans="1:10">
      <c r="A299" s="5">
        <f>'02_Actual_Revenue'!A299</f>
        <v>45870</v>
      </c>
      <c r="B299" s="3" t="str">
        <f>'02_Actual_Revenue'!B299</f>
        <v>P005</v>
      </c>
      <c r="C299" s="3" t="str">
        <f>'02_Actual_Revenue'!C299</f>
        <v>R02</v>
      </c>
      <c r="D299" s="7">
        <f>'02_Actual_Revenue'!D299</f>
        <v>156060</v>
      </c>
      <c r="E299" s="7">
        <f>D299*(1+_xlfn.XLOOKUP("Devices",'01_Assumptions'!$A$4:$A$6,'01_Assumptions'!$B$4:$B$6))</f>
        <v>165423.6</v>
      </c>
      <c r="F299" s="3">
        <f>'02_Actual_Revenue'!E299*(1+_xlfn.XLOOKUP("Devices",'01_Assumptions'!$A$4:$A$6,'01_Assumptions'!$C$4:$C$6))</f>
        <v>304.98</v>
      </c>
      <c r="G299" s="9">
        <f t="shared" si="12"/>
        <v>50450889.528000005</v>
      </c>
      <c r="H299" s="9">
        <f>G299*'02_Actual_Revenue'!H299</f>
        <v>25225444.764000002</v>
      </c>
      <c r="I299" s="9">
        <f t="shared" si="13"/>
        <v>25225444.764000002</v>
      </c>
      <c r="J299" s="13">
        <f t="shared" si="14"/>
        <v>0.5</v>
      </c>
    </row>
    <row r="300" spans="1:10">
      <c r="A300" s="5">
        <f>'02_Actual_Revenue'!A300</f>
        <v>45870</v>
      </c>
      <c r="B300" s="3" t="str">
        <f>'02_Actual_Revenue'!B300</f>
        <v>P005</v>
      </c>
      <c r="C300" s="3" t="str">
        <f>'02_Actual_Revenue'!C300</f>
        <v>R03</v>
      </c>
      <c r="D300" s="7">
        <f>'02_Actual_Revenue'!D300</f>
        <v>174420</v>
      </c>
      <c r="E300" s="7">
        <f>D300*(1+_xlfn.XLOOKUP("Devices",'01_Assumptions'!$A$4:$A$6,'01_Assumptions'!$B$4:$B$6))</f>
        <v>184885.2</v>
      </c>
      <c r="F300" s="3">
        <f>'02_Actual_Revenue'!E300*(1+_xlfn.XLOOKUP("Devices",'01_Assumptions'!$A$4:$A$6,'01_Assumptions'!$C$4:$C$6))</f>
        <v>304.98</v>
      </c>
      <c r="G300" s="9">
        <f t="shared" si="12"/>
        <v>56386288.296000004</v>
      </c>
      <c r="H300" s="9">
        <f>G300*'02_Actual_Revenue'!H300</f>
        <v>28193144.148000002</v>
      </c>
      <c r="I300" s="9">
        <f t="shared" si="13"/>
        <v>28193144.148000002</v>
      </c>
      <c r="J300" s="13">
        <f t="shared" si="14"/>
        <v>0.5</v>
      </c>
    </row>
    <row r="301" spans="1:10">
      <c r="A301" s="5">
        <f>'02_Actual_Revenue'!A301</f>
        <v>45870</v>
      </c>
      <c r="B301" s="3" t="str">
        <f>'02_Actual_Revenue'!B301</f>
        <v>P005</v>
      </c>
      <c r="C301" s="3" t="str">
        <f>'02_Actual_Revenue'!C301</f>
        <v>R04</v>
      </c>
      <c r="D301" s="7">
        <f>'02_Actual_Revenue'!D301</f>
        <v>100980</v>
      </c>
      <c r="E301" s="7">
        <f>D301*(1+_xlfn.XLOOKUP("Devices",'01_Assumptions'!$A$4:$A$6,'01_Assumptions'!$B$4:$B$6))</f>
        <v>107038.8</v>
      </c>
      <c r="F301" s="3">
        <f>'02_Actual_Revenue'!E301*(1+_xlfn.XLOOKUP("Devices",'01_Assumptions'!$A$4:$A$6,'01_Assumptions'!$C$4:$C$6))</f>
        <v>304.98</v>
      </c>
      <c r="G301" s="9">
        <f t="shared" si="12"/>
        <v>32644693.224000003</v>
      </c>
      <c r="H301" s="9">
        <f>G301*'02_Actual_Revenue'!H301</f>
        <v>16322346.612000002</v>
      </c>
      <c r="I301" s="9">
        <f t="shared" si="13"/>
        <v>16322346.612000002</v>
      </c>
      <c r="J301" s="13">
        <f t="shared" si="14"/>
        <v>0.5</v>
      </c>
    </row>
    <row r="302" spans="1:10">
      <c r="A302" s="5">
        <f>'02_Actual_Revenue'!A302</f>
        <v>45870</v>
      </c>
      <c r="B302" s="3" t="str">
        <f>'02_Actual_Revenue'!B302</f>
        <v>P006</v>
      </c>
      <c r="C302" s="3" t="str">
        <f>'02_Actual_Revenue'!C302</f>
        <v>R01</v>
      </c>
      <c r="D302" s="7">
        <f>'02_Actual_Revenue'!D302</f>
        <v>612000</v>
      </c>
      <c r="E302" s="7">
        <f>D302*(1+_xlfn.XLOOKUP("Cloud &amp; Software",'01_Assumptions'!$A$4:$A$6,'01_Assumptions'!$B$4:$B$6))</f>
        <v>673200</v>
      </c>
      <c r="F302" s="3">
        <f>'02_Actual_Revenue'!E302*(1+_xlfn.XLOOKUP("Cloud &amp; Software",'01_Assumptions'!$A$4:$A$6,'01_Assumptions'!$C$4:$C$6))</f>
        <v>40.17</v>
      </c>
      <c r="G302" s="9">
        <f t="shared" si="12"/>
        <v>27042444</v>
      </c>
      <c r="H302" s="9">
        <f>G302*'02_Actual_Revenue'!H302</f>
        <v>6760611</v>
      </c>
      <c r="I302" s="9">
        <f t="shared" si="13"/>
        <v>20281833</v>
      </c>
      <c r="J302" s="13">
        <f t="shared" si="14"/>
        <v>0.75</v>
      </c>
    </row>
    <row r="303" spans="1:10">
      <c r="A303" s="5">
        <f>'02_Actual_Revenue'!A303</f>
        <v>45870</v>
      </c>
      <c r="B303" s="3" t="str">
        <f>'02_Actual_Revenue'!B303</f>
        <v>P006</v>
      </c>
      <c r="C303" s="3" t="str">
        <f>'02_Actual_Revenue'!C303</f>
        <v>R02</v>
      </c>
      <c r="D303" s="7">
        <f>'02_Actual_Revenue'!D303</f>
        <v>520200</v>
      </c>
      <c r="E303" s="7">
        <f>D303*(1+_xlfn.XLOOKUP("Cloud &amp; Software",'01_Assumptions'!$A$4:$A$6,'01_Assumptions'!$B$4:$B$6))</f>
        <v>572220</v>
      </c>
      <c r="F303" s="3">
        <f>'02_Actual_Revenue'!E303*(1+_xlfn.XLOOKUP("Cloud &amp; Software",'01_Assumptions'!$A$4:$A$6,'01_Assumptions'!$C$4:$C$6))</f>
        <v>40.17</v>
      </c>
      <c r="G303" s="9">
        <f t="shared" si="12"/>
        <v>22986077.400000002</v>
      </c>
      <c r="H303" s="9">
        <f>G303*'02_Actual_Revenue'!H303</f>
        <v>5746519.3500000006</v>
      </c>
      <c r="I303" s="9">
        <f t="shared" si="13"/>
        <v>17239558.050000001</v>
      </c>
      <c r="J303" s="13">
        <f t="shared" si="14"/>
        <v>0.75</v>
      </c>
    </row>
    <row r="304" spans="1:10">
      <c r="A304" s="5">
        <f>'02_Actual_Revenue'!A304</f>
        <v>45870</v>
      </c>
      <c r="B304" s="3" t="str">
        <f>'02_Actual_Revenue'!B304</f>
        <v>P006</v>
      </c>
      <c r="C304" s="3" t="str">
        <f>'02_Actual_Revenue'!C304</f>
        <v>R03</v>
      </c>
      <c r="D304" s="7">
        <f>'02_Actual_Revenue'!D304</f>
        <v>581400</v>
      </c>
      <c r="E304" s="7">
        <f>D304*(1+_xlfn.XLOOKUP("Cloud &amp; Software",'01_Assumptions'!$A$4:$A$6,'01_Assumptions'!$B$4:$B$6))</f>
        <v>639540</v>
      </c>
      <c r="F304" s="3">
        <f>'02_Actual_Revenue'!E304*(1+_xlfn.XLOOKUP("Cloud &amp; Software",'01_Assumptions'!$A$4:$A$6,'01_Assumptions'!$C$4:$C$6))</f>
        <v>40.17</v>
      </c>
      <c r="G304" s="9">
        <f t="shared" si="12"/>
        <v>25690321.800000001</v>
      </c>
      <c r="H304" s="9">
        <f>G304*'02_Actual_Revenue'!H304</f>
        <v>6422580.4500000002</v>
      </c>
      <c r="I304" s="9">
        <f t="shared" si="13"/>
        <v>19267741.350000001</v>
      </c>
      <c r="J304" s="13">
        <f t="shared" si="14"/>
        <v>0.75</v>
      </c>
    </row>
    <row r="305" spans="1:10">
      <c r="A305" s="5">
        <f>'02_Actual_Revenue'!A305</f>
        <v>45870</v>
      </c>
      <c r="B305" s="3" t="str">
        <f>'02_Actual_Revenue'!B305</f>
        <v>P006</v>
      </c>
      <c r="C305" s="3" t="str">
        <f>'02_Actual_Revenue'!C305</f>
        <v>R04</v>
      </c>
      <c r="D305" s="7">
        <f>'02_Actual_Revenue'!D305</f>
        <v>336600</v>
      </c>
      <c r="E305" s="7">
        <f>D305*(1+_xlfn.XLOOKUP("Cloud &amp; Software",'01_Assumptions'!$A$4:$A$6,'01_Assumptions'!$B$4:$B$6))</f>
        <v>370260.00000000006</v>
      </c>
      <c r="F305" s="3">
        <f>'02_Actual_Revenue'!E305*(1+_xlfn.XLOOKUP("Cloud &amp; Software",'01_Assumptions'!$A$4:$A$6,'01_Assumptions'!$C$4:$C$6))</f>
        <v>40.17</v>
      </c>
      <c r="G305" s="9">
        <f t="shared" si="12"/>
        <v>14873344.200000003</v>
      </c>
      <c r="H305" s="9">
        <f>G305*'02_Actual_Revenue'!H305</f>
        <v>3718336.0500000007</v>
      </c>
      <c r="I305" s="9">
        <f t="shared" si="13"/>
        <v>11155008.150000002</v>
      </c>
      <c r="J305" s="13">
        <f t="shared" si="14"/>
        <v>0.75</v>
      </c>
    </row>
    <row r="306" spans="1:10">
      <c r="A306" s="5">
        <f>'02_Actual_Revenue'!A306</f>
        <v>45870</v>
      </c>
      <c r="B306" s="3" t="str">
        <f>'02_Actual_Revenue'!B306</f>
        <v>P007</v>
      </c>
      <c r="C306" s="3" t="str">
        <f>'02_Actual_Revenue'!C306</f>
        <v>R01</v>
      </c>
      <c r="D306" s="7">
        <f>'02_Actual_Revenue'!D306</f>
        <v>408000</v>
      </c>
      <c r="E306" s="7">
        <f>D306*(1+_xlfn.XLOOKUP("Cloud &amp; Software",'01_Assumptions'!$A$4:$A$6,'01_Assumptions'!$B$4:$B$6))</f>
        <v>448800.00000000006</v>
      </c>
      <c r="F306" s="3">
        <f>'02_Actual_Revenue'!E306*(1+_xlfn.XLOOKUP("Cloud &amp; Software",'01_Assumptions'!$A$4:$A$6,'01_Assumptions'!$C$4:$C$6))</f>
        <v>24.72</v>
      </c>
      <c r="G306" s="9">
        <f t="shared" si="12"/>
        <v>11094336</v>
      </c>
      <c r="H306" s="9">
        <f>G306*'02_Actual_Revenue'!H306</f>
        <v>2218867.2000000002</v>
      </c>
      <c r="I306" s="9">
        <f t="shared" si="13"/>
        <v>8875468.8000000007</v>
      </c>
      <c r="J306" s="13">
        <f t="shared" si="14"/>
        <v>0.8</v>
      </c>
    </row>
    <row r="307" spans="1:10">
      <c r="A307" s="5">
        <f>'02_Actual_Revenue'!A307</f>
        <v>45870</v>
      </c>
      <c r="B307" s="3" t="str">
        <f>'02_Actual_Revenue'!B307</f>
        <v>P007</v>
      </c>
      <c r="C307" s="3" t="str">
        <f>'02_Actual_Revenue'!C307</f>
        <v>R02</v>
      </c>
      <c r="D307" s="7">
        <f>'02_Actual_Revenue'!D307</f>
        <v>346800</v>
      </c>
      <c r="E307" s="7">
        <f>D307*(1+_xlfn.XLOOKUP("Cloud &amp; Software",'01_Assumptions'!$A$4:$A$6,'01_Assumptions'!$B$4:$B$6))</f>
        <v>381480.00000000006</v>
      </c>
      <c r="F307" s="3">
        <f>'02_Actual_Revenue'!E307*(1+_xlfn.XLOOKUP("Cloud &amp; Software",'01_Assumptions'!$A$4:$A$6,'01_Assumptions'!$C$4:$C$6))</f>
        <v>24.72</v>
      </c>
      <c r="G307" s="9">
        <f t="shared" si="12"/>
        <v>9430185.6000000015</v>
      </c>
      <c r="H307" s="9">
        <f>G307*'02_Actual_Revenue'!H307</f>
        <v>1886037.1200000003</v>
      </c>
      <c r="I307" s="9">
        <f t="shared" si="13"/>
        <v>7544148.4800000014</v>
      </c>
      <c r="J307" s="13">
        <f t="shared" si="14"/>
        <v>0.8</v>
      </c>
    </row>
    <row r="308" spans="1:10">
      <c r="A308" s="5">
        <f>'02_Actual_Revenue'!A308</f>
        <v>45870</v>
      </c>
      <c r="B308" s="3" t="str">
        <f>'02_Actual_Revenue'!B308</f>
        <v>P007</v>
      </c>
      <c r="C308" s="3" t="str">
        <f>'02_Actual_Revenue'!C308</f>
        <v>R03</v>
      </c>
      <c r="D308" s="7">
        <f>'02_Actual_Revenue'!D308</f>
        <v>387600</v>
      </c>
      <c r="E308" s="7">
        <f>D308*(1+_xlfn.XLOOKUP("Cloud &amp; Software",'01_Assumptions'!$A$4:$A$6,'01_Assumptions'!$B$4:$B$6))</f>
        <v>426360.00000000006</v>
      </c>
      <c r="F308" s="3">
        <f>'02_Actual_Revenue'!E308*(1+_xlfn.XLOOKUP("Cloud &amp; Software",'01_Assumptions'!$A$4:$A$6,'01_Assumptions'!$C$4:$C$6))</f>
        <v>24.72</v>
      </c>
      <c r="G308" s="9">
        <f t="shared" si="12"/>
        <v>10539619.200000001</v>
      </c>
      <c r="H308" s="9">
        <f>G308*'02_Actual_Revenue'!H308</f>
        <v>2107923.8400000003</v>
      </c>
      <c r="I308" s="9">
        <f t="shared" si="13"/>
        <v>8431695.3600000013</v>
      </c>
      <c r="J308" s="13">
        <f t="shared" si="14"/>
        <v>0.8</v>
      </c>
    </row>
    <row r="309" spans="1:10">
      <c r="A309" s="5">
        <f>'02_Actual_Revenue'!A309</f>
        <v>45870</v>
      </c>
      <c r="B309" s="3" t="str">
        <f>'02_Actual_Revenue'!B309</f>
        <v>P007</v>
      </c>
      <c r="C309" s="3" t="str">
        <f>'02_Actual_Revenue'!C309</f>
        <v>R04</v>
      </c>
      <c r="D309" s="7">
        <f>'02_Actual_Revenue'!D309</f>
        <v>224400</v>
      </c>
      <c r="E309" s="7">
        <f>D309*(1+_xlfn.XLOOKUP("Cloud &amp; Software",'01_Assumptions'!$A$4:$A$6,'01_Assumptions'!$B$4:$B$6))</f>
        <v>246840.00000000003</v>
      </c>
      <c r="F309" s="3">
        <f>'02_Actual_Revenue'!E309*(1+_xlfn.XLOOKUP("Cloud &amp; Software",'01_Assumptions'!$A$4:$A$6,'01_Assumptions'!$C$4:$C$6))</f>
        <v>24.72</v>
      </c>
      <c r="G309" s="9">
        <f t="shared" si="12"/>
        <v>6101884.8000000007</v>
      </c>
      <c r="H309" s="9">
        <f>G309*'02_Actual_Revenue'!H309</f>
        <v>1220376.9600000002</v>
      </c>
      <c r="I309" s="9">
        <f t="shared" si="13"/>
        <v>4881507.8400000008</v>
      </c>
      <c r="J309" s="13">
        <f t="shared" si="14"/>
        <v>0.8</v>
      </c>
    </row>
    <row r="310" spans="1:10">
      <c r="A310" s="5">
        <f>'02_Actual_Revenue'!A310</f>
        <v>45870</v>
      </c>
      <c r="B310" s="3" t="str">
        <f>'02_Actual_Revenue'!B310</f>
        <v>P008</v>
      </c>
      <c r="C310" s="3" t="str">
        <f>'02_Actual_Revenue'!C310</f>
        <v>R01</v>
      </c>
      <c r="D310" s="7">
        <f>'02_Actual_Revenue'!D310</f>
        <v>1224000</v>
      </c>
      <c r="E310" s="7">
        <f>D310*(1+_xlfn.XLOOKUP("Digital Services",'01_Assumptions'!$A$4:$A$6,'01_Assumptions'!$B$4:$B$6))</f>
        <v>1321920</v>
      </c>
      <c r="F310" s="3">
        <f>'02_Actual_Revenue'!E310*(1+_xlfn.XLOOKUP("Digital Services",'01_Assumptions'!$A$4:$A$6,'01_Assumptions'!$C$4:$C$6))</f>
        <v>12.24</v>
      </c>
      <c r="G310" s="9">
        <f t="shared" si="12"/>
        <v>16180300.800000001</v>
      </c>
      <c r="H310" s="9">
        <f>G310*'02_Actual_Revenue'!H310</f>
        <v>4854090.24</v>
      </c>
      <c r="I310" s="9">
        <f t="shared" si="13"/>
        <v>11326210.560000001</v>
      </c>
      <c r="J310" s="13">
        <f t="shared" si="14"/>
        <v>0.7</v>
      </c>
    </row>
    <row r="311" spans="1:10">
      <c r="A311" s="5">
        <f>'02_Actual_Revenue'!A311</f>
        <v>45870</v>
      </c>
      <c r="B311" s="3" t="str">
        <f>'02_Actual_Revenue'!B311</f>
        <v>P008</v>
      </c>
      <c r="C311" s="3" t="str">
        <f>'02_Actual_Revenue'!C311</f>
        <v>R02</v>
      </c>
      <c r="D311" s="7">
        <f>'02_Actual_Revenue'!D311</f>
        <v>1040400</v>
      </c>
      <c r="E311" s="7">
        <f>D311*(1+_xlfn.XLOOKUP("Digital Services",'01_Assumptions'!$A$4:$A$6,'01_Assumptions'!$B$4:$B$6))</f>
        <v>1123632</v>
      </c>
      <c r="F311" s="3">
        <f>'02_Actual_Revenue'!E311*(1+_xlfn.XLOOKUP("Digital Services",'01_Assumptions'!$A$4:$A$6,'01_Assumptions'!$C$4:$C$6))</f>
        <v>12.24</v>
      </c>
      <c r="G311" s="9">
        <f t="shared" si="12"/>
        <v>13753255.68</v>
      </c>
      <c r="H311" s="9">
        <f>G311*'02_Actual_Revenue'!H311</f>
        <v>4125976.7039999999</v>
      </c>
      <c r="I311" s="9">
        <f t="shared" si="13"/>
        <v>9627278.9759999998</v>
      </c>
      <c r="J311" s="13">
        <f t="shared" si="14"/>
        <v>0.7</v>
      </c>
    </row>
    <row r="312" spans="1:10">
      <c r="A312" s="5">
        <f>'02_Actual_Revenue'!A312</f>
        <v>45870</v>
      </c>
      <c r="B312" s="3" t="str">
        <f>'02_Actual_Revenue'!B312</f>
        <v>P008</v>
      </c>
      <c r="C312" s="3" t="str">
        <f>'02_Actual_Revenue'!C312</f>
        <v>R03</v>
      </c>
      <c r="D312" s="7">
        <f>'02_Actual_Revenue'!D312</f>
        <v>1162800</v>
      </c>
      <c r="E312" s="7">
        <f>D312*(1+_xlfn.XLOOKUP("Digital Services",'01_Assumptions'!$A$4:$A$6,'01_Assumptions'!$B$4:$B$6))</f>
        <v>1255824</v>
      </c>
      <c r="F312" s="3">
        <f>'02_Actual_Revenue'!E312*(1+_xlfn.XLOOKUP("Digital Services",'01_Assumptions'!$A$4:$A$6,'01_Assumptions'!$C$4:$C$6))</f>
        <v>12.24</v>
      </c>
      <c r="G312" s="9">
        <f t="shared" si="12"/>
        <v>15371285.76</v>
      </c>
      <c r="H312" s="9">
        <f>G312*'02_Actual_Revenue'!H312</f>
        <v>4611385.7280000001</v>
      </c>
      <c r="I312" s="9">
        <f t="shared" si="13"/>
        <v>10759900.032</v>
      </c>
      <c r="J312" s="13">
        <f t="shared" si="14"/>
        <v>0.7</v>
      </c>
    </row>
    <row r="313" spans="1:10">
      <c r="A313" s="5">
        <f>'02_Actual_Revenue'!A313</f>
        <v>45870</v>
      </c>
      <c r="B313" s="3" t="str">
        <f>'02_Actual_Revenue'!B313</f>
        <v>P008</v>
      </c>
      <c r="C313" s="3" t="str">
        <f>'02_Actual_Revenue'!C313</f>
        <v>R04</v>
      </c>
      <c r="D313" s="7">
        <f>'02_Actual_Revenue'!D313</f>
        <v>673200</v>
      </c>
      <c r="E313" s="7">
        <f>D313*(1+_xlfn.XLOOKUP("Digital Services",'01_Assumptions'!$A$4:$A$6,'01_Assumptions'!$B$4:$B$6))</f>
        <v>727056</v>
      </c>
      <c r="F313" s="3">
        <f>'02_Actual_Revenue'!E313*(1+_xlfn.XLOOKUP("Digital Services",'01_Assumptions'!$A$4:$A$6,'01_Assumptions'!$C$4:$C$6))</f>
        <v>12.24</v>
      </c>
      <c r="G313" s="9">
        <f t="shared" si="12"/>
        <v>8899165.4399999995</v>
      </c>
      <c r="H313" s="9">
        <f>G313*'02_Actual_Revenue'!H313</f>
        <v>2669749.6319999998</v>
      </c>
      <c r="I313" s="9">
        <f t="shared" si="13"/>
        <v>6229415.8080000002</v>
      </c>
      <c r="J313" s="13">
        <f t="shared" si="14"/>
        <v>0.70000000000000007</v>
      </c>
    </row>
    <row r="314" spans="1:10">
      <c r="A314" s="5">
        <f>'02_Actual_Revenue'!A314</f>
        <v>45870</v>
      </c>
      <c r="B314" s="3" t="str">
        <f>'02_Actual_Revenue'!B314</f>
        <v>P009</v>
      </c>
      <c r="C314" s="3" t="str">
        <f>'02_Actual_Revenue'!C314</f>
        <v>R01</v>
      </c>
      <c r="D314" s="7">
        <f>'02_Actual_Revenue'!D314</f>
        <v>816000</v>
      </c>
      <c r="E314" s="7">
        <f>D314*(1+_xlfn.XLOOKUP("Digital Services",'01_Assumptions'!$A$4:$A$6,'01_Assumptions'!$B$4:$B$6))</f>
        <v>881280</v>
      </c>
      <c r="F314" s="3">
        <f>'02_Actual_Revenue'!E314*(1+_xlfn.XLOOKUP("Digital Services",'01_Assumptions'!$A$4:$A$6,'01_Assumptions'!$C$4:$C$6))</f>
        <v>15.3</v>
      </c>
      <c r="G314" s="9">
        <f t="shared" si="12"/>
        <v>13483584</v>
      </c>
      <c r="H314" s="9">
        <f>G314*'02_Actual_Revenue'!H314</f>
        <v>4719254.3999999994</v>
      </c>
      <c r="I314" s="9">
        <f t="shared" si="13"/>
        <v>8764329.6000000015</v>
      </c>
      <c r="J314" s="13">
        <f t="shared" si="14"/>
        <v>0.65000000000000013</v>
      </c>
    </row>
    <row r="315" spans="1:10">
      <c r="A315" s="5">
        <f>'02_Actual_Revenue'!A315</f>
        <v>45870</v>
      </c>
      <c r="B315" s="3" t="str">
        <f>'02_Actual_Revenue'!B315</f>
        <v>P009</v>
      </c>
      <c r="C315" s="3" t="str">
        <f>'02_Actual_Revenue'!C315</f>
        <v>R02</v>
      </c>
      <c r="D315" s="7">
        <f>'02_Actual_Revenue'!D315</f>
        <v>693600</v>
      </c>
      <c r="E315" s="7">
        <f>D315*(1+_xlfn.XLOOKUP("Digital Services",'01_Assumptions'!$A$4:$A$6,'01_Assumptions'!$B$4:$B$6))</f>
        <v>749088</v>
      </c>
      <c r="F315" s="3">
        <f>'02_Actual_Revenue'!E315*(1+_xlfn.XLOOKUP("Digital Services",'01_Assumptions'!$A$4:$A$6,'01_Assumptions'!$C$4:$C$6))</f>
        <v>15.3</v>
      </c>
      <c r="G315" s="9">
        <f t="shared" si="12"/>
        <v>11461046.4</v>
      </c>
      <c r="H315" s="9">
        <f>G315*'02_Actual_Revenue'!H315</f>
        <v>4011366.2399999998</v>
      </c>
      <c r="I315" s="9">
        <f t="shared" si="13"/>
        <v>7449680.1600000001</v>
      </c>
      <c r="J315" s="13">
        <f t="shared" si="14"/>
        <v>0.65</v>
      </c>
    </row>
    <row r="316" spans="1:10">
      <c r="A316" s="5">
        <f>'02_Actual_Revenue'!A316</f>
        <v>45870</v>
      </c>
      <c r="B316" s="3" t="str">
        <f>'02_Actual_Revenue'!B316</f>
        <v>P009</v>
      </c>
      <c r="C316" s="3" t="str">
        <f>'02_Actual_Revenue'!C316</f>
        <v>R03</v>
      </c>
      <c r="D316" s="7">
        <f>'02_Actual_Revenue'!D316</f>
        <v>775200</v>
      </c>
      <c r="E316" s="7">
        <f>D316*(1+_xlfn.XLOOKUP("Digital Services",'01_Assumptions'!$A$4:$A$6,'01_Assumptions'!$B$4:$B$6))</f>
        <v>837216</v>
      </c>
      <c r="F316" s="3">
        <f>'02_Actual_Revenue'!E316*(1+_xlfn.XLOOKUP("Digital Services",'01_Assumptions'!$A$4:$A$6,'01_Assumptions'!$C$4:$C$6))</f>
        <v>15.3</v>
      </c>
      <c r="G316" s="9">
        <f t="shared" si="12"/>
        <v>12809404.800000001</v>
      </c>
      <c r="H316" s="9">
        <f>G316*'02_Actual_Revenue'!H316</f>
        <v>4483291.68</v>
      </c>
      <c r="I316" s="9">
        <f t="shared" si="13"/>
        <v>8326113.120000001</v>
      </c>
      <c r="J316" s="13">
        <f t="shared" si="14"/>
        <v>0.65</v>
      </c>
    </row>
    <row r="317" spans="1:10">
      <c r="A317" s="5">
        <f>'02_Actual_Revenue'!A317</f>
        <v>45870</v>
      </c>
      <c r="B317" s="3" t="str">
        <f>'02_Actual_Revenue'!B317</f>
        <v>P009</v>
      </c>
      <c r="C317" s="3" t="str">
        <f>'02_Actual_Revenue'!C317</f>
        <v>R04</v>
      </c>
      <c r="D317" s="7">
        <f>'02_Actual_Revenue'!D317</f>
        <v>448800</v>
      </c>
      <c r="E317" s="7">
        <f>D317*(1+_xlfn.XLOOKUP("Digital Services",'01_Assumptions'!$A$4:$A$6,'01_Assumptions'!$B$4:$B$6))</f>
        <v>484704.00000000006</v>
      </c>
      <c r="F317" s="3">
        <f>'02_Actual_Revenue'!E317*(1+_xlfn.XLOOKUP("Digital Services",'01_Assumptions'!$A$4:$A$6,'01_Assumptions'!$C$4:$C$6))</f>
        <v>15.3</v>
      </c>
      <c r="G317" s="9">
        <f t="shared" si="12"/>
        <v>7415971.2000000011</v>
      </c>
      <c r="H317" s="9">
        <f>G317*'02_Actual_Revenue'!H317</f>
        <v>2595589.9200000004</v>
      </c>
      <c r="I317" s="9">
        <f t="shared" si="13"/>
        <v>4820381.2800000012</v>
      </c>
      <c r="J317" s="13">
        <f t="shared" si="14"/>
        <v>0.65</v>
      </c>
    </row>
    <row r="318" spans="1:10">
      <c r="A318" s="5">
        <f>'02_Actual_Revenue'!A318</f>
        <v>45870</v>
      </c>
      <c r="B318" s="3" t="str">
        <f>'02_Actual_Revenue'!B318</f>
        <v>P010</v>
      </c>
      <c r="C318" s="3" t="str">
        <f>'02_Actual_Revenue'!C318</f>
        <v>R01</v>
      </c>
      <c r="D318" s="7">
        <f>'02_Actual_Revenue'!D318</f>
        <v>918000</v>
      </c>
      <c r="E318" s="7">
        <f>D318*(1+_xlfn.XLOOKUP("Digital Services",'01_Assumptions'!$A$4:$A$6,'01_Assumptions'!$B$4:$B$6))</f>
        <v>991440.00000000012</v>
      </c>
      <c r="F318" s="3">
        <f>'02_Actual_Revenue'!E318*(1+_xlfn.XLOOKUP("Digital Services",'01_Assumptions'!$A$4:$A$6,'01_Assumptions'!$C$4:$C$6))</f>
        <v>8.16</v>
      </c>
      <c r="G318" s="9">
        <f t="shared" si="12"/>
        <v>8090150.4000000013</v>
      </c>
      <c r="H318" s="9">
        <f>G318*'02_Actual_Revenue'!H318</f>
        <v>1213522.56</v>
      </c>
      <c r="I318" s="9">
        <f t="shared" si="13"/>
        <v>6876627.8400000017</v>
      </c>
      <c r="J318" s="13">
        <f t="shared" si="14"/>
        <v>0.85000000000000009</v>
      </c>
    </row>
    <row r="319" spans="1:10">
      <c r="A319" s="5">
        <f>'02_Actual_Revenue'!A319</f>
        <v>45870</v>
      </c>
      <c r="B319" s="3" t="str">
        <f>'02_Actual_Revenue'!B319</f>
        <v>P010</v>
      </c>
      <c r="C319" s="3" t="str">
        <f>'02_Actual_Revenue'!C319</f>
        <v>R02</v>
      </c>
      <c r="D319" s="7">
        <f>'02_Actual_Revenue'!D319</f>
        <v>780300</v>
      </c>
      <c r="E319" s="7">
        <f>D319*(1+_xlfn.XLOOKUP("Digital Services",'01_Assumptions'!$A$4:$A$6,'01_Assumptions'!$B$4:$B$6))</f>
        <v>842724</v>
      </c>
      <c r="F319" s="3">
        <f>'02_Actual_Revenue'!E319*(1+_xlfn.XLOOKUP("Digital Services",'01_Assumptions'!$A$4:$A$6,'01_Assumptions'!$C$4:$C$6))</f>
        <v>8.16</v>
      </c>
      <c r="G319" s="9">
        <f t="shared" si="12"/>
        <v>6876627.8399999999</v>
      </c>
      <c r="H319" s="9">
        <f>G319*'02_Actual_Revenue'!H319</f>
        <v>1031494.176</v>
      </c>
      <c r="I319" s="9">
        <f t="shared" si="13"/>
        <v>5845133.6639999999</v>
      </c>
      <c r="J319" s="13">
        <f t="shared" si="14"/>
        <v>0.85</v>
      </c>
    </row>
    <row r="320" spans="1:10">
      <c r="A320" s="5">
        <f>'02_Actual_Revenue'!A320</f>
        <v>45870</v>
      </c>
      <c r="B320" s="3" t="str">
        <f>'02_Actual_Revenue'!B320</f>
        <v>P010</v>
      </c>
      <c r="C320" s="3" t="str">
        <f>'02_Actual_Revenue'!C320</f>
        <v>R03</v>
      </c>
      <c r="D320" s="7">
        <f>'02_Actual_Revenue'!D320</f>
        <v>872100</v>
      </c>
      <c r="E320" s="7">
        <f>D320*(1+_xlfn.XLOOKUP("Digital Services",'01_Assumptions'!$A$4:$A$6,'01_Assumptions'!$B$4:$B$6))</f>
        <v>941868.00000000012</v>
      </c>
      <c r="F320" s="3">
        <f>'02_Actual_Revenue'!E320*(1+_xlfn.XLOOKUP("Digital Services",'01_Assumptions'!$A$4:$A$6,'01_Assumptions'!$C$4:$C$6))</f>
        <v>8.16</v>
      </c>
      <c r="G320" s="9">
        <f t="shared" si="12"/>
        <v>7685642.8800000008</v>
      </c>
      <c r="H320" s="9">
        <f>G320*'02_Actual_Revenue'!H320</f>
        <v>1152846.432</v>
      </c>
      <c r="I320" s="9">
        <f t="shared" si="13"/>
        <v>6532796.4480000008</v>
      </c>
      <c r="J320" s="13">
        <f t="shared" si="14"/>
        <v>0.85</v>
      </c>
    </row>
    <row r="321" spans="1:10">
      <c r="A321" s="5">
        <f>'02_Actual_Revenue'!A321</f>
        <v>45870</v>
      </c>
      <c r="B321" s="3" t="str">
        <f>'02_Actual_Revenue'!B321</f>
        <v>P010</v>
      </c>
      <c r="C321" s="3" t="str">
        <f>'02_Actual_Revenue'!C321</f>
        <v>R04</v>
      </c>
      <c r="D321" s="7">
        <f>'02_Actual_Revenue'!D321</f>
        <v>504900</v>
      </c>
      <c r="E321" s="7">
        <f>D321*(1+_xlfn.XLOOKUP("Digital Services",'01_Assumptions'!$A$4:$A$6,'01_Assumptions'!$B$4:$B$6))</f>
        <v>545292</v>
      </c>
      <c r="F321" s="3">
        <f>'02_Actual_Revenue'!E321*(1+_xlfn.XLOOKUP("Digital Services",'01_Assumptions'!$A$4:$A$6,'01_Assumptions'!$C$4:$C$6))</f>
        <v>8.16</v>
      </c>
      <c r="G321" s="9">
        <f t="shared" si="12"/>
        <v>4449582.72</v>
      </c>
      <c r="H321" s="9">
        <f>G321*'02_Actual_Revenue'!H321</f>
        <v>667437.40799999994</v>
      </c>
      <c r="I321" s="9">
        <f t="shared" si="13"/>
        <v>3782145.3119999999</v>
      </c>
      <c r="J321" s="13">
        <f t="shared" si="14"/>
        <v>0.85</v>
      </c>
    </row>
    <row r="322" spans="1:10">
      <c r="A322" s="5">
        <f>'02_Actual_Revenue'!A322</f>
        <v>45901</v>
      </c>
      <c r="B322" s="3" t="str">
        <f>'02_Actual_Revenue'!B322</f>
        <v>P001</v>
      </c>
      <c r="C322" s="3" t="str">
        <f>'02_Actual_Revenue'!C322</f>
        <v>R01</v>
      </c>
      <c r="D322" s="7">
        <f>'02_Actual_Revenue'!D322</f>
        <v>250000</v>
      </c>
      <c r="E322" s="7">
        <f>D322*(1+_xlfn.XLOOKUP("Devices",'01_Assumptions'!$A$4:$A$6,'01_Assumptions'!$B$4:$B$6))</f>
        <v>265000</v>
      </c>
      <c r="F322" s="3">
        <f>'02_Actual_Revenue'!E322*(1+_xlfn.XLOOKUP("Devices",'01_Assumptions'!$A$4:$A$6,'01_Assumptions'!$C$4:$C$6))</f>
        <v>712.98</v>
      </c>
      <c r="G322" s="9">
        <f t="shared" si="12"/>
        <v>188939700</v>
      </c>
      <c r="H322" s="9">
        <f>G322*'02_Actual_Revenue'!H322</f>
        <v>117142614</v>
      </c>
      <c r="I322" s="9">
        <f t="shared" si="13"/>
        <v>71797086</v>
      </c>
      <c r="J322" s="13">
        <f t="shared" si="14"/>
        <v>0.38</v>
      </c>
    </row>
    <row r="323" spans="1:10">
      <c r="A323" s="5">
        <f>'02_Actual_Revenue'!A323</f>
        <v>45901</v>
      </c>
      <c r="B323" s="3" t="str">
        <f>'02_Actual_Revenue'!B323</f>
        <v>P001</v>
      </c>
      <c r="C323" s="3" t="str">
        <f>'02_Actual_Revenue'!C323</f>
        <v>R02</v>
      </c>
      <c r="D323" s="7">
        <f>'02_Actual_Revenue'!D323</f>
        <v>212500</v>
      </c>
      <c r="E323" s="7">
        <f>D323*(1+_xlfn.XLOOKUP("Devices",'01_Assumptions'!$A$4:$A$6,'01_Assumptions'!$B$4:$B$6))</f>
        <v>225250</v>
      </c>
      <c r="F323" s="3">
        <f>'02_Actual_Revenue'!E323*(1+_xlfn.XLOOKUP("Devices",'01_Assumptions'!$A$4:$A$6,'01_Assumptions'!$C$4:$C$6))</f>
        <v>712.98</v>
      </c>
      <c r="G323" s="9">
        <f t="shared" ref="G323:G386" si="15">E323*F323</f>
        <v>160598745</v>
      </c>
      <c r="H323" s="9">
        <f>G323*'02_Actual_Revenue'!H323</f>
        <v>99571221.900000006</v>
      </c>
      <c r="I323" s="9">
        <f t="shared" ref="I323:I386" si="16">G323-H323</f>
        <v>61027523.099999994</v>
      </c>
      <c r="J323" s="13">
        <f t="shared" ref="J323:J386" si="17">I323/G323</f>
        <v>0.37999999999999995</v>
      </c>
    </row>
    <row r="324" spans="1:10">
      <c r="A324" s="5">
        <f>'02_Actual_Revenue'!A324</f>
        <v>45901</v>
      </c>
      <c r="B324" s="3" t="str">
        <f>'02_Actual_Revenue'!B324</f>
        <v>P001</v>
      </c>
      <c r="C324" s="3" t="str">
        <f>'02_Actual_Revenue'!C324</f>
        <v>R03</v>
      </c>
      <c r="D324" s="7">
        <f>'02_Actual_Revenue'!D324</f>
        <v>237500</v>
      </c>
      <c r="E324" s="7">
        <f>D324*(1+_xlfn.XLOOKUP("Devices",'01_Assumptions'!$A$4:$A$6,'01_Assumptions'!$B$4:$B$6))</f>
        <v>251750</v>
      </c>
      <c r="F324" s="3">
        <f>'02_Actual_Revenue'!E324*(1+_xlfn.XLOOKUP("Devices",'01_Assumptions'!$A$4:$A$6,'01_Assumptions'!$C$4:$C$6))</f>
        <v>712.98</v>
      </c>
      <c r="G324" s="9">
        <f t="shared" si="15"/>
        <v>179492715</v>
      </c>
      <c r="H324" s="9">
        <f>G324*'02_Actual_Revenue'!H324</f>
        <v>111285483.3</v>
      </c>
      <c r="I324" s="9">
        <f t="shared" si="16"/>
        <v>68207231.700000003</v>
      </c>
      <c r="J324" s="13">
        <f t="shared" si="17"/>
        <v>0.38</v>
      </c>
    </row>
    <row r="325" spans="1:10">
      <c r="A325" s="5">
        <f>'02_Actual_Revenue'!A325</f>
        <v>45901</v>
      </c>
      <c r="B325" s="3" t="str">
        <f>'02_Actual_Revenue'!B325</f>
        <v>P001</v>
      </c>
      <c r="C325" s="3" t="str">
        <f>'02_Actual_Revenue'!C325</f>
        <v>R04</v>
      </c>
      <c r="D325" s="7">
        <f>'02_Actual_Revenue'!D325</f>
        <v>137500</v>
      </c>
      <c r="E325" s="7">
        <f>D325*(1+_xlfn.XLOOKUP("Devices",'01_Assumptions'!$A$4:$A$6,'01_Assumptions'!$B$4:$B$6))</f>
        <v>145750</v>
      </c>
      <c r="F325" s="3">
        <f>'02_Actual_Revenue'!E325*(1+_xlfn.XLOOKUP("Devices",'01_Assumptions'!$A$4:$A$6,'01_Assumptions'!$C$4:$C$6))</f>
        <v>712.98</v>
      </c>
      <c r="G325" s="9">
        <f t="shared" si="15"/>
        <v>103916835</v>
      </c>
      <c r="H325" s="9">
        <f>G325*'02_Actual_Revenue'!H325</f>
        <v>64428437.700000003</v>
      </c>
      <c r="I325" s="9">
        <f t="shared" si="16"/>
        <v>39488397.299999997</v>
      </c>
      <c r="J325" s="13">
        <f t="shared" si="17"/>
        <v>0.37999999999999995</v>
      </c>
    </row>
    <row r="326" spans="1:10">
      <c r="A326" s="5">
        <f>'02_Actual_Revenue'!A326</f>
        <v>45901</v>
      </c>
      <c r="B326" s="3" t="str">
        <f>'02_Actual_Revenue'!B326</f>
        <v>P002</v>
      </c>
      <c r="C326" s="3" t="str">
        <f>'02_Actual_Revenue'!C326</f>
        <v>R01</v>
      </c>
      <c r="D326" s="7">
        <f>'02_Actual_Revenue'!D326</f>
        <v>120000</v>
      </c>
      <c r="E326" s="7">
        <f>D326*(1+_xlfn.XLOOKUP("Devices",'01_Assumptions'!$A$4:$A$6,'01_Assumptions'!$B$4:$B$6))</f>
        <v>127200</v>
      </c>
      <c r="F326" s="3">
        <f>'02_Actual_Revenue'!E326*(1+_xlfn.XLOOKUP("Devices",'01_Assumptions'!$A$4:$A$6,'01_Assumptions'!$C$4:$C$6))</f>
        <v>1018.98</v>
      </c>
      <c r="G326" s="9">
        <f t="shared" si="15"/>
        <v>129614256</v>
      </c>
      <c r="H326" s="9">
        <f>G326*'02_Actual_Revenue'!H326</f>
        <v>75176268.479999989</v>
      </c>
      <c r="I326" s="9">
        <f t="shared" si="16"/>
        <v>54437987.520000011</v>
      </c>
      <c r="J326" s="13">
        <f t="shared" si="17"/>
        <v>0.4200000000000001</v>
      </c>
    </row>
    <row r="327" spans="1:10">
      <c r="A327" s="5">
        <f>'02_Actual_Revenue'!A327</f>
        <v>45901</v>
      </c>
      <c r="B327" s="3" t="str">
        <f>'02_Actual_Revenue'!B327</f>
        <v>P002</v>
      </c>
      <c r="C327" s="3" t="str">
        <f>'02_Actual_Revenue'!C327</f>
        <v>R02</v>
      </c>
      <c r="D327" s="7">
        <f>'02_Actual_Revenue'!D327</f>
        <v>102000</v>
      </c>
      <c r="E327" s="7">
        <f>D327*(1+_xlfn.XLOOKUP("Devices",'01_Assumptions'!$A$4:$A$6,'01_Assumptions'!$B$4:$B$6))</f>
        <v>108120</v>
      </c>
      <c r="F327" s="3">
        <f>'02_Actual_Revenue'!E327*(1+_xlfn.XLOOKUP("Devices",'01_Assumptions'!$A$4:$A$6,'01_Assumptions'!$C$4:$C$6))</f>
        <v>1018.98</v>
      </c>
      <c r="G327" s="9">
        <f t="shared" si="15"/>
        <v>110172117.60000001</v>
      </c>
      <c r="H327" s="9">
        <f>G327*'02_Actual_Revenue'!H327</f>
        <v>63899828.208000004</v>
      </c>
      <c r="I327" s="9">
        <f t="shared" si="16"/>
        <v>46272289.392000005</v>
      </c>
      <c r="J327" s="13">
        <f t="shared" si="17"/>
        <v>0.42</v>
      </c>
    </row>
    <row r="328" spans="1:10">
      <c r="A328" s="5">
        <f>'02_Actual_Revenue'!A328</f>
        <v>45901</v>
      </c>
      <c r="B328" s="3" t="str">
        <f>'02_Actual_Revenue'!B328</f>
        <v>P002</v>
      </c>
      <c r="C328" s="3" t="str">
        <f>'02_Actual_Revenue'!C328</f>
        <v>R03</v>
      </c>
      <c r="D328" s="7">
        <f>'02_Actual_Revenue'!D328</f>
        <v>114000</v>
      </c>
      <c r="E328" s="7">
        <f>D328*(1+_xlfn.XLOOKUP("Devices",'01_Assumptions'!$A$4:$A$6,'01_Assumptions'!$B$4:$B$6))</f>
        <v>120840</v>
      </c>
      <c r="F328" s="3">
        <f>'02_Actual_Revenue'!E328*(1+_xlfn.XLOOKUP("Devices",'01_Assumptions'!$A$4:$A$6,'01_Assumptions'!$C$4:$C$6))</f>
        <v>1018.98</v>
      </c>
      <c r="G328" s="9">
        <f t="shared" si="15"/>
        <v>123133543.2</v>
      </c>
      <c r="H328" s="9">
        <f>G328*'02_Actual_Revenue'!H328</f>
        <v>71417455.055999994</v>
      </c>
      <c r="I328" s="9">
        <f t="shared" si="16"/>
        <v>51716088.144000009</v>
      </c>
      <c r="J328" s="13">
        <f t="shared" si="17"/>
        <v>0.42000000000000004</v>
      </c>
    </row>
    <row r="329" spans="1:10">
      <c r="A329" s="5">
        <f>'02_Actual_Revenue'!A329</f>
        <v>45901</v>
      </c>
      <c r="B329" s="3" t="str">
        <f>'02_Actual_Revenue'!B329</f>
        <v>P002</v>
      </c>
      <c r="C329" s="3" t="str">
        <f>'02_Actual_Revenue'!C329</f>
        <v>R04</v>
      </c>
      <c r="D329" s="7">
        <f>'02_Actual_Revenue'!D329</f>
        <v>66000</v>
      </c>
      <c r="E329" s="7">
        <f>D329*(1+_xlfn.XLOOKUP("Devices",'01_Assumptions'!$A$4:$A$6,'01_Assumptions'!$B$4:$B$6))</f>
        <v>69960</v>
      </c>
      <c r="F329" s="3">
        <f>'02_Actual_Revenue'!E329*(1+_xlfn.XLOOKUP("Devices",'01_Assumptions'!$A$4:$A$6,'01_Assumptions'!$C$4:$C$6))</f>
        <v>1018.98</v>
      </c>
      <c r="G329" s="9">
        <f t="shared" si="15"/>
        <v>71287840.799999997</v>
      </c>
      <c r="H329" s="9">
        <f>G329*'02_Actual_Revenue'!H329</f>
        <v>41346947.663999997</v>
      </c>
      <c r="I329" s="9">
        <f t="shared" si="16"/>
        <v>29940893.136</v>
      </c>
      <c r="J329" s="13">
        <f t="shared" si="17"/>
        <v>0.42000000000000004</v>
      </c>
    </row>
    <row r="330" spans="1:10">
      <c r="A330" s="5">
        <f>'02_Actual_Revenue'!A330</f>
        <v>45901</v>
      </c>
      <c r="B330" s="3" t="str">
        <f>'02_Actual_Revenue'!B330</f>
        <v>P003</v>
      </c>
      <c r="C330" s="3" t="str">
        <f>'02_Actual_Revenue'!C330</f>
        <v>R01</v>
      </c>
      <c r="D330" s="7">
        <f>'02_Actual_Revenue'!D330</f>
        <v>140000</v>
      </c>
      <c r="E330" s="7">
        <f>D330*(1+_xlfn.XLOOKUP("Devices",'01_Assumptions'!$A$4:$A$6,'01_Assumptions'!$B$4:$B$6))</f>
        <v>148400</v>
      </c>
      <c r="F330" s="3">
        <f>'02_Actual_Revenue'!E330*(1+_xlfn.XLOOKUP("Devices",'01_Assumptions'!$A$4:$A$6,'01_Assumptions'!$C$4:$C$6))</f>
        <v>559.98</v>
      </c>
      <c r="G330" s="9">
        <f t="shared" si="15"/>
        <v>83101032</v>
      </c>
      <c r="H330" s="9">
        <f>G330*'02_Actual_Revenue'!H330</f>
        <v>49860619.199999996</v>
      </c>
      <c r="I330" s="9">
        <f t="shared" si="16"/>
        <v>33240412.800000004</v>
      </c>
      <c r="J330" s="13">
        <f t="shared" si="17"/>
        <v>0.40000000000000008</v>
      </c>
    </row>
    <row r="331" spans="1:10">
      <c r="A331" s="5">
        <f>'02_Actual_Revenue'!A331</f>
        <v>45901</v>
      </c>
      <c r="B331" s="3" t="str">
        <f>'02_Actual_Revenue'!B331</f>
        <v>P003</v>
      </c>
      <c r="C331" s="3" t="str">
        <f>'02_Actual_Revenue'!C331</f>
        <v>R02</v>
      </c>
      <c r="D331" s="7">
        <f>'02_Actual_Revenue'!D331</f>
        <v>119000</v>
      </c>
      <c r="E331" s="7">
        <f>D331*(1+_xlfn.XLOOKUP("Devices",'01_Assumptions'!$A$4:$A$6,'01_Assumptions'!$B$4:$B$6))</f>
        <v>126140</v>
      </c>
      <c r="F331" s="3">
        <f>'02_Actual_Revenue'!E331*(1+_xlfn.XLOOKUP("Devices",'01_Assumptions'!$A$4:$A$6,'01_Assumptions'!$C$4:$C$6))</f>
        <v>559.98</v>
      </c>
      <c r="G331" s="9">
        <f t="shared" si="15"/>
        <v>70635877.200000003</v>
      </c>
      <c r="H331" s="9">
        <f>G331*'02_Actual_Revenue'!H331</f>
        <v>42381526.32</v>
      </c>
      <c r="I331" s="9">
        <f t="shared" si="16"/>
        <v>28254350.880000003</v>
      </c>
      <c r="J331" s="13">
        <f t="shared" si="17"/>
        <v>0.4</v>
      </c>
    </row>
    <row r="332" spans="1:10">
      <c r="A332" s="5">
        <f>'02_Actual_Revenue'!A332</f>
        <v>45901</v>
      </c>
      <c r="B332" s="3" t="str">
        <f>'02_Actual_Revenue'!B332</f>
        <v>P003</v>
      </c>
      <c r="C332" s="3" t="str">
        <f>'02_Actual_Revenue'!C332</f>
        <v>R03</v>
      </c>
      <c r="D332" s="7">
        <f>'02_Actual_Revenue'!D332</f>
        <v>133000</v>
      </c>
      <c r="E332" s="7">
        <f>D332*(1+_xlfn.XLOOKUP("Devices",'01_Assumptions'!$A$4:$A$6,'01_Assumptions'!$B$4:$B$6))</f>
        <v>140980</v>
      </c>
      <c r="F332" s="3">
        <f>'02_Actual_Revenue'!E332*(1+_xlfn.XLOOKUP("Devices",'01_Assumptions'!$A$4:$A$6,'01_Assumptions'!$C$4:$C$6))</f>
        <v>559.98</v>
      </c>
      <c r="G332" s="9">
        <f t="shared" si="15"/>
        <v>78945980.400000006</v>
      </c>
      <c r="H332" s="9">
        <f>G332*'02_Actual_Revenue'!H332</f>
        <v>47367588.240000002</v>
      </c>
      <c r="I332" s="9">
        <f t="shared" si="16"/>
        <v>31578392.160000004</v>
      </c>
      <c r="J332" s="13">
        <f t="shared" si="17"/>
        <v>0.4</v>
      </c>
    </row>
    <row r="333" spans="1:10">
      <c r="A333" s="5">
        <f>'02_Actual_Revenue'!A333</f>
        <v>45901</v>
      </c>
      <c r="B333" s="3" t="str">
        <f>'02_Actual_Revenue'!B333</f>
        <v>P003</v>
      </c>
      <c r="C333" s="3" t="str">
        <f>'02_Actual_Revenue'!C333</f>
        <v>R04</v>
      </c>
      <c r="D333" s="7">
        <f>'02_Actual_Revenue'!D333</f>
        <v>77000</v>
      </c>
      <c r="E333" s="7">
        <f>D333*(1+_xlfn.XLOOKUP("Devices",'01_Assumptions'!$A$4:$A$6,'01_Assumptions'!$B$4:$B$6))</f>
        <v>81620</v>
      </c>
      <c r="F333" s="3">
        <f>'02_Actual_Revenue'!E333*(1+_xlfn.XLOOKUP("Devices",'01_Assumptions'!$A$4:$A$6,'01_Assumptions'!$C$4:$C$6))</f>
        <v>559.98</v>
      </c>
      <c r="G333" s="9">
        <f t="shared" si="15"/>
        <v>45705567.600000001</v>
      </c>
      <c r="H333" s="9">
        <f>G333*'02_Actual_Revenue'!H333</f>
        <v>27423340.559999999</v>
      </c>
      <c r="I333" s="9">
        <f t="shared" si="16"/>
        <v>18282227.040000003</v>
      </c>
      <c r="J333" s="13">
        <f t="shared" si="17"/>
        <v>0.4</v>
      </c>
    </row>
    <row r="334" spans="1:10">
      <c r="A334" s="5">
        <f>'02_Actual_Revenue'!A334</f>
        <v>45901</v>
      </c>
      <c r="B334" s="3" t="str">
        <f>'02_Actual_Revenue'!B334</f>
        <v>P004</v>
      </c>
      <c r="C334" s="3" t="str">
        <f>'02_Actual_Revenue'!C334</f>
        <v>R01</v>
      </c>
      <c r="D334" s="7">
        <f>'02_Actual_Revenue'!D334</f>
        <v>70000</v>
      </c>
      <c r="E334" s="7">
        <f>D334*(1+_xlfn.XLOOKUP("Devices",'01_Assumptions'!$A$4:$A$6,'01_Assumptions'!$B$4:$B$6))</f>
        <v>74200</v>
      </c>
      <c r="F334" s="3">
        <f>'02_Actual_Revenue'!E334*(1+_xlfn.XLOOKUP("Devices",'01_Assumptions'!$A$4:$A$6,'01_Assumptions'!$C$4:$C$6))</f>
        <v>1222.98</v>
      </c>
      <c r="G334" s="9">
        <f t="shared" si="15"/>
        <v>90745116</v>
      </c>
      <c r="H334" s="9">
        <f>G334*'02_Actual_Revenue'!H334</f>
        <v>49909813.800000004</v>
      </c>
      <c r="I334" s="9">
        <f t="shared" si="16"/>
        <v>40835302.199999996</v>
      </c>
      <c r="J334" s="13">
        <f t="shared" si="17"/>
        <v>0.44999999999999996</v>
      </c>
    </row>
    <row r="335" spans="1:10">
      <c r="A335" s="5">
        <f>'02_Actual_Revenue'!A335</f>
        <v>45901</v>
      </c>
      <c r="B335" s="3" t="str">
        <f>'02_Actual_Revenue'!B335</f>
        <v>P004</v>
      </c>
      <c r="C335" s="3" t="str">
        <f>'02_Actual_Revenue'!C335</f>
        <v>R02</v>
      </c>
      <c r="D335" s="7">
        <f>'02_Actual_Revenue'!D335</f>
        <v>59500</v>
      </c>
      <c r="E335" s="7">
        <f>D335*(1+_xlfn.XLOOKUP("Devices",'01_Assumptions'!$A$4:$A$6,'01_Assumptions'!$B$4:$B$6))</f>
        <v>63070</v>
      </c>
      <c r="F335" s="3">
        <f>'02_Actual_Revenue'!E335*(1+_xlfn.XLOOKUP("Devices",'01_Assumptions'!$A$4:$A$6,'01_Assumptions'!$C$4:$C$6))</f>
        <v>1222.98</v>
      </c>
      <c r="G335" s="9">
        <f t="shared" si="15"/>
        <v>77133348.599999994</v>
      </c>
      <c r="H335" s="9">
        <f>G335*'02_Actual_Revenue'!H335</f>
        <v>42423341.729999997</v>
      </c>
      <c r="I335" s="9">
        <f t="shared" si="16"/>
        <v>34710006.869999997</v>
      </c>
      <c r="J335" s="13">
        <f t="shared" si="17"/>
        <v>0.45</v>
      </c>
    </row>
    <row r="336" spans="1:10">
      <c r="A336" s="5">
        <f>'02_Actual_Revenue'!A336</f>
        <v>45901</v>
      </c>
      <c r="B336" s="3" t="str">
        <f>'02_Actual_Revenue'!B336</f>
        <v>P004</v>
      </c>
      <c r="C336" s="3" t="str">
        <f>'02_Actual_Revenue'!C336</f>
        <v>R03</v>
      </c>
      <c r="D336" s="7">
        <f>'02_Actual_Revenue'!D336</f>
        <v>66500</v>
      </c>
      <c r="E336" s="7">
        <f>D336*(1+_xlfn.XLOOKUP("Devices",'01_Assumptions'!$A$4:$A$6,'01_Assumptions'!$B$4:$B$6))</f>
        <v>70490</v>
      </c>
      <c r="F336" s="3">
        <f>'02_Actual_Revenue'!E336*(1+_xlfn.XLOOKUP("Devices",'01_Assumptions'!$A$4:$A$6,'01_Assumptions'!$C$4:$C$6))</f>
        <v>1222.98</v>
      </c>
      <c r="G336" s="9">
        <f t="shared" si="15"/>
        <v>86207860.200000003</v>
      </c>
      <c r="H336" s="9">
        <f>G336*'02_Actual_Revenue'!H336</f>
        <v>47414323.110000007</v>
      </c>
      <c r="I336" s="9">
        <f t="shared" si="16"/>
        <v>38793537.089999996</v>
      </c>
      <c r="J336" s="13">
        <f t="shared" si="17"/>
        <v>0.44999999999999996</v>
      </c>
    </row>
    <row r="337" spans="1:10">
      <c r="A337" s="5">
        <f>'02_Actual_Revenue'!A337</f>
        <v>45901</v>
      </c>
      <c r="B337" s="3" t="str">
        <f>'02_Actual_Revenue'!B337</f>
        <v>P004</v>
      </c>
      <c r="C337" s="3" t="str">
        <f>'02_Actual_Revenue'!C337</f>
        <v>R04</v>
      </c>
      <c r="D337" s="7">
        <f>'02_Actual_Revenue'!D337</f>
        <v>38500</v>
      </c>
      <c r="E337" s="7">
        <f>D337*(1+_xlfn.XLOOKUP("Devices",'01_Assumptions'!$A$4:$A$6,'01_Assumptions'!$B$4:$B$6))</f>
        <v>40810</v>
      </c>
      <c r="F337" s="3">
        <f>'02_Actual_Revenue'!E337*(1+_xlfn.XLOOKUP("Devices",'01_Assumptions'!$A$4:$A$6,'01_Assumptions'!$C$4:$C$6))</f>
        <v>1222.98</v>
      </c>
      <c r="G337" s="9">
        <f t="shared" si="15"/>
        <v>49909813.799999997</v>
      </c>
      <c r="H337" s="9">
        <f>G337*'02_Actual_Revenue'!H337</f>
        <v>27450397.59</v>
      </c>
      <c r="I337" s="9">
        <f t="shared" si="16"/>
        <v>22459416.209999997</v>
      </c>
      <c r="J337" s="13">
        <f t="shared" si="17"/>
        <v>0.44999999999999996</v>
      </c>
    </row>
    <row r="338" spans="1:10">
      <c r="A338" s="5">
        <f>'02_Actual_Revenue'!A338</f>
        <v>45901</v>
      </c>
      <c r="B338" s="3" t="str">
        <f>'02_Actual_Revenue'!B338</f>
        <v>P005</v>
      </c>
      <c r="C338" s="3" t="str">
        <f>'02_Actual_Revenue'!C338</f>
        <v>R01</v>
      </c>
      <c r="D338" s="7">
        <f>'02_Actual_Revenue'!D338</f>
        <v>180000</v>
      </c>
      <c r="E338" s="7">
        <f>D338*(1+_xlfn.XLOOKUP("Devices",'01_Assumptions'!$A$4:$A$6,'01_Assumptions'!$B$4:$B$6))</f>
        <v>190800</v>
      </c>
      <c r="F338" s="3">
        <f>'02_Actual_Revenue'!E338*(1+_xlfn.XLOOKUP("Devices",'01_Assumptions'!$A$4:$A$6,'01_Assumptions'!$C$4:$C$6))</f>
        <v>304.98</v>
      </c>
      <c r="G338" s="9">
        <f t="shared" si="15"/>
        <v>58190184</v>
      </c>
      <c r="H338" s="9">
        <f>G338*'02_Actual_Revenue'!H338</f>
        <v>29095092</v>
      </c>
      <c r="I338" s="9">
        <f t="shared" si="16"/>
        <v>29095092</v>
      </c>
      <c r="J338" s="13">
        <f t="shared" si="17"/>
        <v>0.5</v>
      </c>
    </row>
    <row r="339" spans="1:10">
      <c r="A339" s="5">
        <f>'02_Actual_Revenue'!A339</f>
        <v>45901</v>
      </c>
      <c r="B339" s="3" t="str">
        <f>'02_Actual_Revenue'!B339</f>
        <v>P005</v>
      </c>
      <c r="C339" s="3" t="str">
        <f>'02_Actual_Revenue'!C339</f>
        <v>R02</v>
      </c>
      <c r="D339" s="7">
        <f>'02_Actual_Revenue'!D339</f>
        <v>153000</v>
      </c>
      <c r="E339" s="7">
        <f>D339*(1+_xlfn.XLOOKUP("Devices",'01_Assumptions'!$A$4:$A$6,'01_Assumptions'!$B$4:$B$6))</f>
        <v>162180</v>
      </c>
      <c r="F339" s="3">
        <f>'02_Actual_Revenue'!E339*(1+_xlfn.XLOOKUP("Devices",'01_Assumptions'!$A$4:$A$6,'01_Assumptions'!$C$4:$C$6))</f>
        <v>304.98</v>
      </c>
      <c r="G339" s="9">
        <f t="shared" si="15"/>
        <v>49461656.400000006</v>
      </c>
      <c r="H339" s="9">
        <f>G339*'02_Actual_Revenue'!H339</f>
        <v>24730828.200000003</v>
      </c>
      <c r="I339" s="9">
        <f t="shared" si="16"/>
        <v>24730828.200000003</v>
      </c>
      <c r="J339" s="13">
        <f t="shared" si="17"/>
        <v>0.5</v>
      </c>
    </row>
    <row r="340" spans="1:10">
      <c r="A340" s="5">
        <f>'02_Actual_Revenue'!A340</f>
        <v>45901</v>
      </c>
      <c r="B340" s="3" t="str">
        <f>'02_Actual_Revenue'!B340</f>
        <v>P005</v>
      </c>
      <c r="C340" s="3" t="str">
        <f>'02_Actual_Revenue'!C340</f>
        <v>R03</v>
      </c>
      <c r="D340" s="7">
        <f>'02_Actual_Revenue'!D340</f>
        <v>171000</v>
      </c>
      <c r="E340" s="7">
        <f>D340*(1+_xlfn.XLOOKUP("Devices",'01_Assumptions'!$A$4:$A$6,'01_Assumptions'!$B$4:$B$6))</f>
        <v>181260</v>
      </c>
      <c r="F340" s="3">
        <f>'02_Actual_Revenue'!E340*(1+_xlfn.XLOOKUP("Devices",'01_Assumptions'!$A$4:$A$6,'01_Assumptions'!$C$4:$C$6))</f>
        <v>304.98</v>
      </c>
      <c r="G340" s="9">
        <f t="shared" si="15"/>
        <v>55280674.800000004</v>
      </c>
      <c r="H340" s="9">
        <f>G340*'02_Actual_Revenue'!H340</f>
        <v>27640337.400000002</v>
      </c>
      <c r="I340" s="9">
        <f t="shared" si="16"/>
        <v>27640337.400000002</v>
      </c>
      <c r="J340" s="13">
        <f t="shared" si="17"/>
        <v>0.5</v>
      </c>
    </row>
    <row r="341" spans="1:10">
      <c r="A341" s="5">
        <f>'02_Actual_Revenue'!A341</f>
        <v>45901</v>
      </c>
      <c r="B341" s="3" t="str">
        <f>'02_Actual_Revenue'!B341</f>
        <v>P005</v>
      </c>
      <c r="C341" s="3" t="str">
        <f>'02_Actual_Revenue'!C341</f>
        <v>R04</v>
      </c>
      <c r="D341" s="7">
        <f>'02_Actual_Revenue'!D341</f>
        <v>99000</v>
      </c>
      <c r="E341" s="7">
        <f>D341*(1+_xlfn.XLOOKUP("Devices",'01_Assumptions'!$A$4:$A$6,'01_Assumptions'!$B$4:$B$6))</f>
        <v>104940</v>
      </c>
      <c r="F341" s="3">
        <f>'02_Actual_Revenue'!E341*(1+_xlfn.XLOOKUP("Devices",'01_Assumptions'!$A$4:$A$6,'01_Assumptions'!$C$4:$C$6))</f>
        <v>304.98</v>
      </c>
      <c r="G341" s="9">
        <f t="shared" si="15"/>
        <v>32004601.200000003</v>
      </c>
      <c r="H341" s="9">
        <f>G341*'02_Actual_Revenue'!H341</f>
        <v>16002300.600000001</v>
      </c>
      <c r="I341" s="9">
        <f t="shared" si="16"/>
        <v>16002300.600000001</v>
      </c>
      <c r="J341" s="13">
        <f t="shared" si="17"/>
        <v>0.5</v>
      </c>
    </row>
    <row r="342" spans="1:10">
      <c r="A342" s="5">
        <f>'02_Actual_Revenue'!A342</f>
        <v>45901</v>
      </c>
      <c r="B342" s="3" t="str">
        <f>'02_Actual_Revenue'!B342</f>
        <v>P006</v>
      </c>
      <c r="C342" s="3" t="str">
        <f>'02_Actual_Revenue'!C342</f>
        <v>R01</v>
      </c>
      <c r="D342" s="7">
        <f>'02_Actual_Revenue'!D342</f>
        <v>600000</v>
      </c>
      <c r="E342" s="7">
        <f>D342*(1+_xlfn.XLOOKUP("Cloud &amp; Software",'01_Assumptions'!$A$4:$A$6,'01_Assumptions'!$B$4:$B$6))</f>
        <v>660000</v>
      </c>
      <c r="F342" s="3">
        <f>'02_Actual_Revenue'!E342*(1+_xlfn.XLOOKUP("Cloud &amp; Software",'01_Assumptions'!$A$4:$A$6,'01_Assumptions'!$C$4:$C$6))</f>
        <v>40.17</v>
      </c>
      <c r="G342" s="9">
        <f t="shared" si="15"/>
        <v>26512200</v>
      </c>
      <c r="H342" s="9">
        <f>G342*'02_Actual_Revenue'!H342</f>
        <v>6628050</v>
      </c>
      <c r="I342" s="9">
        <f t="shared" si="16"/>
        <v>19884150</v>
      </c>
      <c r="J342" s="13">
        <f t="shared" si="17"/>
        <v>0.75</v>
      </c>
    </row>
    <row r="343" spans="1:10">
      <c r="A343" s="5">
        <f>'02_Actual_Revenue'!A343</f>
        <v>45901</v>
      </c>
      <c r="B343" s="3" t="str">
        <f>'02_Actual_Revenue'!B343</f>
        <v>P006</v>
      </c>
      <c r="C343" s="3" t="str">
        <f>'02_Actual_Revenue'!C343</f>
        <v>R02</v>
      </c>
      <c r="D343" s="7">
        <f>'02_Actual_Revenue'!D343</f>
        <v>510000</v>
      </c>
      <c r="E343" s="7">
        <f>D343*(1+_xlfn.XLOOKUP("Cloud &amp; Software",'01_Assumptions'!$A$4:$A$6,'01_Assumptions'!$B$4:$B$6))</f>
        <v>561000</v>
      </c>
      <c r="F343" s="3">
        <f>'02_Actual_Revenue'!E343*(1+_xlfn.XLOOKUP("Cloud &amp; Software",'01_Assumptions'!$A$4:$A$6,'01_Assumptions'!$C$4:$C$6))</f>
        <v>40.17</v>
      </c>
      <c r="G343" s="9">
        <f t="shared" si="15"/>
        <v>22535370</v>
      </c>
      <c r="H343" s="9">
        <f>G343*'02_Actual_Revenue'!H343</f>
        <v>5633842.5</v>
      </c>
      <c r="I343" s="9">
        <f t="shared" si="16"/>
        <v>16901527.5</v>
      </c>
      <c r="J343" s="13">
        <f t="shared" si="17"/>
        <v>0.75</v>
      </c>
    </row>
    <row r="344" spans="1:10">
      <c r="A344" s="5">
        <f>'02_Actual_Revenue'!A344</f>
        <v>45901</v>
      </c>
      <c r="B344" s="3" t="str">
        <f>'02_Actual_Revenue'!B344</f>
        <v>P006</v>
      </c>
      <c r="C344" s="3" t="str">
        <f>'02_Actual_Revenue'!C344</f>
        <v>R03</v>
      </c>
      <c r="D344" s="7">
        <f>'02_Actual_Revenue'!D344</f>
        <v>570000</v>
      </c>
      <c r="E344" s="7">
        <f>D344*(1+_xlfn.XLOOKUP("Cloud &amp; Software",'01_Assumptions'!$A$4:$A$6,'01_Assumptions'!$B$4:$B$6))</f>
        <v>627000</v>
      </c>
      <c r="F344" s="3">
        <f>'02_Actual_Revenue'!E344*(1+_xlfn.XLOOKUP("Cloud &amp; Software",'01_Assumptions'!$A$4:$A$6,'01_Assumptions'!$C$4:$C$6))</f>
        <v>40.17</v>
      </c>
      <c r="G344" s="9">
        <f t="shared" si="15"/>
        <v>25186590</v>
      </c>
      <c r="H344" s="9">
        <f>G344*'02_Actual_Revenue'!H344</f>
        <v>6296647.5</v>
      </c>
      <c r="I344" s="9">
        <f t="shared" si="16"/>
        <v>18889942.5</v>
      </c>
      <c r="J344" s="13">
        <f t="shared" si="17"/>
        <v>0.75</v>
      </c>
    </row>
    <row r="345" spans="1:10">
      <c r="A345" s="5">
        <f>'02_Actual_Revenue'!A345</f>
        <v>45901</v>
      </c>
      <c r="B345" s="3" t="str">
        <f>'02_Actual_Revenue'!B345</f>
        <v>P006</v>
      </c>
      <c r="C345" s="3" t="str">
        <f>'02_Actual_Revenue'!C345</f>
        <v>R04</v>
      </c>
      <c r="D345" s="7">
        <f>'02_Actual_Revenue'!D345</f>
        <v>330000</v>
      </c>
      <c r="E345" s="7">
        <f>D345*(1+_xlfn.XLOOKUP("Cloud &amp; Software",'01_Assumptions'!$A$4:$A$6,'01_Assumptions'!$B$4:$B$6))</f>
        <v>363000.00000000006</v>
      </c>
      <c r="F345" s="3">
        <f>'02_Actual_Revenue'!E345*(1+_xlfn.XLOOKUP("Cloud &amp; Software",'01_Assumptions'!$A$4:$A$6,'01_Assumptions'!$C$4:$C$6))</f>
        <v>40.17</v>
      </c>
      <c r="G345" s="9">
        <f t="shared" si="15"/>
        <v>14581710.000000004</v>
      </c>
      <c r="H345" s="9">
        <f>G345*'02_Actual_Revenue'!H345</f>
        <v>3645427.5000000009</v>
      </c>
      <c r="I345" s="9">
        <f t="shared" si="16"/>
        <v>10936282.500000004</v>
      </c>
      <c r="J345" s="13">
        <f t="shared" si="17"/>
        <v>0.75000000000000011</v>
      </c>
    </row>
    <row r="346" spans="1:10">
      <c r="A346" s="5">
        <f>'02_Actual_Revenue'!A346</f>
        <v>45901</v>
      </c>
      <c r="B346" s="3" t="str">
        <f>'02_Actual_Revenue'!B346</f>
        <v>P007</v>
      </c>
      <c r="C346" s="3" t="str">
        <f>'02_Actual_Revenue'!C346</f>
        <v>R01</v>
      </c>
      <c r="D346" s="7">
        <f>'02_Actual_Revenue'!D346</f>
        <v>400000</v>
      </c>
      <c r="E346" s="7">
        <f>D346*(1+_xlfn.XLOOKUP("Cloud &amp; Software",'01_Assumptions'!$A$4:$A$6,'01_Assumptions'!$B$4:$B$6))</f>
        <v>440000.00000000006</v>
      </c>
      <c r="F346" s="3">
        <f>'02_Actual_Revenue'!E346*(1+_xlfn.XLOOKUP("Cloud &amp; Software",'01_Assumptions'!$A$4:$A$6,'01_Assumptions'!$C$4:$C$6))</f>
        <v>24.72</v>
      </c>
      <c r="G346" s="9">
        <f t="shared" si="15"/>
        <v>10876800.000000002</v>
      </c>
      <c r="H346" s="9">
        <f>G346*'02_Actual_Revenue'!H346</f>
        <v>2175360.0000000005</v>
      </c>
      <c r="I346" s="9">
        <f t="shared" si="16"/>
        <v>8701440.0000000019</v>
      </c>
      <c r="J346" s="13">
        <f t="shared" si="17"/>
        <v>0.8</v>
      </c>
    </row>
    <row r="347" spans="1:10">
      <c r="A347" s="5">
        <f>'02_Actual_Revenue'!A347</f>
        <v>45901</v>
      </c>
      <c r="B347" s="3" t="str">
        <f>'02_Actual_Revenue'!B347</f>
        <v>P007</v>
      </c>
      <c r="C347" s="3" t="str">
        <f>'02_Actual_Revenue'!C347</f>
        <v>R02</v>
      </c>
      <c r="D347" s="7">
        <f>'02_Actual_Revenue'!D347</f>
        <v>340000</v>
      </c>
      <c r="E347" s="7">
        <f>D347*(1+_xlfn.XLOOKUP("Cloud &amp; Software",'01_Assumptions'!$A$4:$A$6,'01_Assumptions'!$B$4:$B$6))</f>
        <v>374000.00000000006</v>
      </c>
      <c r="F347" s="3">
        <f>'02_Actual_Revenue'!E347*(1+_xlfn.XLOOKUP("Cloud &amp; Software",'01_Assumptions'!$A$4:$A$6,'01_Assumptions'!$C$4:$C$6))</f>
        <v>24.72</v>
      </c>
      <c r="G347" s="9">
        <f t="shared" si="15"/>
        <v>9245280.0000000019</v>
      </c>
      <c r="H347" s="9">
        <f>G347*'02_Actual_Revenue'!H347</f>
        <v>1849056.0000000005</v>
      </c>
      <c r="I347" s="9">
        <f t="shared" si="16"/>
        <v>7396224.0000000019</v>
      </c>
      <c r="J347" s="13">
        <f t="shared" si="17"/>
        <v>0.8</v>
      </c>
    </row>
    <row r="348" spans="1:10">
      <c r="A348" s="5">
        <f>'02_Actual_Revenue'!A348</f>
        <v>45901</v>
      </c>
      <c r="B348" s="3" t="str">
        <f>'02_Actual_Revenue'!B348</f>
        <v>P007</v>
      </c>
      <c r="C348" s="3" t="str">
        <f>'02_Actual_Revenue'!C348</f>
        <v>R03</v>
      </c>
      <c r="D348" s="7">
        <f>'02_Actual_Revenue'!D348</f>
        <v>380000</v>
      </c>
      <c r="E348" s="7">
        <f>D348*(1+_xlfn.XLOOKUP("Cloud &amp; Software",'01_Assumptions'!$A$4:$A$6,'01_Assumptions'!$B$4:$B$6))</f>
        <v>418000.00000000006</v>
      </c>
      <c r="F348" s="3">
        <f>'02_Actual_Revenue'!E348*(1+_xlfn.XLOOKUP("Cloud &amp; Software",'01_Assumptions'!$A$4:$A$6,'01_Assumptions'!$C$4:$C$6))</f>
        <v>24.72</v>
      </c>
      <c r="G348" s="9">
        <f t="shared" si="15"/>
        <v>10332960.000000002</v>
      </c>
      <c r="H348" s="9">
        <f>G348*'02_Actual_Revenue'!H348</f>
        <v>2066592.0000000005</v>
      </c>
      <c r="I348" s="9">
        <f t="shared" si="16"/>
        <v>8266368.0000000019</v>
      </c>
      <c r="J348" s="13">
        <f t="shared" si="17"/>
        <v>0.8</v>
      </c>
    </row>
    <row r="349" spans="1:10">
      <c r="A349" s="5">
        <f>'02_Actual_Revenue'!A349</f>
        <v>45901</v>
      </c>
      <c r="B349" s="3" t="str">
        <f>'02_Actual_Revenue'!B349</f>
        <v>P007</v>
      </c>
      <c r="C349" s="3" t="str">
        <f>'02_Actual_Revenue'!C349</f>
        <v>R04</v>
      </c>
      <c r="D349" s="7">
        <f>'02_Actual_Revenue'!D349</f>
        <v>220000</v>
      </c>
      <c r="E349" s="7">
        <f>D349*(1+_xlfn.XLOOKUP("Cloud &amp; Software",'01_Assumptions'!$A$4:$A$6,'01_Assumptions'!$B$4:$B$6))</f>
        <v>242000.00000000003</v>
      </c>
      <c r="F349" s="3">
        <f>'02_Actual_Revenue'!E349*(1+_xlfn.XLOOKUP("Cloud &amp; Software",'01_Assumptions'!$A$4:$A$6,'01_Assumptions'!$C$4:$C$6))</f>
        <v>24.72</v>
      </c>
      <c r="G349" s="9">
        <f t="shared" si="15"/>
        <v>5982240</v>
      </c>
      <c r="H349" s="9">
        <f>G349*'02_Actual_Revenue'!H349</f>
        <v>1196448</v>
      </c>
      <c r="I349" s="9">
        <f t="shared" si="16"/>
        <v>4785792</v>
      </c>
      <c r="J349" s="13">
        <f t="shared" si="17"/>
        <v>0.8</v>
      </c>
    </row>
    <row r="350" spans="1:10">
      <c r="A350" s="5">
        <f>'02_Actual_Revenue'!A350</f>
        <v>45901</v>
      </c>
      <c r="B350" s="3" t="str">
        <f>'02_Actual_Revenue'!B350</f>
        <v>P008</v>
      </c>
      <c r="C350" s="3" t="str">
        <f>'02_Actual_Revenue'!C350</f>
        <v>R01</v>
      </c>
      <c r="D350" s="7">
        <f>'02_Actual_Revenue'!D350</f>
        <v>1200000</v>
      </c>
      <c r="E350" s="7">
        <f>D350*(1+_xlfn.XLOOKUP("Digital Services",'01_Assumptions'!$A$4:$A$6,'01_Assumptions'!$B$4:$B$6))</f>
        <v>1296000</v>
      </c>
      <c r="F350" s="3">
        <f>'02_Actual_Revenue'!E350*(1+_xlfn.XLOOKUP("Digital Services",'01_Assumptions'!$A$4:$A$6,'01_Assumptions'!$C$4:$C$6))</f>
        <v>12.24</v>
      </c>
      <c r="G350" s="9">
        <f t="shared" si="15"/>
        <v>15863040</v>
      </c>
      <c r="H350" s="9">
        <f>G350*'02_Actual_Revenue'!H350</f>
        <v>4758912</v>
      </c>
      <c r="I350" s="9">
        <f t="shared" si="16"/>
        <v>11104128</v>
      </c>
      <c r="J350" s="13">
        <f t="shared" si="17"/>
        <v>0.7</v>
      </c>
    </row>
    <row r="351" spans="1:10">
      <c r="A351" s="5">
        <f>'02_Actual_Revenue'!A351</f>
        <v>45901</v>
      </c>
      <c r="B351" s="3" t="str">
        <f>'02_Actual_Revenue'!B351</f>
        <v>P008</v>
      </c>
      <c r="C351" s="3" t="str">
        <f>'02_Actual_Revenue'!C351</f>
        <v>R02</v>
      </c>
      <c r="D351" s="7">
        <f>'02_Actual_Revenue'!D351</f>
        <v>1020000</v>
      </c>
      <c r="E351" s="7">
        <f>D351*(1+_xlfn.XLOOKUP("Digital Services",'01_Assumptions'!$A$4:$A$6,'01_Assumptions'!$B$4:$B$6))</f>
        <v>1101600</v>
      </c>
      <c r="F351" s="3">
        <f>'02_Actual_Revenue'!E351*(1+_xlfn.XLOOKUP("Digital Services",'01_Assumptions'!$A$4:$A$6,'01_Assumptions'!$C$4:$C$6))</f>
        <v>12.24</v>
      </c>
      <c r="G351" s="9">
        <f t="shared" si="15"/>
        <v>13483584</v>
      </c>
      <c r="H351" s="9">
        <f>G351*'02_Actual_Revenue'!H351</f>
        <v>4045075.1999999997</v>
      </c>
      <c r="I351" s="9">
        <f t="shared" si="16"/>
        <v>9438508.8000000007</v>
      </c>
      <c r="J351" s="13">
        <f t="shared" si="17"/>
        <v>0.70000000000000007</v>
      </c>
    </row>
    <row r="352" spans="1:10">
      <c r="A352" s="5">
        <f>'02_Actual_Revenue'!A352</f>
        <v>45901</v>
      </c>
      <c r="B352" s="3" t="str">
        <f>'02_Actual_Revenue'!B352</f>
        <v>P008</v>
      </c>
      <c r="C352" s="3" t="str">
        <f>'02_Actual_Revenue'!C352</f>
        <v>R03</v>
      </c>
      <c r="D352" s="7">
        <f>'02_Actual_Revenue'!D352</f>
        <v>1140000</v>
      </c>
      <c r="E352" s="7">
        <f>D352*(1+_xlfn.XLOOKUP("Digital Services",'01_Assumptions'!$A$4:$A$6,'01_Assumptions'!$B$4:$B$6))</f>
        <v>1231200</v>
      </c>
      <c r="F352" s="3">
        <f>'02_Actual_Revenue'!E352*(1+_xlfn.XLOOKUP("Digital Services",'01_Assumptions'!$A$4:$A$6,'01_Assumptions'!$C$4:$C$6))</f>
        <v>12.24</v>
      </c>
      <c r="G352" s="9">
        <f t="shared" si="15"/>
        <v>15069888</v>
      </c>
      <c r="H352" s="9">
        <f>G352*'02_Actual_Revenue'!H352</f>
        <v>4520966.3999999994</v>
      </c>
      <c r="I352" s="9">
        <f t="shared" si="16"/>
        <v>10548921.600000001</v>
      </c>
      <c r="J352" s="13">
        <f t="shared" si="17"/>
        <v>0.70000000000000007</v>
      </c>
    </row>
    <row r="353" spans="1:10">
      <c r="A353" s="5">
        <f>'02_Actual_Revenue'!A353</f>
        <v>45901</v>
      </c>
      <c r="B353" s="3" t="str">
        <f>'02_Actual_Revenue'!B353</f>
        <v>P008</v>
      </c>
      <c r="C353" s="3" t="str">
        <f>'02_Actual_Revenue'!C353</f>
        <v>R04</v>
      </c>
      <c r="D353" s="7">
        <f>'02_Actual_Revenue'!D353</f>
        <v>660000</v>
      </c>
      <c r="E353" s="7">
        <f>D353*(1+_xlfn.XLOOKUP("Digital Services",'01_Assumptions'!$A$4:$A$6,'01_Assumptions'!$B$4:$B$6))</f>
        <v>712800</v>
      </c>
      <c r="F353" s="3">
        <f>'02_Actual_Revenue'!E353*(1+_xlfn.XLOOKUP("Digital Services",'01_Assumptions'!$A$4:$A$6,'01_Assumptions'!$C$4:$C$6))</f>
        <v>12.24</v>
      </c>
      <c r="G353" s="9">
        <f t="shared" si="15"/>
        <v>8724672</v>
      </c>
      <c r="H353" s="9">
        <f>G353*'02_Actual_Revenue'!H353</f>
        <v>2617401.6</v>
      </c>
      <c r="I353" s="9">
        <f t="shared" si="16"/>
        <v>6107270.4000000004</v>
      </c>
      <c r="J353" s="13">
        <f t="shared" si="17"/>
        <v>0.70000000000000007</v>
      </c>
    </row>
    <row r="354" spans="1:10">
      <c r="A354" s="5">
        <f>'02_Actual_Revenue'!A354</f>
        <v>45901</v>
      </c>
      <c r="B354" s="3" t="str">
        <f>'02_Actual_Revenue'!B354</f>
        <v>P009</v>
      </c>
      <c r="C354" s="3" t="str">
        <f>'02_Actual_Revenue'!C354</f>
        <v>R01</v>
      </c>
      <c r="D354" s="7">
        <f>'02_Actual_Revenue'!D354</f>
        <v>800000</v>
      </c>
      <c r="E354" s="7">
        <f>D354*(1+_xlfn.XLOOKUP("Digital Services",'01_Assumptions'!$A$4:$A$6,'01_Assumptions'!$B$4:$B$6))</f>
        <v>864000</v>
      </c>
      <c r="F354" s="3">
        <f>'02_Actual_Revenue'!E354*(1+_xlfn.XLOOKUP("Digital Services",'01_Assumptions'!$A$4:$A$6,'01_Assumptions'!$C$4:$C$6))</f>
        <v>15.3</v>
      </c>
      <c r="G354" s="9">
        <f t="shared" si="15"/>
        <v>13219200</v>
      </c>
      <c r="H354" s="9">
        <f>G354*'02_Actual_Revenue'!H354</f>
        <v>4626720</v>
      </c>
      <c r="I354" s="9">
        <f t="shared" si="16"/>
        <v>8592480</v>
      </c>
      <c r="J354" s="13">
        <f t="shared" si="17"/>
        <v>0.65</v>
      </c>
    </row>
    <row r="355" spans="1:10">
      <c r="A355" s="5">
        <f>'02_Actual_Revenue'!A355</f>
        <v>45901</v>
      </c>
      <c r="B355" s="3" t="str">
        <f>'02_Actual_Revenue'!B355</f>
        <v>P009</v>
      </c>
      <c r="C355" s="3" t="str">
        <f>'02_Actual_Revenue'!C355</f>
        <v>R02</v>
      </c>
      <c r="D355" s="7">
        <f>'02_Actual_Revenue'!D355</f>
        <v>680000</v>
      </c>
      <c r="E355" s="7">
        <f>D355*(1+_xlfn.XLOOKUP("Digital Services",'01_Assumptions'!$A$4:$A$6,'01_Assumptions'!$B$4:$B$6))</f>
        <v>734400</v>
      </c>
      <c r="F355" s="3">
        <f>'02_Actual_Revenue'!E355*(1+_xlfn.XLOOKUP("Digital Services",'01_Assumptions'!$A$4:$A$6,'01_Assumptions'!$C$4:$C$6))</f>
        <v>15.3</v>
      </c>
      <c r="G355" s="9">
        <f t="shared" si="15"/>
        <v>11236320</v>
      </c>
      <c r="H355" s="9">
        <f>G355*'02_Actual_Revenue'!H355</f>
        <v>3932711.9999999995</v>
      </c>
      <c r="I355" s="9">
        <f t="shared" si="16"/>
        <v>7303608</v>
      </c>
      <c r="J355" s="13">
        <f t="shared" si="17"/>
        <v>0.65</v>
      </c>
    </row>
    <row r="356" spans="1:10">
      <c r="A356" s="5">
        <f>'02_Actual_Revenue'!A356</f>
        <v>45901</v>
      </c>
      <c r="B356" s="3" t="str">
        <f>'02_Actual_Revenue'!B356</f>
        <v>P009</v>
      </c>
      <c r="C356" s="3" t="str">
        <f>'02_Actual_Revenue'!C356</f>
        <v>R03</v>
      </c>
      <c r="D356" s="7">
        <f>'02_Actual_Revenue'!D356</f>
        <v>760000</v>
      </c>
      <c r="E356" s="7">
        <f>D356*(1+_xlfn.XLOOKUP("Digital Services",'01_Assumptions'!$A$4:$A$6,'01_Assumptions'!$B$4:$B$6))</f>
        <v>820800</v>
      </c>
      <c r="F356" s="3">
        <f>'02_Actual_Revenue'!E356*(1+_xlfn.XLOOKUP("Digital Services",'01_Assumptions'!$A$4:$A$6,'01_Assumptions'!$C$4:$C$6))</f>
        <v>15.3</v>
      </c>
      <c r="G356" s="9">
        <f t="shared" si="15"/>
        <v>12558240</v>
      </c>
      <c r="H356" s="9">
        <f>G356*'02_Actual_Revenue'!H356</f>
        <v>4395384</v>
      </c>
      <c r="I356" s="9">
        <f t="shared" si="16"/>
        <v>8162856</v>
      </c>
      <c r="J356" s="13">
        <f t="shared" si="17"/>
        <v>0.65</v>
      </c>
    </row>
    <row r="357" spans="1:10">
      <c r="A357" s="5">
        <f>'02_Actual_Revenue'!A357</f>
        <v>45901</v>
      </c>
      <c r="B357" s="3" t="str">
        <f>'02_Actual_Revenue'!B357</f>
        <v>P009</v>
      </c>
      <c r="C357" s="3" t="str">
        <f>'02_Actual_Revenue'!C357</f>
        <v>R04</v>
      </c>
      <c r="D357" s="7">
        <f>'02_Actual_Revenue'!D357</f>
        <v>440000</v>
      </c>
      <c r="E357" s="7">
        <f>D357*(1+_xlfn.XLOOKUP("Digital Services",'01_Assumptions'!$A$4:$A$6,'01_Assumptions'!$B$4:$B$6))</f>
        <v>475200.00000000006</v>
      </c>
      <c r="F357" s="3">
        <f>'02_Actual_Revenue'!E357*(1+_xlfn.XLOOKUP("Digital Services",'01_Assumptions'!$A$4:$A$6,'01_Assumptions'!$C$4:$C$6))</f>
        <v>15.3</v>
      </c>
      <c r="G357" s="9">
        <f t="shared" si="15"/>
        <v>7270560.0000000009</v>
      </c>
      <c r="H357" s="9">
        <f>G357*'02_Actual_Revenue'!H357</f>
        <v>2544696</v>
      </c>
      <c r="I357" s="9">
        <f t="shared" si="16"/>
        <v>4725864.0000000009</v>
      </c>
      <c r="J357" s="13">
        <f t="shared" si="17"/>
        <v>0.65</v>
      </c>
    </row>
    <row r="358" spans="1:10">
      <c r="A358" s="5">
        <f>'02_Actual_Revenue'!A358</f>
        <v>45901</v>
      </c>
      <c r="B358" s="3" t="str">
        <f>'02_Actual_Revenue'!B358</f>
        <v>P010</v>
      </c>
      <c r="C358" s="3" t="str">
        <f>'02_Actual_Revenue'!C358</f>
        <v>R01</v>
      </c>
      <c r="D358" s="7">
        <f>'02_Actual_Revenue'!D358</f>
        <v>900000</v>
      </c>
      <c r="E358" s="7">
        <f>D358*(1+_xlfn.XLOOKUP("Digital Services",'01_Assumptions'!$A$4:$A$6,'01_Assumptions'!$B$4:$B$6))</f>
        <v>972000.00000000012</v>
      </c>
      <c r="F358" s="3">
        <f>'02_Actual_Revenue'!E358*(1+_xlfn.XLOOKUP("Digital Services",'01_Assumptions'!$A$4:$A$6,'01_Assumptions'!$C$4:$C$6))</f>
        <v>8.16</v>
      </c>
      <c r="G358" s="9">
        <f t="shared" si="15"/>
        <v>7931520.0000000009</v>
      </c>
      <c r="H358" s="9">
        <f>G358*'02_Actual_Revenue'!H358</f>
        <v>1189728</v>
      </c>
      <c r="I358" s="9">
        <f t="shared" si="16"/>
        <v>6741792.0000000009</v>
      </c>
      <c r="J358" s="13">
        <f t="shared" si="17"/>
        <v>0.85</v>
      </c>
    </row>
    <row r="359" spans="1:10">
      <c r="A359" s="5">
        <f>'02_Actual_Revenue'!A359</f>
        <v>45901</v>
      </c>
      <c r="B359" s="3" t="str">
        <f>'02_Actual_Revenue'!B359</f>
        <v>P010</v>
      </c>
      <c r="C359" s="3" t="str">
        <f>'02_Actual_Revenue'!C359</f>
        <v>R02</v>
      </c>
      <c r="D359" s="7">
        <f>'02_Actual_Revenue'!D359</f>
        <v>765000</v>
      </c>
      <c r="E359" s="7">
        <f>D359*(1+_xlfn.XLOOKUP("Digital Services",'01_Assumptions'!$A$4:$A$6,'01_Assumptions'!$B$4:$B$6))</f>
        <v>826200</v>
      </c>
      <c r="F359" s="3">
        <f>'02_Actual_Revenue'!E359*(1+_xlfn.XLOOKUP("Digital Services",'01_Assumptions'!$A$4:$A$6,'01_Assumptions'!$C$4:$C$6))</f>
        <v>8.16</v>
      </c>
      <c r="G359" s="9">
        <f t="shared" si="15"/>
        <v>6741792</v>
      </c>
      <c r="H359" s="9">
        <f>G359*'02_Actual_Revenue'!H359</f>
        <v>1011268.7999999999</v>
      </c>
      <c r="I359" s="9">
        <f t="shared" si="16"/>
        <v>5730523.2000000002</v>
      </c>
      <c r="J359" s="13">
        <f t="shared" si="17"/>
        <v>0.85</v>
      </c>
    </row>
    <row r="360" spans="1:10">
      <c r="A360" s="5">
        <f>'02_Actual_Revenue'!A360</f>
        <v>45901</v>
      </c>
      <c r="B360" s="3" t="str">
        <f>'02_Actual_Revenue'!B360</f>
        <v>P010</v>
      </c>
      <c r="C360" s="3" t="str">
        <f>'02_Actual_Revenue'!C360</f>
        <v>R03</v>
      </c>
      <c r="D360" s="7">
        <f>'02_Actual_Revenue'!D360</f>
        <v>855000</v>
      </c>
      <c r="E360" s="7">
        <f>D360*(1+_xlfn.XLOOKUP("Digital Services",'01_Assumptions'!$A$4:$A$6,'01_Assumptions'!$B$4:$B$6))</f>
        <v>923400.00000000012</v>
      </c>
      <c r="F360" s="3">
        <f>'02_Actual_Revenue'!E360*(1+_xlfn.XLOOKUP("Digital Services",'01_Assumptions'!$A$4:$A$6,'01_Assumptions'!$C$4:$C$6))</f>
        <v>8.16</v>
      </c>
      <c r="G360" s="9">
        <f t="shared" si="15"/>
        <v>7534944.0000000009</v>
      </c>
      <c r="H360" s="9">
        <f>G360*'02_Actual_Revenue'!H360</f>
        <v>1130241.6000000001</v>
      </c>
      <c r="I360" s="9">
        <f t="shared" si="16"/>
        <v>6404702.4000000004</v>
      </c>
      <c r="J360" s="13">
        <f t="shared" si="17"/>
        <v>0.85</v>
      </c>
    </row>
    <row r="361" spans="1:10">
      <c r="A361" s="5">
        <f>'02_Actual_Revenue'!A361</f>
        <v>45901</v>
      </c>
      <c r="B361" s="3" t="str">
        <f>'02_Actual_Revenue'!B361</f>
        <v>P010</v>
      </c>
      <c r="C361" s="3" t="str">
        <f>'02_Actual_Revenue'!C361</f>
        <v>R04</v>
      </c>
      <c r="D361" s="7">
        <f>'02_Actual_Revenue'!D361</f>
        <v>495000</v>
      </c>
      <c r="E361" s="7">
        <f>D361*(1+_xlfn.XLOOKUP("Digital Services",'01_Assumptions'!$A$4:$A$6,'01_Assumptions'!$B$4:$B$6))</f>
        <v>534600</v>
      </c>
      <c r="F361" s="3">
        <f>'02_Actual_Revenue'!E361*(1+_xlfn.XLOOKUP("Digital Services",'01_Assumptions'!$A$4:$A$6,'01_Assumptions'!$C$4:$C$6))</f>
        <v>8.16</v>
      </c>
      <c r="G361" s="9">
        <f t="shared" si="15"/>
        <v>4362336</v>
      </c>
      <c r="H361" s="9">
        <f>G361*'02_Actual_Revenue'!H361</f>
        <v>654350.4</v>
      </c>
      <c r="I361" s="9">
        <f t="shared" si="16"/>
        <v>3707985.6</v>
      </c>
      <c r="J361" s="13">
        <f t="shared" si="17"/>
        <v>0.85</v>
      </c>
    </row>
    <row r="362" spans="1:10">
      <c r="A362" s="5">
        <f>'02_Actual_Revenue'!A362</f>
        <v>45931</v>
      </c>
      <c r="B362" s="3" t="str">
        <f>'02_Actual_Revenue'!B362</f>
        <v>P001</v>
      </c>
      <c r="C362" s="3" t="str">
        <f>'02_Actual_Revenue'!C362</f>
        <v>R01</v>
      </c>
      <c r="D362" s="7">
        <f>'02_Actual_Revenue'!D362</f>
        <v>262500</v>
      </c>
      <c r="E362" s="7">
        <f>D362*(1+_xlfn.XLOOKUP("Devices",'01_Assumptions'!$A$4:$A$6,'01_Assumptions'!$B$4:$B$6))</f>
        <v>278250</v>
      </c>
      <c r="F362" s="3">
        <f>'02_Actual_Revenue'!E362*(1+_xlfn.XLOOKUP("Devices",'01_Assumptions'!$A$4:$A$6,'01_Assumptions'!$C$4:$C$6))</f>
        <v>712.98</v>
      </c>
      <c r="G362" s="9">
        <f t="shared" si="15"/>
        <v>198386685</v>
      </c>
      <c r="H362" s="9">
        <f>G362*'02_Actual_Revenue'!H362</f>
        <v>122999744.7</v>
      </c>
      <c r="I362" s="9">
        <f t="shared" si="16"/>
        <v>75386940.299999997</v>
      </c>
      <c r="J362" s="13">
        <f t="shared" si="17"/>
        <v>0.38</v>
      </c>
    </row>
    <row r="363" spans="1:10">
      <c r="A363" s="5">
        <f>'02_Actual_Revenue'!A363</f>
        <v>45931</v>
      </c>
      <c r="B363" s="3" t="str">
        <f>'02_Actual_Revenue'!B363</f>
        <v>P001</v>
      </c>
      <c r="C363" s="3" t="str">
        <f>'02_Actual_Revenue'!C363</f>
        <v>R02</v>
      </c>
      <c r="D363" s="7">
        <f>'02_Actual_Revenue'!D363</f>
        <v>223125</v>
      </c>
      <c r="E363" s="7">
        <f>D363*(1+_xlfn.XLOOKUP("Devices",'01_Assumptions'!$A$4:$A$6,'01_Assumptions'!$B$4:$B$6))</f>
        <v>236512.5</v>
      </c>
      <c r="F363" s="3">
        <f>'02_Actual_Revenue'!E363*(1+_xlfn.XLOOKUP("Devices",'01_Assumptions'!$A$4:$A$6,'01_Assumptions'!$C$4:$C$6))</f>
        <v>712.98</v>
      </c>
      <c r="G363" s="9">
        <f t="shared" si="15"/>
        <v>168628682.25</v>
      </c>
      <c r="H363" s="9">
        <f>G363*'02_Actual_Revenue'!H363</f>
        <v>104549782.995</v>
      </c>
      <c r="I363" s="9">
        <f t="shared" si="16"/>
        <v>64078899.254999995</v>
      </c>
      <c r="J363" s="13">
        <f t="shared" si="17"/>
        <v>0.37999999999999995</v>
      </c>
    </row>
    <row r="364" spans="1:10">
      <c r="A364" s="5">
        <f>'02_Actual_Revenue'!A364</f>
        <v>45931</v>
      </c>
      <c r="B364" s="3" t="str">
        <f>'02_Actual_Revenue'!B364</f>
        <v>P001</v>
      </c>
      <c r="C364" s="3" t="str">
        <f>'02_Actual_Revenue'!C364</f>
        <v>R03</v>
      </c>
      <c r="D364" s="7">
        <f>'02_Actual_Revenue'!D364</f>
        <v>249375</v>
      </c>
      <c r="E364" s="7">
        <f>D364*(1+_xlfn.XLOOKUP("Devices",'01_Assumptions'!$A$4:$A$6,'01_Assumptions'!$B$4:$B$6))</f>
        <v>264337.5</v>
      </c>
      <c r="F364" s="3">
        <f>'02_Actual_Revenue'!E364*(1+_xlfn.XLOOKUP("Devices",'01_Assumptions'!$A$4:$A$6,'01_Assumptions'!$C$4:$C$6))</f>
        <v>712.98</v>
      </c>
      <c r="G364" s="9">
        <f t="shared" si="15"/>
        <v>188467350.75</v>
      </c>
      <c r="H364" s="9">
        <f>G364*'02_Actual_Revenue'!H364</f>
        <v>116849757.465</v>
      </c>
      <c r="I364" s="9">
        <f t="shared" si="16"/>
        <v>71617593.284999996</v>
      </c>
      <c r="J364" s="13">
        <f t="shared" si="17"/>
        <v>0.38</v>
      </c>
    </row>
    <row r="365" spans="1:10">
      <c r="A365" s="5">
        <f>'02_Actual_Revenue'!A365</f>
        <v>45931</v>
      </c>
      <c r="B365" s="3" t="str">
        <f>'02_Actual_Revenue'!B365</f>
        <v>P001</v>
      </c>
      <c r="C365" s="3" t="str">
        <f>'02_Actual_Revenue'!C365</f>
        <v>R04</v>
      </c>
      <c r="D365" s="7">
        <f>'02_Actual_Revenue'!D365</f>
        <v>144375</v>
      </c>
      <c r="E365" s="7">
        <f>D365*(1+_xlfn.XLOOKUP("Devices",'01_Assumptions'!$A$4:$A$6,'01_Assumptions'!$B$4:$B$6))</f>
        <v>153037.5</v>
      </c>
      <c r="F365" s="3">
        <f>'02_Actual_Revenue'!E365*(1+_xlfn.XLOOKUP("Devices",'01_Assumptions'!$A$4:$A$6,'01_Assumptions'!$C$4:$C$6))</f>
        <v>712.98</v>
      </c>
      <c r="G365" s="9">
        <f t="shared" si="15"/>
        <v>109112676.75</v>
      </c>
      <c r="H365" s="9">
        <f>G365*'02_Actual_Revenue'!H365</f>
        <v>67649859.584999993</v>
      </c>
      <c r="I365" s="9">
        <f t="shared" si="16"/>
        <v>41462817.165000007</v>
      </c>
      <c r="J365" s="13">
        <f t="shared" si="17"/>
        <v>0.38000000000000006</v>
      </c>
    </row>
    <row r="366" spans="1:10">
      <c r="A366" s="5">
        <f>'02_Actual_Revenue'!A366</f>
        <v>45931</v>
      </c>
      <c r="B366" s="3" t="str">
        <f>'02_Actual_Revenue'!B366</f>
        <v>P002</v>
      </c>
      <c r="C366" s="3" t="str">
        <f>'02_Actual_Revenue'!C366</f>
        <v>R01</v>
      </c>
      <c r="D366" s="7">
        <f>'02_Actual_Revenue'!D366</f>
        <v>126000</v>
      </c>
      <c r="E366" s="7">
        <f>D366*(1+_xlfn.XLOOKUP("Devices",'01_Assumptions'!$A$4:$A$6,'01_Assumptions'!$B$4:$B$6))</f>
        <v>133560</v>
      </c>
      <c r="F366" s="3">
        <f>'02_Actual_Revenue'!E366*(1+_xlfn.XLOOKUP("Devices",'01_Assumptions'!$A$4:$A$6,'01_Assumptions'!$C$4:$C$6))</f>
        <v>1018.98</v>
      </c>
      <c r="G366" s="9">
        <f t="shared" si="15"/>
        <v>136094968.80000001</v>
      </c>
      <c r="H366" s="9">
        <f>G366*'02_Actual_Revenue'!H366</f>
        <v>78935081.903999999</v>
      </c>
      <c r="I366" s="9">
        <f t="shared" si="16"/>
        <v>57159886.896000013</v>
      </c>
      <c r="J366" s="13">
        <f t="shared" si="17"/>
        <v>0.42000000000000004</v>
      </c>
    </row>
    <row r="367" spans="1:10">
      <c r="A367" s="5">
        <f>'02_Actual_Revenue'!A367</f>
        <v>45931</v>
      </c>
      <c r="B367" s="3" t="str">
        <f>'02_Actual_Revenue'!B367</f>
        <v>P002</v>
      </c>
      <c r="C367" s="3" t="str">
        <f>'02_Actual_Revenue'!C367</f>
        <v>R02</v>
      </c>
      <c r="D367" s="7">
        <f>'02_Actual_Revenue'!D367</f>
        <v>107100</v>
      </c>
      <c r="E367" s="7">
        <f>D367*(1+_xlfn.XLOOKUP("Devices",'01_Assumptions'!$A$4:$A$6,'01_Assumptions'!$B$4:$B$6))</f>
        <v>113526</v>
      </c>
      <c r="F367" s="3">
        <f>'02_Actual_Revenue'!E367*(1+_xlfn.XLOOKUP("Devices",'01_Assumptions'!$A$4:$A$6,'01_Assumptions'!$C$4:$C$6))</f>
        <v>1018.98</v>
      </c>
      <c r="G367" s="9">
        <f t="shared" si="15"/>
        <v>115680723.48</v>
      </c>
      <c r="H367" s="9">
        <f>G367*'02_Actual_Revenue'!H367</f>
        <v>67094819.6184</v>
      </c>
      <c r="I367" s="9">
        <f t="shared" si="16"/>
        <v>48585903.861600004</v>
      </c>
      <c r="J367" s="13">
        <f t="shared" si="17"/>
        <v>0.42000000000000004</v>
      </c>
    </row>
    <row r="368" spans="1:10">
      <c r="A368" s="5">
        <f>'02_Actual_Revenue'!A368</f>
        <v>45931</v>
      </c>
      <c r="B368" s="3" t="str">
        <f>'02_Actual_Revenue'!B368</f>
        <v>P002</v>
      </c>
      <c r="C368" s="3" t="str">
        <f>'02_Actual_Revenue'!C368</f>
        <v>R03</v>
      </c>
      <c r="D368" s="7">
        <f>'02_Actual_Revenue'!D368</f>
        <v>119700</v>
      </c>
      <c r="E368" s="7">
        <f>D368*(1+_xlfn.XLOOKUP("Devices",'01_Assumptions'!$A$4:$A$6,'01_Assumptions'!$B$4:$B$6))</f>
        <v>126882</v>
      </c>
      <c r="F368" s="3">
        <f>'02_Actual_Revenue'!E368*(1+_xlfn.XLOOKUP("Devices",'01_Assumptions'!$A$4:$A$6,'01_Assumptions'!$C$4:$C$6))</f>
        <v>1018.98</v>
      </c>
      <c r="G368" s="9">
        <f t="shared" si="15"/>
        <v>129290220.36</v>
      </c>
      <c r="H368" s="9">
        <f>G368*'02_Actual_Revenue'!H368</f>
        <v>74988327.808799997</v>
      </c>
      <c r="I368" s="9">
        <f t="shared" si="16"/>
        <v>54301892.551200002</v>
      </c>
      <c r="J368" s="13">
        <f t="shared" si="17"/>
        <v>0.42000000000000004</v>
      </c>
    </row>
    <row r="369" spans="1:10">
      <c r="A369" s="5">
        <f>'02_Actual_Revenue'!A369</f>
        <v>45931</v>
      </c>
      <c r="B369" s="3" t="str">
        <f>'02_Actual_Revenue'!B369</f>
        <v>P002</v>
      </c>
      <c r="C369" s="3" t="str">
        <f>'02_Actual_Revenue'!C369</f>
        <v>R04</v>
      </c>
      <c r="D369" s="7">
        <f>'02_Actual_Revenue'!D369</f>
        <v>69300</v>
      </c>
      <c r="E369" s="7">
        <f>D369*(1+_xlfn.XLOOKUP("Devices",'01_Assumptions'!$A$4:$A$6,'01_Assumptions'!$B$4:$B$6))</f>
        <v>73458</v>
      </c>
      <c r="F369" s="3">
        <f>'02_Actual_Revenue'!E369*(1+_xlfn.XLOOKUP("Devices",'01_Assumptions'!$A$4:$A$6,'01_Assumptions'!$C$4:$C$6))</f>
        <v>1018.98</v>
      </c>
      <c r="G369" s="9">
        <f t="shared" si="15"/>
        <v>74852232.840000004</v>
      </c>
      <c r="H369" s="9">
        <f>G369*'02_Actual_Revenue'!H369</f>
        <v>43414295.047200002</v>
      </c>
      <c r="I369" s="9">
        <f t="shared" si="16"/>
        <v>31437937.792800002</v>
      </c>
      <c r="J369" s="13">
        <f t="shared" si="17"/>
        <v>0.42</v>
      </c>
    </row>
    <row r="370" spans="1:10">
      <c r="A370" s="5">
        <f>'02_Actual_Revenue'!A370</f>
        <v>45931</v>
      </c>
      <c r="B370" s="3" t="str">
        <f>'02_Actual_Revenue'!B370</f>
        <v>P003</v>
      </c>
      <c r="C370" s="3" t="str">
        <f>'02_Actual_Revenue'!C370</f>
        <v>R01</v>
      </c>
      <c r="D370" s="7">
        <f>'02_Actual_Revenue'!D370</f>
        <v>147000</v>
      </c>
      <c r="E370" s="7">
        <f>D370*(1+_xlfn.XLOOKUP("Devices",'01_Assumptions'!$A$4:$A$6,'01_Assumptions'!$B$4:$B$6))</f>
        <v>155820</v>
      </c>
      <c r="F370" s="3">
        <f>'02_Actual_Revenue'!E370*(1+_xlfn.XLOOKUP("Devices",'01_Assumptions'!$A$4:$A$6,'01_Assumptions'!$C$4:$C$6))</f>
        <v>559.98</v>
      </c>
      <c r="G370" s="9">
        <f t="shared" si="15"/>
        <v>87256083.600000009</v>
      </c>
      <c r="H370" s="9">
        <f>G370*'02_Actual_Revenue'!H370</f>
        <v>52353650.160000004</v>
      </c>
      <c r="I370" s="9">
        <f t="shared" si="16"/>
        <v>34902433.440000005</v>
      </c>
      <c r="J370" s="13">
        <f t="shared" si="17"/>
        <v>0.4</v>
      </c>
    </row>
    <row r="371" spans="1:10">
      <c r="A371" s="5">
        <f>'02_Actual_Revenue'!A371</f>
        <v>45931</v>
      </c>
      <c r="B371" s="3" t="str">
        <f>'02_Actual_Revenue'!B371</f>
        <v>P003</v>
      </c>
      <c r="C371" s="3" t="str">
        <f>'02_Actual_Revenue'!C371</f>
        <v>R02</v>
      </c>
      <c r="D371" s="7">
        <f>'02_Actual_Revenue'!D371</f>
        <v>124950</v>
      </c>
      <c r="E371" s="7">
        <f>D371*(1+_xlfn.XLOOKUP("Devices",'01_Assumptions'!$A$4:$A$6,'01_Assumptions'!$B$4:$B$6))</f>
        <v>132447</v>
      </c>
      <c r="F371" s="3">
        <f>'02_Actual_Revenue'!E371*(1+_xlfn.XLOOKUP("Devices",'01_Assumptions'!$A$4:$A$6,'01_Assumptions'!$C$4:$C$6))</f>
        <v>559.98</v>
      </c>
      <c r="G371" s="9">
        <f t="shared" si="15"/>
        <v>74167671.060000002</v>
      </c>
      <c r="H371" s="9">
        <f>G371*'02_Actual_Revenue'!H371</f>
        <v>44500602.636</v>
      </c>
      <c r="I371" s="9">
        <f t="shared" si="16"/>
        <v>29667068.424000002</v>
      </c>
      <c r="J371" s="13">
        <f t="shared" si="17"/>
        <v>0.4</v>
      </c>
    </row>
    <row r="372" spans="1:10">
      <c r="A372" s="5">
        <f>'02_Actual_Revenue'!A372</f>
        <v>45931</v>
      </c>
      <c r="B372" s="3" t="str">
        <f>'02_Actual_Revenue'!B372</f>
        <v>P003</v>
      </c>
      <c r="C372" s="3" t="str">
        <f>'02_Actual_Revenue'!C372</f>
        <v>R03</v>
      </c>
      <c r="D372" s="7">
        <f>'02_Actual_Revenue'!D372</f>
        <v>139650</v>
      </c>
      <c r="E372" s="7">
        <f>D372*(1+_xlfn.XLOOKUP("Devices",'01_Assumptions'!$A$4:$A$6,'01_Assumptions'!$B$4:$B$6))</f>
        <v>148029</v>
      </c>
      <c r="F372" s="3">
        <f>'02_Actual_Revenue'!E372*(1+_xlfn.XLOOKUP("Devices",'01_Assumptions'!$A$4:$A$6,'01_Assumptions'!$C$4:$C$6))</f>
        <v>559.98</v>
      </c>
      <c r="G372" s="9">
        <f t="shared" si="15"/>
        <v>82893279.420000002</v>
      </c>
      <c r="H372" s="9">
        <f>G372*'02_Actual_Revenue'!H372</f>
        <v>49735967.652000003</v>
      </c>
      <c r="I372" s="9">
        <f t="shared" si="16"/>
        <v>33157311.767999999</v>
      </c>
      <c r="J372" s="13">
        <f t="shared" si="17"/>
        <v>0.39999999999999997</v>
      </c>
    </row>
    <row r="373" spans="1:10">
      <c r="A373" s="5">
        <f>'02_Actual_Revenue'!A373</f>
        <v>45931</v>
      </c>
      <c r="B373" s="3" t="str">
        <f>'02_Actual_Revenue'!B373</f>
        <v>P003</v>
      </c>
      <c r="C373" s="3" t="str">
        <f>'02_Actual_Revenue'!C373</f>
        <v>R04</v>
      </c>
      <c r="D373" s="7">
        <f>'02_Actual_Revenue'!D373</f>
        <v>80850</v>
      </c>
      <c r="E373" s="7">
        <f>D373*(1+_xlfn.XLOOKUP("Devices",'01_Assumptions'!$A$4:$A$6,'01_Assumptions'!$B$4:$B$6))</f>
        <v>85701</v>
      </c>
      <c r="F373" s="3">
        <f>'02_Actual_Revenue'!E373*(1+_xlfn.XLOOKUP("Devices",'01_Assumptions'!$A$4:$A$6,'01_Assumptions'!$C$4:$C$6))</f>
        <v>559.98</v>
      </c>
      <c r="G373" s="9">
        <f t="shared" si="15"/>
        <v>47990845.980000004</v>
      </c>
      <c r="H373" s="9">
        <f>G373*'02_Actual_Revenue'!H373</f>
        <v>28794507.588000003</v>
      </c>
      <c r="I373" s="9">
        <f t="shared" si="16"/>
        <v>19196338.392000001</v>
      </c>
      <c r="J373" s="13">
        <f t="shared" si="17"/>
        <v>0.39999999999999997</v>
      </c>
    </row>
    <row r="374" spans="1:10">
      <c r="A374" s="5">
        <f>'02_Actual_Revenue'!A374</f>
        <v>45931</v>
      </c>
      <c r="B374" s="3" t="str">
        <f>'02_Actual_Revenue'!B374</f>
        <v>P004</v>
      </c>
      <c r="C374" s="3" t="str">
        <f>'02_Actual_Revenue'!C374</f>
        <v>R01</v>
      </c>
      <c r="D374" s="7">
        <f>'02_Actual_Revenue'!D374</f>
        <v>73500</v>
      </c>
      <c r="E374" s="7">
        <f>D374*(1+_xlfn.XLOOKUP("Devices",'01_Assumptions'!$A$4:$A$6,'01_Assumptions'!$B$4:$B$6))</f>
        <v>77910</v>
      </c>
      <c r="F374" s="3">
        <f>'02_Actual_Revenue'!E374*(1+_xlfn.XLOOKUP("Devices",'01_Assumptions'!$A$4:$A$6,'01_Assumptions'!$C$4:$C$6))</f>
        <v>1222.98</v>
      </c>
      <c r="G374" s="9">
        <f t="shared" si="15"/>
        <v>95282371.799999997</v>
      </c>
      <c r="H374" s="9">
        <f>G374*'02_Actual_Revenue'!H374</f>
        <v>52405304.490000002</v>
      </c>
      <c r="I374" s="9">
        <f t="shared" si="16"/>
        <v>42877067.309999995</v>
      </c>
      <c r="J374" s="13">
        <f t="shared" si="17"/>
        <v>0.44999999999999996</v>
      </c>
    </row>
    <row r="375" spans="1:10">
      <c r="A375" s="5">
        <f>'02_Actual_Revenue'!A375</f>
        <v>45931</v>
      </c>
      <c r="B375" s="3" t="str">
        <f>'02_Actual_Revenue'!B375</f>
        <v>P004</v>
      </c>
      <c r="C375" s="3" t="str">
        <f>'02_Actual_Revenue'!C375</f>
        <v>R02</v>
      </c>
      <c r="D375" s="7">
        <f>'02_Actual_Revenue'!D375</f>
        <v>62475</v>
      </c>
      <c r="E375" s="7">
        <f>D375*(1+_xlfn.XLOOKUP("Devices",'01_Assumptions'!$A$4:$A$6,'01_Assumptions'!$B$4:$B$6))</f>
        <v>66223.5</v>
      </c>
      <c r="F375" s="3">
        <f>'02_Actual_Revenue'!E375*(1+_xlfn.XLOOKUP("Devices",'01_Assumptions'!$A$4:$A$6,'01_Assumptions'!$C$4:$C$6))</f>
        <v>1222.98</v>
      </c>
      <c r="G375" s="9">
        <f t="shared" si="15"/>
        <v>80990016.030000001</v>
      </c>
      <c r="H375" s="9">
        <f>G375*'02_Actual_Revenue'!H375</f>
        <v>44544508.816500001</v>
      </c>
      <c r="I375" s="9">
        <f t="shared" si="16"/>
        <v>36445507.213500001</v>
      </c>
      <c r="J375" s="13">
        <f t="shared" si="17"/>
        <v>0.45</v>
      </c>
    </row>
    <row r="376" spans="1:10">
      <c r="A376" s="5">
        <f>'02_Actual_Revenue'!A376</f>
        <v>45931</v>
      </c>
      <c r="B376" s="3" t="str">
        <f>'02_Actual_Revenue'!B376</f>
        <v>P004</v>
      </c>
      <c r="C376" s="3" t="str">
        <f>'02_Actual_Revenue'!C376</f>
        <v>R03</v>
      </c>
      <c r="D376" s="7">
        <f>'02_Actual_Revenue'!D376</f>
        <v>69825</v>
      </c>
      <c r="E376" s="7">
        <f>D376*(1+_xlfn.XLOOKUP("Devices",'01_Assumptions'!$A$4:$A$6,'01_Assumptions'!$B$4:$B$6))</f>
        <v>74014.5</v>
      </c>
      <c r="F376" s="3">
        <f>'02_Actual_Revenue'!E376*(1+_xlfn.XLOOKUP("Devices",'01_Assumptions'!$A$4:$A$6,'01_Assumptions'!$C$4:$C$6))</f>
        <v>1222.98</v>
      </c>
      <c r="G376" s="9">
        <f t="shared" si="15"/>
        <v>90518253.210000008</v>
      </c>
      <c r="H376" s="9">
        <f>G376*'02_Actual_Revenue'!H376</f>
        <v>49785039.265500009</v>
      </c>
      <c r="I376" s="9">
        <f t="shared" si="16"/>
        <v>40733213.944499999</v>
      </c>
      <c r="J376" s="13">
        <f t="shared" si="17"/>
        <v>0.44999999999999996</v>
      </c>
    </row>
    <row r="377" spans="1:10">
      <c r="A377" s="5">
        <f>'02_Actual_Revenue'!A377</f>
        <v>45931</v>
      </c>
      <c r="B377" s="3" t="str">
        <f>'02_Actual_Revenue'!B377</f>
        <v>P004</v>
      </c>
      <c r="C377" s="3" t="str">
        <f>'02_Actual_Revenue'!C377</f>
        <v>R04</v>
      </c>
      <c r="D377" s="7">
        <f>'02_Actual_Revenue'!D377</f>
        <v>40425</v>
      </c>
      <c r="E377" s="7">
        <f>D377*(1+_xlfn.XLOOKUP("Devices",'01_Assumptions'!$A$4:$A$6,'01_Assumptions'!$B$4:$B$6))</f>
        <v>42850.5</v>
      </c>
      <c r="F377" s="3">
        <f>'02_Actual_Revenue'!E377*(1+_xlfn.XLOOKUP("Devices",'01_Assumptions'!$A$4:$A$6,'01_Assumptions'!$C$4:$C$6))</f>
        <v>1222.98</v>
      </c>
      <c r="G377" s="9">
        <f t="shared" si="15"/>
        <v>52405304.490000002</v>
      </c>
      <c r="H377" s="9">
        <f>G377*'02_Actual_Revenue'!H377</f>
        <v>28822917.469500005</v>
      </c>
      <c r="I377" s="9">
        <f t="shared" si="16"/>
        <v>23582387.020499997</v>
      </c>
      <c r="J377" s="13">
        <f t="shared" si="17"/>
        <v>0.4499999999999999</v>
      </c>
    </row>
    <row r="378" spans="1:10">
      <c r="A378" s="5">
        <f>'02_Actual_Revenue'!A378</f>
        <v>45931</v>
      </c>
      <c r="B378" s="3" t="str">
        <f>'02_Actual_Revenue'!B378</f>
        <v>P005</v>
      </c>
      <c r="C378" s="3" t="str">
        <f>'02_Actual_Revenue'!C378</f>
        <v>R01</v>
      </c>
      <c r="D378" s="7">
        <f>'02_Actual_Revenue'!D378</f>
        <v>189000</v>
      </c>
      <c r="E378" s="7">
        <f>D378*(1+_xlfn.XLOOKUP("Devices",'01_Assumptions'!$A$4:$A$6,'01_Assumptions'!$B$4:$B$6))</f>
        <v>200340</v>
      </c>
      <c r="F378" s="3">
        <f>'02_Actual_Revenue'!E378*(1+_xlfn.XLOOKUP("Devices",'01_Assumptions'!$A$4:$A$6,'01_Assumptions'!$C$4:$C$6))</f>
        <v>304.98</v>
      </c>
      <c r="G378" s="9">
        <f t="shared" si="15"/>
        <v>61099693.200000003</v>
      </c>
      <c r="H378" s="9">
        <f>G378*'02_Actual_Revenue'!H378</f>
        <v>30549846.600000001</v>
      </c>
      <c r="I378" s="9">
        <f t="shared" si="16"/>
        <v>30549846.600000001</v>
      </c>
      <c r="J378" s="13">
        <f t="shared" si="17"/>
        <v>0.5</v>
      </c>
    </row>
    <row r="379" spans="1:10">
      <c r="A379" s="5">
        <f>'02_Actual_Revenue'!A379</f>
        <v>45931</v>
      </c>
      <c r="B379" s="3" t="str">
        <f>'02_Actual_Revenue'!B379</f>
        <v>P005</v>
      </c>
      <c r="C379" s="3" t="str">
        <f>'02_Actual_Revenue'!C379</f>
        <v>R02</v>
      </c>
      <c r="D379" s="7">
        <f>'02_Actual_Revenue'!D379</f>
        <v>160650</v>
      </c>
      <c r="E379" s="7">
        <f>D379*(1+_xlfn.XLOOKUP("Devices",'01_Assumptions'!$A$4:$A$6,'01_Assumptions'!$B$4:$B$6))</f>
        <v>170289</v>
      </c>
      <c r="F379" s="3">
        <f>'02_Actual_Revenue'!E379*(1+_xlfn.XLOOKUP("Devices",'01_Assumptions'!$A$4:$A$6,'01_Assumptions'!$C$4:$C$6))</f>
        <v>304.98</v>
      </c>
      <c r="G379" s="9">
        <f t="shared" si="15"/>
        <v>51934739.220000006</v>
      </c>
      <c r="H379" s="9">
        <f>G379*'02_Actual_Revenue'!H379</f>
        <v>25967369.610000003</v>
      </c>
      <c r="I379" s="9">
        <f t="shared" si="16"/>
        <v>25967369.610000003</v>
      </c>
      <c r="J379" s="13">
        <f t="shared" si="17"/>
        <v>0.5</v>
      </c>
    </row>
    <row r="380" spans="1:10">
      <c r="A380" s="5">
        <f>'02_Actual_Revenue'!A380</f>
        <v>45931</v>
      </c>
      <c r="B380" s="3" t="str">
        <f>'02_Actual_Revenue'!B380</f>
        <v>P005</v>
      </c>
      <c r="C380" s="3" t="str">
        <f>'02_Actual_Revenue'!C380</f>
        <v>R03</v>
      </c>
      <c r="D380" s="7">
        <f>'02_Actual_Revenue'!D380</f>
        <v>179550</v>
      </c>
      <c r="E380" s="7">
        <f>D380*(1+_xlfn.XLOOKUP("Devices",'01_Assumptions'!$A$4:$A$6,'01_Assumptions'!$B$4:$B$6))</f>
        <v>190323</v>
      </c>
      <c r="F380" s="3">
        <f>'02_Actual_Revenue'!E380*(1+_xlfn.XLOOKUP("Devices",'01_Assumptions'!$A$4:$A$6,'01_Assumptions'!$C$4:$C$6))</f>
        <v>304.98</v>
      </c>
      <c r="G380" s="9">
        <f t="shared" si="15"/>
        <v>58044708.540000007</v>
      </c>
      <c r="H380" s="9">
        <f>G380*'02_Actual_Revenue'!H380</f>
        <v>29022354.270000003</v>
      </c>
      <c r="I380" s="9">
        <f t="shared" si="16"/>
        <v>29022354.270000003</v>
      </c>
      <c r="J380" s="13">
        <f t="shared" si="17"/>
        <v>0.5</v>
      </c>
    </row>
    <row r="381" spans="1:10">
      <c r="A381" s="5">
        <f>'02_Actual_Revenue'!A381</f>
        <v>45931</v>
      </c>
      <c r="B381" s="3" t="str">
        <f>'02_Actual_Revenue'!B381</f>
        <v>P005</v>
      </c>
      <c r="C381" s="3" t="str">
        <f>'02_Actual_Revenue'!C381</f>
        <v>R04</v>
      </c>
      <c r="D381" s="7">
        <f>'02_Actual_Revenue'!D381</f>
        <v>103950</v>
      </c>
      <c r="E381" s="7">
        <f>D381*(1+_xlfn.XLOOKUP("Devices",'01_Assumptions'!$A$4:$A$6,'01_Assumptions'!$B$4:$B$6))</f>
        <v>110187</v>
      </c>
      <c r="F381" s="3">
        <f>'02_Actual_Revenue'!E381*(1+_xlfn.XLOOKUP("Devices",'01_Assumptions'!$A$4:$A$6,'01_Assumptions'!$C$4:$C$6))</f>
        <v>304.98</v>
      </c>
      <c r="G381" s="9">
        <f t="shared" si="15"/>
        <v>33604831.260000005</v>
      </c>
      <c r="H381" s="9">
        <f>G381*'02_Actual_Revenue'!H381</f>
        <v>16802415.630000003</v>
      </c>
      <c r="I381" s="9">
        <f t="shared" si="16"/>
        <v>16802415.630000003</v>
      </c>
      <c r="J381" s="13">
        <f t="shared" si="17"/>
        <v>0.5</v>
      </c>
    </row>
    <row r="382" spans="1:10">
      <c r="A382" s="5">
        <f>'02_Actual_Revenue'!A382</f>
        <v>45931</v>
      </c>
      <c r="B382" s="3" t="str">
        <f>'02_Actual_Revenue'!B382</f>
        <v>P006</v>
      </c>
      <c r="C382" s="3" t="str">
        <f>'02_Actual_Revenue'!C382</f>
        <v>R01</v>
      </c>
      <c r="D382" s="7">
        <f>'02_Actual_Revenue'!D382</f>
        <v>630000</v>
      </c>
      <c r="E382" s="7">
        <f>D382*(1+_xlfn.XLOOKUP("Cloud &amp; Software",'01_Assumptions'!$A$4:$A$6,'01_Assumptions'!$B$4:$B$6))</f>
        <v>693000</v>
      </c>
      <c r="F382" s="3">
        <f>'02_Actual_Revenue'!E382*(1+_xlfn.XLOOKUP("Cloud &amp; Software",'01_Assumptions'!$A$4:$A$6,'01_Assumptions'!$C$4:$C$6))</f>
        <v>40.17</v>
      </c>
      <c r="G382" s="9">
        <f t="shared" si="15"/>
        <v>27837810</v>
      </c>
      <c r="H382" s="9">
        <f>G382*'02_Actual_Revenue'!H382</f>
        <v>6959452.5</v>
      </c>
      <c r="I382" s="9">
        <f t="shared" si="16"/>
        <v>20878357.5</v>
      </c>
      <c r="J382" s="13">
        <f t="shared" si="17"/>
        <v>0.75</v>
      </c>
    </row>
    <row r="383" spans="1:10">
      <c r="A383" s="5">
        <f>'02_Actual_Revenue'!A383</f>
        <v>45931</v>
      </c>
      <c r="B383" s="3" t="str">
        <f>'02_Actual_Revenue'!B383</f>
        <v>P006</v>
      </c>
      <c r="C383" s="3" t="str">
        <f>'02_Actual_Revenue'!C383</f>
        <v>R02</v>
      </c>
      <c r="D383" s="7">
        <f>'02_Actual_Revenue'!D383</f>
        <v>535500</v>
      </c>
      <c r="E383" s="7">
        <f>D383*(1+_xlfn.XLOOKUP("Cloud &amp; Software",'01_Assumptions'!$A$4:$A$6,'01_Assumptions'!$B$4:$B$6))</f>
        <v>589050</v>
      </c>
      <c r="F383" s="3">
        <f>'02_Actual_Revenue'!E383*(1+_xlfn.XLOOKUP("Cloud &amp; Software",'01_Assumptions'!$A$4:$A$6,'01_Assumptions'!$C$4:$C$6))</f>
        <v>40.17</v>
      </c>
      <c r="G383" s="9">
        <f t="shared" si="15"/>
        <v>23662138.5</v>
      </c>
      <c r="H383" s="9">
        <f>G383*'02_Actual_Revenue'!H383</f>
        <v>5915534.625</v>
      </c>
      <c r="I383" s="9">
        <f t="shared" si="16"/>
        <v>17746603.875</v>
      </c>
      <c r="J383" s="13">
        <f t="shared" si="17"/>
        <v>0.75</v>
      </c>
    </row>
    <row r="384" spans="1:10">
      <c r="A384" s="5">
        <f>'02_Actual_Revenue'!A384</f>
        <v>45931</v>
      </c>
      <c r="B384" s="3" t="str">
        <f>'02_Actual_Revenue'!B384</f>
        <v>P006</v>
      </c>
      <c r="C384" s="3" t="str">
        <f>'02_Actual_Revenue'!C384</f>
        <v>R03</v>
      </c>
      <c r="D384" s="7">
        <f>'02_Actual_Revenue'!D384</f>
        <v>598500</v>
      </c>
      <c r="E384" s="7">
        <f>D384*(1+_xlfn.XLOOKUP("Cloud &amp; Software",'01_Assumptions'!$A$4:$A$6,'01_Assumptions'!$B$4:$B$6))</f>
        <v>658350</v>
      </c>
      <c r="F384" s="3">
        <f>'02_Actual_Revenue'!E384*(1+_xlfn.XLOOKUP("Cloud &amp; Software",'01_Assumptions'!$A$4:$A$6,'01_Assumptions'!$C$4:$C$6))</f>
        <v>40.17</v>
      </c>
      <c r="G384" s="9">
        <f t="shared" si="15"/>
        <v>26445919.5</v>
      </c>
      <c r="H384" s="9">
        <f>G384*'02_Actual_Revenue'!H384</f>
        <v>6611479.875</v>
      </c>
      <c r="I384" s="9">
        <f t="shared" si="16"/>
        <v>19834439.625</v>
      </c>
      <c r="J384" s="13">
        <f t="shared" si="17"/>
        <v>0.75</v>
      </c>
    </row>
    <row r="385" spans="1:10">
      <c r="A385" s="5">
        <f>'02_Actual_Revenue'!A385</f>
        <v>45931</v>
      </c>
      <c r="B385" s="3" t="str">
        <f>'02_Actual_Revenue'!B385</f>
        <v>P006</v>
      </c>
      <c r="C385" s="3" t="str">
        <f>'02_Actual_Revenue'!C385</f>
        <v>R04</v>
      </c>
      <c r="D385" s="7">
        <f>'02_Actual_Revenue'!D385</f>
        <v>346500</v>
      </c>
      <c r="E385" s="7">
        <f>D385*(1+_xlfn.XLOOKUP("Cloud &amp; Software",'01_Assumptions'!$A$4:$A$6,'01_Assumptions'!$B$4:$B$6))</f>
        <v>381150.00000000006</v>
      </c>
      <c r="F385" s="3">
        <f>'02_Actual_Revenue'!E385*(1+_xlfn.XLOOKUP("Cloud &amp; Software",'01_Assumptions'!$A$4:$A$6,'01_Assumptions'!$C$4:$C$6))</f>
        <v>40.17</v>
      </c>
      <c r="G385" s="9">
        <f t="shared" si="15"/>
        <v>15310795.500000004</v>
      </c>
      <c r="H385" s="9">
        <f>G385*'02_Actual_Revenue'!H385</f>
        <v>3827698.8750000009</v>
      </c>
      <c r="I385" s="9">
        <f t="shared" si="16"/>
        <v>11483096.625000004</v>
      </c>
      <c r="J385" s="13">
        <f t="shared" si="17"/>
        <v>0.75000000000000011</v>
      </c>
    </row>
    <row r="386" spans="1:10">
      <c r="A386" s="5">
        <f>'02_Actual_Revenue'!A386</f>
        <v>45931</v>
      </c>
      <c r="B386" s="3" t="str">
        <f>'02_Actual_Revenue'!B386</f>
        <v>P007</v>
      </c>
      <c r="C386" s="3" t="str">
        <f>'02_Actual_Revenue'!C386</f>
        <v>R01</v>
      </c>
      <c r="D386" s="7">
        <f>'02_Actual_Revenue'!D386</f>
        <v>420000</v>
      </c>
      <c r="E386" s="7">
        <f>D386*(1+_xlfn.XLOOKUP("Cloud &amp; Software",'01_Assumptions'!$A$4:$A$6,'01_Assumptions'!$B$4:$B$6))</f>
        <v>462000.00000000006</v>
      </c>
      <c r="F386" s="3">
        <f>'02_Actual_Revenue'!E386*(1+_xlfn.XLOOKUP("Cloud &amp; Software",'01_Assumptions'!$A$4:$A$6,'01_Assumptions'!$C$4:$C$6))</f>
        <v>24.72</v>
      </c>
      <c r="G386" s="9">
        <f t="shared" si="15"/>
        <v>11420640</v>
      </c>
      <c r="H386" s="9">
        <f>G386*'02_Actual_Revenue'!H386</f>
        <v>2284128</v>
      </c>
      <c r="I386" s="9">
        <f t="shared" si="16"/>
        <v>9136512</v>
      </c>
      <c r="J386" s="13">
        <f t="shared" si="17"/>
        <v>0.8</v>
      </c>
    </row>
    <row r="387" spans="1:10">
      <c r="A387" s="5">
        <f>'02_Actual_Revenue'!A387</f>
        <v>45931</v>
      </c>
      <c r="B387" s="3" t="str">
        <f>'02_Actual_Revenue'!B387</f>
        <v>P007</v>
      </c>
      <c r="C387" s="3" t="str">
        <f>'02_Actual_Revenue'!C387</f>
        <v>R02</v>
      </c>
      <c r="D387" s="7">
        <f>'02_Actual_Revenue'!D387</f>
        <v>357000</v>
      </c>
      <c r="E387" s="7">
        <f>D387*(1+_xlfn.XLOOKUP("Cloud &amp; Software",'01_Assumptions'!$A$4:$A$6,'01_Assumptions'!$B$4:$B$6))</f>
        <v>392700.00000000006</v>
      </c>
      <c r="F387" s="3">
        <f>'02_Actual_Revenue'!E387*(1+_xlfn.XLOOKUP("Cloud &amp; Software",'01_Assumptions'!$A$4:$A$6,'01_Assumptions'!$C$4:$C$6))</f>
        <v>24.72</v>
      </c>
      <c r="G387" s="9">
        <f t="shared" ref="G387:G450" si="18">E387*F387</f>
        <v>9707544.0000000019</v>
      </c>
      <c r="H387" s="9">
        <f>G387*'02_Actual_Revenue'!H387</f>
        <v>1941508.8000000005</v>
      </c>
      <c r="I387" s="9">
        <f t="shared" ref="I387:I450" si="19">G387-H387</f>
        <v>7766035.2000000011</v>
      </c>
      <c r="J387" s="13">
        <f t="shared" ref="J387:J450" si="20">I387/G387</f>
        <v>0.79999999999999993</v>
      </c>
    </row>
    <row r="388" spans="1:10">
      <c r="A388" s="5">
        <f>'02_Actual_Revenue'!A388</f>
        <v>45931</v>
      </c>
      <c r="B388" s="3" t="str">
        <f>'02_Actual_Revenue'!B388</f>
        <v>P007</v>
      </c>
      <c r="C388" s="3" t="str">
        <f>'02_Actual_Revenue'!C388</f>
        <v>R03</v>
      </c>
      <c r="D388" s="7">
        <f>'02_Actual_Revenue'!D388</f>
        <v>399000</v>
      </c>
      <c r="E388" s="7">
        <f>D388*(1+_xlfn.XLOOKUP("Cloud &amp; Software",'01_Assumptions'!$A$4:$A$6,'01_Assumptions'!$B$4:$B$6))</f>
        <v>438900.00000000006</v>
      </c>
      <c r="F388" s="3">
        <f>'02_Actual_Revenue'!E388*(1+_xlfn.XLOOKUP("Cloud &amp; Software",'01_Assumptions'!$A$4:$A$6,'01_Assumptions'!$C$4:$C$6))</f>
        <v>24.72</v>
      </c>
      <c r="G388" s="9">
        <f t="shared" si="18"/>
        <v>10849608.000000002</v>
      </c>
      <c r="H388" s="9">
        <f>G388*'02_Actual_Revenue'!H388</f>
        <v>2169921.6000000006</v>
      </c>
      <c r="I388" s="9">
        <f t="shared" si="19"/>
        <v>8679686.4000000022</v>
      </c>
      <c r="J388" s="13">
        <f t="shared" si="20"/>
        <v>0.8</v>
      </c>
    </row>
    <row r="389" spans="1:10">
      <c r="A389" s="5">
        <f>'02_Actual_Revenue'!A389</f>
        <v>45931</v>
      </c>
      <c r="B389" s="3" t="str">
        <f>'02_Actual_Revenue'!B389</f>
        <v>P007</v>
      </c>
      <c r="C389" s="3" t="str">
        <f>'02_Actual_Revenue'!C389</f>
        <v>R04</v>
      </c>
      <c r="D389" s="7">
        <f>'02_Actual_Revenue'!D389</f>
        <v>231000</v>
      </c>
      <c r="E389" s="7">
        <f>D389*(1+_xlfn.XLOOKUP("Cloud &amp; Software",'01_Assumptions'!$A$4:$A$6,'01_Assumptions'!$B$4:$B$6))</f>
        <v>254100.00000000003</v>
      </c>
      <c r="F389" s="3">
        <f>'02_Actual_Revenue'!E389*(1+_xlfn.XLOOKUP("Cloud &amp; Software",'01_Assumptions'!$A$4:$A$6,'01_Assumptions'!$C$4:$C$6))</f>
        <v>24.72</v>
      </c>
      <c r="G389" s="9">
        <f t="shared" si="18"/>
        <v>6281352</v>
      </c>
      <c r="H389" s="9">
        <f>G389*'02_Actual_Revenue'!H389</f>
        <v>1256270.4000000001</v>
      </c>
      <c r="I389" s="9">
        <f t="shared" si="19"/>
        <v>5025081.5999999996</v>
      </c>
      <c r="J389" s="13">
        <f t="shared" si="20"/>
        <v>0.79999999999999993</v>
      </c>
    </row>
    <row r="390" spans="1:10">
      <c r="A390" s="5">
        <f>'02_Actual_Revenue'!A390</f>
        <v>45931</v>
      </c>
      <c r="B390" s="3" t="str">
        <f>'02_Actual_Revenue'!B390</f>
        <v>P008</v>
      </c>
      <c r="C390" s="3" t="str">
        <f>'02_Actual_Revenue'!C390</f>
        <v>R01</v>
      </c>
      <c r="D390" s="7">
        <f>'02_Actual_Revenue'!D390</f>
        <v>1260000</v>
      </c>
      <c r="E390" s="7">
        <f>D390*(1+_xlfn.XLOOKUP("Digital Services",'01_Assumptions'!$A$4:$A$6,'01_Assumptions'!$B$4:$B$6))</f>
        <v>1360800</v>
      </c>
      <c r="F390" s="3">
        <f>'02_Actual_Revenue'!E390*(1+_xlfn.XLOOKUP("Digital Services",'01_Assumptions'!$A$4:$A$6,'01_Assumptions'!$C$4:$C$6))</f>
        <v>12.24</v>
      </c>
      <c r="G390" s="9">
        <f t="shared" si="18"/>
        <v>16656192</v>
      </c>
      <c r="H390" s="9">
        <f>G390*'02_Actual_Revenue'!H390</f>
        <v>4996857.5999999996</v>
      </c>
      <c r="I390" s="9">
        <f t="shared" si="19"/>
        <v>11659334.4</v>
      </c>
      <c r="J390" s="13">
        <f t="shared" si="20"/>
        <v>0.70000000000000007</v>
      </c>
    </row>
    <row r="391" spans="1:10">
      <c r="A391" s="5">
        <f>'02_Actual_Revenue'!A391</f>
        <v>45931</v>
      </c>
      <c r="B391" s="3" t="str">
        <f>'02_Actual_Revenue'!B391</f>
        <v>P008</v>
      </c>
      <c r="C391" s="3" t="str">
        <f>'02_Actual_Revenue'!C391</f>
        <v>R02</v>
      </c>
      <c r="D391" s="7">
        <f>'02_Actual_Revenue'!D391</f>
        <v>1071000</v>
      </c>
      <c r="E391" s="7">
        <f>D391*(1+_xlfn.XLOOKUP("Digital Services",'01_Assumptions'!$A$4:$A$6,'01_Assumptions'!$B$4:$B$6))</f>
        <v>1156680</v>
      </c>
      <c r="F391" s="3">
        <f>'02_Actual_Revenue'!E391*(1+_xlfn.XLOOKUP("Digital Services",'01_Assumptions'!$A$4:$A$6,'01_Assumptions'!$C$4:$C$6))</f>
        <v>12.24</v>
      </c>
      <c r="G391" s="9">
        <f t="shared" si="18"/>
        <v>14157763.200000001</v>
      </c>
      <c r="H391" s="9">
        <f>G391*'02_Actual_Revenue'!H391</f>
        <v>4247328.96</v>
      </c>
      <c r="I391" s="9">
        <f t="shared" si="19"/>
        <v>9910434.2400000021</v>
      </c>
      <c r="J391" s="13">
        <f t="shared" si="20"/>
        <v>0.70000000000000007</v>
      </c>
    </row>
    <row r="392" spans="1:10">
      <c r="A392" s="5">
        <f>'02_Actual_Revenue'!A392</f>
        <v>45931</v>
      </c>
      <c r="B392" s="3" t="str">
        <f>'02_Actual_Revenue'!B392</f>
        <v>P008</v>
      </c>
      <c r="C392" s="3" t="str">
        <f>'02_Actual_Revenue'!C392</f>
        <v>R03</v>
      </c>
      <c r="D392" s="7">
        <f>'02_Actual_Revenue'!D392</f>
        <v>1197000</v>
      </c>
      <c r="E392" s="7">
        <f>D392*(1+_xlfn.XLOOKUP("Digital Services",'01_Assumptions'!$A$4:$A$6,'01_Assumptions'!$B$4:$B$6))</f>
        <v>1292760</v>
      </c>
      <c r="F392" s="3">
        <f>'02_Actual_Revenue'!E392*(1+_xlfn.XLOOKUP("Digital Services",'01_Assumptions'!$A$4:$A$6,'01_Assumptions'!$C$4:$C$6))</f>
        <v>12.24</v>
      </c>
      <c r="G392" s="9">
        <f t="shared" si="18"/>
        <v>15823382.4</v>
      </c>
      <c r="H392" s="9">
        <f>G392*'02_Actual_Revenue'!H392</f>
        <v>4747014.72</v>
      </c>
      <c r="I392" s="9">
        <f t="shared" si="19"/>
        <v>11076367.68</v>
      </c>
      <c r="J392" s="13">
        <f t="shared" si="20"/>
        <v>0.7</v>
      </c>
    </row>
    <row r="393" spans="1:10">
      <c r="A393" s="5">
        <f>'02_Actual_Revenue'!A393</f>
        <v>45931</v>
      </c>
      <c r="B393" s="3" t="str">
        <f>'02_Actual_Revenue'!B393</f>
        <v>P008</v>
      </c>
      <c r="C393" s="3" t="str">
        <f>'02_Actual_Revenue'!C393</f>
        <v>R04</v>
      </c>
      <c r="D393" s="7">
        <f>'02_Actual_Revenue'!D393</f>
        <v>693000</v>
      </c>
      <c r="E393" s="7">
        <f>D393*(1+_xlfn.XLOOKUP("Digital Services",'01_Assumptions'!$A$4:$A$6,'01_Assumptions'!$B$4:$B$6))</f>
        <v>748440</v>
      </c>
      <c r="F393" s="3">
        <f>'02_Actual_Revenue'!E393*(1+_xlfn.XLOOKUP("Digital Services",'01_Assumptions'!$A$4:$A$6,'01_Assumptions'!$C$4:$C$6))</f>
        <v>12.24</v>
      </c>
      <c r="G393" s="9">
        <f t="shared" si="18"/>
        <v>9160905.5999999996</v>
      </c>
      <c r="H393" s="9">
        <f>G393*'02_Actual_Revenue'!H393</f>
        <v>2748271.6799999997</v>
      </c>
      <c r="I393" s="9">
        <f t="shared" si="19"/>
        <v>6412633.9199999999</v>
      </c>
      <c r="J393" s="13">
        <f t="shared" si="20"/>
        <v>0.70000000000000007</v>
      </c>
    </row>
    <row r="394" spans="1:10">
      <c r="A394" s="5">
        <f>'02_Actual_Revenue'!A394</f>
        <v>45931</v>
      </c>
      <c r="B394" s="3" t="str">
        <f>'02_Actual_Revenue'!B394</f>
        <v>P009</v>
      </c>
      <c r="C394" s="3" t="str">
        <f>'02_Actual_Revenue'!C394</f>
        <v>R01</v>
      </c>
      <c r="D394" s="7">
        <f>'02_Actual_Revenue'!D394</f>
        <v>840000</v>
      </c>
      <c r="E394" s="7">
        <f>D394*(1+_xlfn.XLOOKUP("Digital Services",'01_Assumptions'!$A$4:$A$6,'01_Assumptions'!$B$4:$B$6))</f>
        <v>907200.00000000012</v>
      </c>
      <c r="F394" s="3">
        <f>'02_Actual_Revenue'!E394*(1+_xlfn.XLOOKUP("Digital Services",'01_Assumptions'!$A$4:$A$6,'01_Assumptions'!$C$4:$C$6))</f>
        <v>15.3</v>
      </c>
      <c r="G394" s="9">
        <f t="shared" si="18"/>
        <v>13880160.000000002</v>
      </c>
      <c r="H394" s="9">
        <f>G394*'02_Actual_Revenue'!H394</f>
        <v>4858056</v>
      </c>
      <c r="I394" s="9">
        <f t="shared" si="19"/>
        <v>9022104.0000000019</v>
      </c>
      <c r="J394" s="13">
        <f t="shared" si="20"/>
        <v>0.65</v>
      </c>
    </row>
    <row r="395" spans="1:10">
      <c r="A395" s="5">
        <f>'02_Actual_Revenue'!A395</f>
        <v>45931</v>
      </c>
      <c r="B395" s="3" t="str">
        <f>'02_Actual_Revenue'!B395</f>
        <v>P009</v>
      </c>
      <c r="C395" s="3" t="str">
        <f>'02_Actual_Revenue'!C395</f>
        <v>R02</v>
      </c>
      <c r="D395" s="7">
        <f>'02_Actual_Revenue'!D395</f>
        <v>714000</v>
      </c>
      <c r="E395" s="7">
        <f>D395*(1+_xlfn.XLOOKUP("Digital Services",'01_Assumptions'!$A$4:$A$6,'01_Assumptions'!$B$4:$B$6))</f>
        <v>771120</v>
      </c>
      <c r="F395" s="3">
        <f>'02_Actual_Revenue'!E395*(1+_xlfn.XLOOKUP("Digital Services",'01_Assumptions'!$A$4:$A$6,'01_Assumptions'!$C$4:$C$6))</f>
        <v>15.3</v>
      </c>
      <c r="G395" s="9">
        <f t="shared" si="18"/>
        <v>11798136</v>
      </c>
      <c r="H395" s="9">
        <f>G395*'02_Actual_Revenue'!H395</f>
        <v>4129347.5999999996</v>
      </c>
      <c r="I395" s="9">
        <f t="shared" si="19"/>
        <v>7668788.4000000004</v>
      </c>
      <c r="J395" s="13">
        <f t="shared" si="20"/>
        <v>0.65</v>
      </c>
    </row>
    <row r="396" spans="1:10">
      <c r="A396" s="5">
        <f>'02_Actual_Revenue'!A396</f>
        <v>45931</v>
      </c>
      <c r="B396" s="3" t="str">
        <f>'02_Actual_Revenue'!B396</f>
        <v>P009</v>
      </c>
      <c r="C396" s="3" t="str">
        <f>'02_Actual_Revenue'!C396</f>
        <v>R03</v>
      </c>
      <c r="D396" s="7">
        <f>'02_Actual_Revenue'!D396</f>
        <v>798000</v>
      </c>
      <c r="E396" s="7">
        <f>D396*(1+_xlfn.XLOOKUP("Digital Services",'01_Assumptions'!$A$4:$A$6,'01_Assumptions'!$B$4:$B$6))</f>
        <v>861840</v>
      </c>
      <c r="F396" s="3">
        <f>'02_Actual_Revenue'!E396*(1+_xlfn.XLOOKUP("Digital Services",'01_Assumptions'!$A$4:$A$6,'01_Assumptions'!$C$4:$C$6))</f>
        <v>15.3</v>
      </c>
      <c r="G396" s="9">
        <f t="shared" si="18"/>
        <v>13186152</v>
      </c>
      <c r="H396" s="9">
        <f>G396*'02_Actual_Revenue'!H396</f>
        <v>4615153.1999999993</v>
      </c>
      <c r="I396" s="9">
        <f t="shared" si="19"/>
        <v>8570998.8000000007</v>
      </c>
      <c r="J396" s="13">
        <f t="shared" si="20"/>
        <v>0.65</v>
      </c>
    </row>
    <row r="397" spans="1:10">
      <c r="A397" s="5">
        <f>'02_Actual_Revenue'!A397</f>
        <v>45931</v>
      </c>
      <c r="B397" s="3" t="str">
        <f>'02_Actual_Revenue'!B397</f>
        <v>P009</v>
      </c>
      <c r="C397" s="3" t="str">
        <f>'02_Actual_Revenue'!C397</f>
        <v>R04</v>
      </c>
      <c r="D397" s="7">
        <f>'02_Actual_Revenue'!D397</f>
        <v>462000</v>
      </c>
      <c r="E397" s="7">
        <f>D397*(1+_xlfn.XLOOKUP("Digital Services",'01_Assumptions'!$A$4:$A$6,'01_Assumptions'!$B$4:$B$6))</f>
        <v>498960.00000000006</v>
      </c>
      <c r="F397" s="3">
        <f>'02_Actual_Revenue'!E397*(1+_xlfn.XLOOKUP("Digital Services",'01_Assumptions'!$A$4:$A$6,'01_Assumptions'!$C$4:$C$6))</f>
        <v>15.3</v>
      </c>
      <c r="G397" s="9">
        <f t="shared" si="18"/>
        <v>7634088.0000000009</v>
      </c>
      <c r="H397" s="9">
        <f>G397*'02_Actual_Revenue'!H397</f>
        <v>2671930.8000000003</v>
      </c>
      <c r="I397" s="9">
        <f t="shared" si="19"/>
        <v>4962157.2000000011</v>
      </c>
      <c r="J397" s="13">
        <f t="shared" si="20"/>
        <v>0.65</v>
      </c>
    </row>
    <row r="398" spans="1:10">
      <c r="A398" s="5">
        <f>'02_Actual_Revenue'!A398</f>
        <v>45931</v>
      </c>
      <c r="B398" s="3" t="str">
        <f>'02_Actual_Revenue'!B398</f>
        <v>P010</v>
      </c>
      <c r="C398" s="3" t="str">
        <f>'02_Actual_Revenue'!C398</f>
        <v>R01</v>
      </c>
      <c r="D398" s="7">
        <f>'02_Actual_Revenue'!D398</f>
        <v>945000</v>
      </c>
      <c r="E398" s="7">
        <f>D398*(1+_xlfn.XLOOKUP("Digital Services",'01_Assumptions'!$A$4:$A$6,'01_Assumptions'!$B$4:$B$6))</f>
        <v>1020600.0000000001</v>
      </c>
      <c r="F398" s="3">
        <f>'02_Actual_Revenue'!E398*(1+_xlfn.XLOOKUP("Digital Services",'01_Assumptions'!$A$4:$A$6,'01_Assumptions'!$C$4:$C$6))</f>
        <v>8.16</v>
      </c>
      <c r="G398" s="9">
        <f t="shared" si="18"/>
        <v>8328096.0000000009</v>
      </c>
      <c r="H398" s="9">
        <f>G398*'02_Actual_Revenue'!H398</f>
        <v>1249214.4000000001</v>
      </c>
      <c r="I398" s="9">
        <f t="shared" si="19"/>
        <v>7078881.6000000006</v>
      </c>
      <c r="J398" s="13">
        <f t="shared" si="20"/>
        <v>0.85</v>
      </c>
    </row>
    <row r="399" spans="1:10">
      <c r="A399" s="5">
        <f>'02_Actual_Revenue'!A399</f>
        <v>45931</v>
      </c>
      <c r="B399" s="3" t="str">
        <f>'02_Actual_Revenue'!B399</f>
        <v>P010</v>
      </c>
      <c r="C399" s="3" t="str">
        <f>'02_Actual_Revenue'!C399</f>
        <v>R02</v>
      </c>
      <c r="D399" s="7">
        <f>'02_Actual_Revenue'!D399</f>
        <v>803250</v>
      </c>
      <c r="E399" s="7">
        <f>D399*(1+_xlfn.XLOOKUP("Digital Services",'01_Assumptions'!$A$4:$A$6,'01_Assumptions'!$B$4:$B$6))</f>
        <v>867510</v>
      </c>
      <c r="F399" s="3">
        <f>'02_Actual_Revenue'!E399*(1+_xlfn.XLOOKUP("Digital Services",'01_Assumptions'!$A$4:$A$6,'01_Assumptions'!$C$4:$C$6))</f>
        <v>8.16</v>
      </c>
      <c r="G399" s="9">
        <f t="shared" si="18"/>
        <v>7078881.6000000006</v>
      </c>
      <c r="H399" s="9">
        <f>G399*'02_Actual_Revenue'!H399</f>
        <v>1061832.24</v>
      </c>
      <c r="I399" s="9">
        <f t="shared" si="19"/>
        <v>6017049.3600000003</v>
      </c>
      <c r="J399" s="13">
        <f t="shared" si="20"/>
        <v>0.85</v>
      </c>
    </row>
    <row r="400" spans="1:10">
      <c r="A400" s="5">
        <f>'02_Actual_Revenue'!A400</f>
        <v>45931</v>
      </c>
      <c r="B400" s="3" t="str">
        <f>'02_Actual_Revenue'!B400</f>
        <v>P010</v>
      </c>
      <c r="C400" s="3" t="str">
        <f>'02_Actual_Revenue'!C400</f>
        <v>R03</v>
      </c>
      <c r="D400" s="7">
        <f>'02_Actual_Revenue'!D400</f>
        <v>897750</v>
      </c>
      <c r="E400" s="7">
        <f>D400*(1+_xlfn.XLOOKUP("Digital Services",'01_Assumptions'!$A$4:$A$6,'01_Assumptions'!$B$4:$B$6))</f>
        <v>969570.00000000012</v>
      </c>
      <c r="F400" s="3">
        <f>'02_Actual_Revenue'!E400*(1+_xlfn.XLOOKUP("Digital Services",'01_Assumptions'!$A$4:$A$6,'01_Assumptions'!$C$4:$C$6))</f>
        <v>8.16</v>
      </c>
      <c r="G400" s="9">
        <f t="shared" si="18"/>
        <v>7911691.2000000011</v>
      </c>
      <c r="H400" s="9">
        <f>G400*'02_Actual_Revenue'!H400</f>
        <v>1186753.6800000002</v>
      </c>
      <c r="I400" s="9">
        <f t="shared" si="19"/>
        <v>6724937.5200000014</v>
      </c>
      <c r="J400" s="13">
        <f t="shared" si="20"/>
        <v>0.85000000000000009</v>
      </c>
    </row>
    <row r="401" spans="1:10">
      <c r="A401" s="5">
        <f>'02_Actual_Revenue'!A401</f>
        <v>45931</v>
      </c>
      <c r="B401" s="3" t="str">
        <f>'02_Actual_Revenue'!B401</f>
        <v>P010</v>
      </c>
      <c r="C401" s="3" t="str">
        <f>'02_Actual_Revenue'!C401</f>
        <v>R04</v>
      </c>
      <c r="D401" s="7">
        <f>'02_Actual_Revenue'!D401</f>
        <v>519750</v>
      </c>
      <c r="E401" s="7">
        <f>D401*(1+_xlfn.XLOOKUP("Digital Services",'01_Assumptions'!$A$4:$A$6,'01_Assumptions'!$B$4:$B$6))</f>
        <v>561330</v>
      </c>
      <c r="F401" s="3">
        <f>'02_Actual_Revenue'!E401*(1+_xlfn.XLOOKUP("Digital Services",'01_Assumptions'!$A$4:$A$6,'01_Assumptions'!$C$4:$C$6))</f>
        <v>8.16</v>
      </c>
      <c r="G401" s="9">
        <f t="shared" si="18"/>
        <v>4580452.8</v>
      </c>
      <c r="H401" s="9">
        <f>G401*'02_Actual_Revenue'!H401</f>
        <v>687067.91999999993</v>
      </c>
      <c r="I401" s="9">
        <f t="shared" si="19"/>
        <v>3893384.88</v>
      </c>
      <c r="J401" s="13">
        <f t="shared" si="20"/>
        <v>0.85</v>
      </c>
    </row>
    <row r="402" spans="1:10">
      <c r="A402" s="5">
        <f>'02_Actual_Revenue'!A402</f>
        <v>45962</v>
      </c>
      <c r="B402" s="3" t="str">
        <f>'02_Actual_Revenue'!B402</f>
        <v>P001</v>
      </c>
      <c r="C402" s="3" t="str">
        <f>'02_Actual_Revenue'!C402</f>
        <v>R01</v>
      </c>
      <c r="D402" s="7">
        <f>'02_Actual_Revenue'!D402</f>
        <v>280000</v>
      </c>
      <c r="E402" s="7">
        <f>D402*(1+_xlfn.XLOOKUP("Devices",'01_Assumptions'!$A$4:$A$6,'01_Assumptions'!$B$4:$B$6))</f>
        <v>296800</v>
      </c>
      <c r="F402" s="3">
        <f>'02_Actual_Revenue'!E402*(1+_xlfn.XLOOKUP("Devices",'01_Assumptions'!$A$4:$A$6,'01_Assumptions'!$C$4:$C$6))</f>
        <v>712.98</v>
      </c>
      <c r="G402" s="9">
        <f t="shared" si="18"/>
        <v>211612464</v>
      </c>
      <c r="H402" s="9">
        <f>G402*'02_Actual_Revenue'!H402</f>
        <v>131199727.67999999</v>
      </c>
      <c r="I402" s="9">
        <f t="shared" si="19"/>
        <v>80412736.320000008</v>
      </c>
      <c r="J402" s="13">
        <f t="shared" si="20"/>
        <v>0.38000000000000006</v>
      </c>
    </row>
    <row r="403" spans="1:10">
      <c r="A403" s="5">
        <f>'02_Actual_Revenue'!A403</f>
        <v>45962</v>
      </c>
      <c r="B403" s="3" t="str">
        <f>'02_Actual_Revenue'!B403</f>
        <v>P001</v>
      </c>
      <c r="C403" s="3" t="str">
        <f>'02_Actual_Revenue'!C403</f>
        <v>R02</v>
      </c>
      <c r="D403" s="7">
        <f>'02_Actual_Revenue'!D403</f>
        <v>238000</v>
      </c>
      <c r="E403" s="7">
        <f>D403*(1+_xlfn.XLOOKUP("Devices",'01_Assumptions'!$A$4:$A$6,'01_Assumptions'!$B$4:$B$6))</f>
        <v>252280</v>
      </c>
      <c r="F403" s="3">
        <f>'02_Actual_Revenue'!E403*(1+_xlfn.XLOOKUP("Devices",'01_Assumptions'!$A$4:$A$6,'01_Assumptions'!$C$4:$C$6))</f>
        <v>712.98</v>
      </c>
      <c r="G403" s="9">
        <f t="shared" si="18"/>
        <v>179870594.40000001</v>
      </c>
      <c r="H403" s="9">
        <f>G403*'02_Actual_Revenue'!H403</f>
        <v>111519768.528</v>
      </c>
      <c r="I403" s="9">
        <f t="shared" si="19"/>
        <v>68350825.872000009</v>
      </c>
      <c r="J403" s="13">
        <f t="shared" si="20"/>
        <v>0.38000000000000006</v>
      </c>
    </row>
    <row r="404" spans="1:10">
      <c r="A404" s="5">
        <f>'02_Actual_Revenue'!A404</f>
        <v>45962</v>
      </c>
      <c r="B404" s="3" t="str">
        <f>'02_Actual_Revenue'!B404</f>
        <v>P001</v>
      </c>
      <c r="C404" s="3" t="str">
        <f>'02_Actual_Revenue'!C404</f>
        <v>R03</v>
      </c>
      <c r="D404" s="7">
        <f>'02_Actual_Revenue'!D404</f>
        <v>266000</v>
      </c>
      <c r="E404" s="7">
        <f>D404*(1+_xlfn.XLOOKUP("Devices",'01_Assumptions'!$A$4:$A$6,'01_Assumptions'!$B$4:$B$6))</f>
        <v>281960</v>
      </c>
      <c r="F404" s="3">
        <f>'02_Actual_Revenue'!E404*(1+_xlfn.XLOOKUP("Devices",'01_Assumptions'!$A$4:$A$6,'01_Assumptions'!$C$4:$C$6))</f>
        <v>712.98</v>
      </c>
      <c r="G404" s="9">
        <f t="shared" si="18"/>
        <v>201031840.80000001</v>
      </c>
      <c r="H404" s="9">
        <f>G404*'02_Actual_Revenue'!H404</f>
        <v>124639741.296</v>
      </c>
      <c r="I404" s="9">
        <f t="shared" si="19"/>
        <v>76392099.504000008</v>
      </c>
      <c r="J404" s="13">
        <f t="shared" si="20"/>
        <v>0.38</v>
      </c>
    </row>
    <row r="405" spans="1:10">
      <c r="A405" s="5">
        <f>'02_Actual_Revenue'!A405</f>
        <v>45962</v>
      </c>
      <c r="B405" s="3" t="str">
        <f>'02_Actual_Revenue'!B405</f>
        <v>P001</v>
      </c>
      <c r="C405" s="3" t="str">
        <f>'02_Actual_Revenue'!C405</f>
        <v>R04</v>
      </c>
      <c r="D405" s="7">
        <f>'02_Actual_Revenue'!D405</f>
        <v>154000</v>
      </c>
      <c r="E405" s="7">
        <f>D405*(1+_xlfn.XLOOKUP("Devices",'01_Assumptions'!$A$4:$A$6,'01_Assumptions'!$B$4:$B$6))</f>
        <v>163240</v>
      </c>
      <c r="F405" s="3">
        <f>'02_Actual_Revenue'!E405*(1+_xlfn.XLOOKUP("Devices",'01_Assumptions'!$A$4:$A$6,'01_Assumptions'!$C$4:$C$6))</f>
        <v>712.98</v>
      </c>
      <c r="G405" s="9">
        <f t="shared" si="18"/>
        <v>116386855.2</v>
      </c>
      <c r="H405" s="9">
        <f>G405*'02_Actual_Revenue'!H405</f>
        <v>72159850.224000007</v>
      </c>
      <c r="I405" s="9">
        <f t="shared" si="19"/>
        <v>44227004.975999996</v>
      </c>
      <c r="J405" s="13">
        <f t="shared" si="20"/>
        <v>0.37999999999999995</v>
      </c>
    </row>
    <row r="406" spans="1:10">
      <c r="A406" s="5">
        <f>'02_Actual_Revenue'!A406</f>
        <v>45962</v>
      </c>
      <c r="B406" s="3" t="str">
        <f>'02_Actual_Revenue'!B406</f>
        <v>P002</v>
      </c>
      <c r="C406" s="3" t="str">
        <f>'02_Actual_Revenue'!C406</f>
        <v>R01</v>
      </c>
      <c r="D406" s="7">
        <f>'02_Actual_Revenue'!D406</f>
        <v>134400</v>
      </c>
      <c r="E406" s="7">
        <f>D406*(1+_xlfn.XLOOKUP("Devices",'01_Assumptions'!$A$4:$A$6,'01_Assumptions'!$B$4:$B$6))</f>
        <v>142464</v>
      </c>
      <c r="F406" s="3">
        <f>'02_Actual_Revenue'!E406*(1+_xlfn.XLOOKUP("Devices",'01_Assumptions'!$A$4:$A$6,'01_Assumptions'!$C$4:$C$6))</f>
        <v>1018.98</v>
      </c>
      <c r="G406" s="9">
        <f t="shared" si="18"/>
        <v>145167966.72</v>
      </c>
      <c r="H406" s="9">
        <f>G406*'02_Actual_Revenue'!H406</f>
        <v>84197420.697599992</v>
      </c>
      <c r="I406" s="9">
        <f t="shared" si="19"/>
        <v>60970546.022400007</v>
      </c>
      <c r="J406" s="13">
        <f t="shared" si="20"/>
        <v>0.42000000000000004</v>
      </c>
    </row>
    <row r="407" spans="1:10">
      <c r="A407" s="5">
        <f>'02_Actual_Revenue'!A407</f>
        <v>45962</v>
      </c>
      <c r="B407" s="3" t="str">
        <f>'02_Actual_Revenue'!B407</f>
        <v>P002</v>
      </c>
      <c r="C407" s="3" t="str">
        <f>'02_Actual_Revenue'!C407</f>
        <v>R02</v>
      </c>
      <c r="D407" s="7">
        <f>'02_Actual_Revenue'!D407</f>
        <v>114240</v>
      </c>
      <c r="E407" s="7">
        <f>D407*(1+_xlfn.XLOOKUP("Devices",'01_Assumptions'!$A$4:$A$6,'01_Assumptions'!$B$4:$B$6))</f>
        <v>121094.40000000001</v>
      </c>
      <c r="F407" s="3">
        <f>'02_Actual_Revenue'!E407*(1+_xlfn.XLOOKUP("Devices",'01_Assumptions'!$A$4:$A$6,'01_Assumptions'!$C$4:$C$6))</f>
        <v>1018.98</v>
      </c>
      <c r="G407" s="9">
        <f t="shared" si="18"/>
        <v>123392771.71200001</v>
      </c>
      <c r="H407" s="9">
        <f>G407*'02_Actual_Revenue'!H407</f>
        <v>71567807.59296</v>
      </c>
      <c r="I407" s="9">
        <f t="shared" si="19"/>
        <v>51824964.119040012</v>
      </c>
      <c r="J407" s="13">
        <f t="shared" si="20"/>
        <v>0.42000000000000004</v>
      </c>
    </row>
    <row r="408" spans="1:10">
      <c r="A408" s="5">
        <f>'02_Actual_Revenue'!A408</f>
        <v>45962</v>
      </c>
      <c r="B408" s="3" t="str">
        <f>'02_Actual_Revenue'!B408</f>
        <v>P002</v>
      </c>
      <c r="C408" s="3" t="str">
        <f>'02_Actual_Revenue'!C408</f>
        <v>R03</v>
      </c>
      <c r="D408" s="7">
        <f>'02_Actual_Revenue'!D408</f>
        <v>127680</v>
      </c>
      <c r="E408" s="7">
        <f>D408*(1+_xlfn.XLOOKUP("Devices",'01_Assumptions'!$A$4:$A$6,'01_Assumptions'!$B$4:$B$6))</f>
        <v>135340.80000000002</v>
      </c>
      <c r="F408" s="3">
        <f>'02_Actual_Revenue'!E408*(1+_xlfn.XLOOKUP("Devices",'01_Assumptions'!$A$4:$A$6,'01_Assumptions'!$C$4:$C$6))</f>
        <v>1018.98</v>
      </c>
      <c r="G408" s="9">
        <f t="shared" si="18"/>
        <v>137909568.38400003</v>
      </c>
      <c r="H408" s="9">
        <f>G408*'02_Actual_Revenue'!H408</f>
        <v>79987549.66272001</v>
      </c>
      <c r="I408" s="9">
        <f t="shared" si="19"/>
        <v>57922018.721280023</v>
      </c>
      <c r="J408" s="13">
        <f t="shared" si="20"/>
        <v>0.4200000000000001</v>
      </c>
    </row>
    <row r="409" spans="1:10">
      <c r="A409" s="5">
        <f>'02_Actual_Revenue'!A409</f>
        <v>45962</v>
      </c>
      <c r="B409" s="3" t="str">
        <f>'02_Actual_Revenue'!B409</f>
        <v>P002</v>
      </c>
      <c r="C409" s="3" t="str">
        <f>'02_Actual_Revenue'!C409</f>
        <v>R04</v>
      </c>
      <c r="D409" s="7">
        <f>'02_Actual_Revenue'!D409</f>
        <v>73920</v>
      </c>
      <c r="E409" s="7">
        <f>D409*(1+_xlfn.XLOOKUP("Devices",'01_Assumptions'!$A$4:$A$6,'01_Assumptions'!$B$4:$B$6))</f>
        <v>78355.199999999997</v>
      </c>
      <c r="F409" s="3">
        <f>'02_Actual_Revenue'!E409*(1+_xlfn.XLOOKUP("Devices",'01_Assumptions'!$A$4:$A$6,'01_Assumptions'!$C$4:$C$6))</f>
        <v>1018.98</v>
      </c>
      <c r="G409" s="9">
        <f t="shared" si="18"/>
        <v>79842381.695999995</v>
      </c>
      <c r="H409" s="9">
        <f>G409*'02_Actual_Revenue'!H409</f>
        <v>46308581.383679993</v>
      </c>
      <c r="I409" s="9">
        <f t="shared" si="19"/>
        <v>33533800.312320001</v>
      </c>
      <c r="J409" s="13">
        <f t="shared" si="20"/>
        <v>0.42000000000000004</v>
      </c>
    </row>
    <row r="410" spans="1:10">
      <c r="A410" s="5">
        <f>'02_Actual_Revenue'!A410</f>
        <v>45962</v>
      </c>
      <c r="B410" s="3" t="str">
        <f>'02_Actual_Revenue'!B410</f>
        <v>P003</v>
      </c>
      <c r="C410" s="3" t="str">
        <f>'02_Actual_Revenue'!C410</f>
        <v>R01</v>
      </c>
      <c r="D410" s="7">
        <f>'02_Actual_Revenue'!D410</f>
        <v>156800</v>
      </c>
      <c r="E410" s="7">
        <f>D410*(1+_xlfn.XLOOKUP("Devices",'01_Assumptions'!$A$4:$A$6,'01_Assumptions'!$B$4:$B$6))</f>
        <v>166208</v>
      </c>
      <c r="F410" s="3">
        <f>'02_Actual_Revenue'!E410*(1+_xlfn.XLOOKUP("Devices",'01_Assumptions'!$A$4:$A$6,'01_Assumptions'!$C$4:$C$6))</f>
        <v>559.98</v>
      </c>
      <c r="G410" s="9">
        <f t="shared" si="18"/>
        <v>93073155.840000004</v>
      </c>
      <c r="H410" s="9">
        <f>G410*'02_Actual_Revenue'!H410</f>
        <v>55843893.504000001</v>
      </c>
      <c r="I410" s="9">
        <f t="shared" si="19"/>
        <v>37229262.336000003</v>
      </c>
      <c r="J410" s="13">
        <f t="shared" si="20"/>
        <v>0.4</v>
      </c>
    </row>
    <row r="411" spans="1:10">
      <c r="A411" s="5">
        <f>'02_Actual_Revenue'!A411</f>
        <v>45962</v>
      </c>
      <c r="B411" s="3" t="str">
        <f>'02_Actual_Revenue'!B411</f>
        <v>P003</v>
      </c>
      <c r="C411" s="3" t="str">
        <f>'02_Actual_Revenue'!C411</f>
        <v>R02</v>
      </c>
      <c r="D411" s="7">
        <f>'02_Actual_Revenue'!D411</f>
        <v>133280</v>
      </c>
      <c r="E411" s="7">
        <f>D411*(1+_xlfn.XLOOKUP("Devices",'01_Assumptions'!$A$4:$A$6,'01_Assumptions'!$B$4:$B$6))</f>
        <v>141276.80000000002</v>
      </c>
      <c r="F411" s="3">
        <f>'02_Actual_Revenue'!E411*(1+_xlfn.XLOOKUP("Devices",'01_Assumptions'!$A$4:$A$6,'01_Assumptions'!$C$4:$C$6))</f>
        <v>559.98</v>
      </c>
      <c r="G411" s="9">
        <f t="shared" si="18"/>
        <v>79112182.464000016</v>
      </c>
      <c r="H411" s="9">
        <f>G411*'02_Actual_Revenue'!H411</f>
        <v>47467309.478400007</v>
      </c>
      <c r="I411" s="9">
        <f t="shared" si="19"/>
        <v>31644872.98560001</v>
      </c>
      <c r="J411" s="13">
        <f t="shared" si="20"/>
        <v>0.4</v>
      </c>
    </row>
    <row r="412" spans="1:10">
      <c r="A412" s="5">
        <f>'02_Actual_Revenue'!A412</f>
        <v>45962</v>
      </c>
      <c r="B412" s="3" t="str">
        <f>'02_Actual_Revenue'!B412</f>
        <v>P003</v>
      </c>
      <c r="C412" s="3" t="str">
        <f>'02_Actual_Revenue'!C412</f>
        <v>R03</v>
      </c>
      <c r="D412" s="7">
        <f>'02_Actual_Revenue'!D412</f>
        <v>148960</v>
      </c>
      <c r="E412" s="7">
        <f>D412*(1+_xlfn.XLOOKUP("Devices",'01_Assumptions'!$A$4:$A$6,'01_Assumptions'!$B$4:$B$6))</f>
        <v>157897.60000000001</v>
      </c>
      <c r="F412" s="3">
        <f>'02_Actual_Revenue'!E412*(1+_xlfn.XLOOKUP("Devices",'01_Assumptions'!$A$4:$A$6,'01_Assumptions'!$C$4:$C$6))</f>
        <v>559.98</v>
      </c>
      <c r="G412" s="9">
        <f t="shared" si="18"/>
        <v>88419498.048000008</v>
      </c>
      <c r="H412" s="9">
        <f>G412*'02_Actual_Revenue'!H412</f>
        <v>53051698.8288</v>
      </c>
      <c r="I412" s="9">
        <f t="shared" si="19"/>
        <v>35367799.219200008</v>
      </c>
      <c r="J412" s="13">
        <f t="shared" si="20"/>
        <v>0.40000000000000008</v>
      </c>
    </row>
    <row r="413" spans="1:10">
      <c r="A413" s="5">
        <f>'02_Actual_Revenue'!A413</f>
        <v>45962</v>
      </c>
      <c r="B413" s="3" t="str">
        <f>'02_Actual_Revenue'!B413</f>
        <v>P003</v>
      </c>
      <c r="C413" s="3" t="str">
        <f>'02_Actual_Revenue'!C413</f>
        <v>R04</v>
      </c>
      <c r="D413" s="7">
        <f>'02_Actual_Revenue'!D413</f>
        <v>86240</v>
      </c>
      <c r="E413" s="7">
        <f>D413*(1+_xlfn.XLOOKUP("Devices",'01_Assumptions'!$A$4:$A$6,'01_Assumptions'!$B$4:$B$6))</f>
        <v>91414.400000000009</v>
      </c>
      <c r="F413" s="3">
        <f>'02_Actual_Revenue'!E413*(1+_xlfn.XLOOKUP("Devices",'01_Assumptions'!$A$4:$A$6,'01_Assumptions'!$C$4:$C$6))</f>
        <v>559.98</v>
      </c>
      <c r="G413" s="9">
        <f t="shared" si="18"/>
        <v>51190235.712000005</v>
      </c>
      <c r="H413" s="9">
        <f>G413*'02_Actual_Revenue'!H413</f>
        <v>30714141.427200001</v>
      </c>
      <c r="I413" s="9">
        <f t="shared" si="19"/>
        <v>20476094.284800004</v>
      </c>
      <c r="J413" s="13">
        <f t="shared" si="20"/>
        <v>0.4</v>
      </c>
    </row>
    <row r="414" spans="1:10">
      <c r="A414" s="5">
        <f>'02_Actual_Revenue'!A414</f>
        <v>45962</v>
      </c>
      <c r="B414" s="3" t="str">
        <f>'02_Actual_Revenue'!B414</f>
        <v>P004</v>
      </c>
      <c r="C414" s="3" t="str">
        <f>'02_Actual_Revenue'!C414</f>
        <v>R01</v>
      </c>
      <c r="D414" s="7">
        <f>'02_Actual_Revenue'!D414</f>
        <v>78400</v>
      </c>
      <c r="E414" s="7">
        <f>D414*(1+_xlfn.XLOOKUP("Devices",'01_Assumptions'!$A$4:$A$6,'01_Assumptions'!$B$4:$B$6))</f>
        <v>83104</v>
      </c>
      <c r="F414" s="3">
        <f>'02_Actual_Revenue'!E414*(1+_xlfn.XLOOKUP("Devices",'01_Assumptions'!$A$4:$A$6,'01_Assumptions'!$C$4:$C$6))</f>
        <v>1222.98</v>
      </c>
      <c r="G414" s="9">
        <f t="shared" si="18"/>
        <v>101634529.92</v>
      </c>
      <c r="H414" s="9">
        <f>G414*'02_Actual_Revenue'!H414</f>
        <v>55898991.456000008</v>
      </c>
      <c r="I414" s="9">
        <f t="shared" si="19"/>
        <v>45735538.463999994</v>
      </c>
      <c r="J414" s="13">
        <f t="shared" si="20"/>
        <v>0.44999999999999996</v>
      </c>
    </row>
    <row r="415" spans="1:10">
      <c r="A415" s="5">
        <f>'02_Actual_Revenue'!A415</f>
        <v>45962</v>
      </c>
      <c r="B415" s="3" t="str">
        <f>'02_Actual_Revenue'!B415</f>
        <v>P004</v>
      </c>
      <c r="C415" s="3" t="str">
        <f>'02_Actual_Revenue'!C415</f>
        <v>R02</v>
      </c>
      <c r="D415" s="7">
        <f>'02_Actual_Revenue'!D415</f>
        <v>66640</v>
      </c>
      <c r="E415" s="7">
        <f>D415*(1+_xlfn.XLOOKUP("Devices",'01_Assumptions'!$A$4:$A$6,'01_Assumptions'!$B$4:$B$6))</f>
        <v>70638.400000000009</v>
      </c>
      <c r="F415" s="3">
        <f>'02_Actual_Revenue'!E415*(1+_xlfn.XLOOKUP("Devices",'01_Assumptions'!$A$4:$A$6,'01_Assumptions'!$C$4:$C$6))</f>
        <v>1222.98</v>
      </c>
      <c r="G415" s="9">
        <f t="shared" si="18"/>
        <v>86389350.432000011</v>
      </c>
      <c r="H415" s="9">
        <f>G415*'02_Actual_Revenue'!H415</f>
        <v>47514142.737600014</v>
      </c>
      <c r="I415" s="9">
        <f t="shared" si="19"/>
        <v>38875207.694399998</v>
      </c>
      <c r="J415" s="13">
        <f t="shared" si="20"/>
        <v>0.4499999999999999</v>
      </c>
    </row>
    <row r="416" spans="1:10">
      <c r="A416" s="5">
        <f>'02_Actual_Revenue'!A416</f>
        <v>45962</v>
      </c>
      <c r="B416" s="3" t="str">
        <f>'02_Actual_Revenue'!B416</f>
        <v>P004</v>
      </c>
      <c r="C416" s="3" t="str">
        <f>'02_Actual_Revenue'!C416</f>
        <v>R03</v>
      </c>
      <c r="D416" s="7">
        <f>'02_Actual_Revenue'!D416</f>
        <v>74480</v>
      </c>
      <c r="E416" s="7">
        <f>D416*(1+_xlfn.XLOOKUP("Devices",'01_Assumptions'!$A$4:$A$6,'01_Assumptions'!$B$4:$B$6))</f>
        <v>78948.800000000003</v>
      </c>
      <c r="F416" s="3">
        <f>'02_Actual_Revenue'!E416*(1+_xlfn.XLOOKUP("Devices",'01_Assumptions'!$A$4:$A$6,'01_Assumptions'!$C$4:$C$6))</f>
        <v>1222.98</v>
      </c>
      <c r="G416" s="9">
        <f t="shared" si="18"/>
        <v>96552803.42400001</v>
      </c>
      <c r="H416" s="9">
        <f>G416*'02_Actual_Revenue'!H416</f>
        <v>53104041.883200012</v>
      </c>
      <c r="I416" s="9">
        <f t="shared" si="19"/>
        <v>43448761.540799998</v>
      </c>
      <c r="J416" s="13">
        <f t="shared" si="20"/>
        <v>0.44999999999999996</v>
      </c>
    </row>
    <row r="417" spans="1:10">
      <c r="A417" s="5">
        <f>'02_Actual_Revenue'!A417</f>
        <v>45962</v>
      </c>
      <c r="B417" s="3" t="str">
        <f>'02_Actual_Revenue'!B417</f>
        <v>P004</v>
      </c>
      <c r="C417" s="3" t="str">
        <f>'02_Actual_Revenue'!C417</f>
        <v>R04</v>
      </c>
      <c r="D417" s="7">
        <f>'02_Actual_Revenue'!D417</f>
        <v>43120</v>
      </c>
      <c r="E417" s="7">
        <f>D417*(1+_xlfn.XLOOKUP("Devices",'01_Assumptions'!$A$4:$A$6,'01_Assumptions'!$B$4:$B$6))</f>
        <v>45707.200000000004</v>
      </c>
      <c r="F417" s="3">
        <f>'02_Actual_Revenue'!E417*(1+_xlfn.XLOOKUP("Devices",'01_Assumptions'!$A$4:$A$6,'01_Assumptions'!$C$4:$C$6))</f>
        <v>1222.98</v>
      </c>
      <c r="G417" s="9">
        <f t="shared" si="18"/>
        <v>55898991.456000008</v>
      </c>
      <c r="H417" s="9">
        <f>G417*'02_Actual_Revenue'!H417</f>
        <v>30744445.300800007</v>
      </c>
      <c r="I417" s="9">
        <f t="shared" si="19"/>
        <v>25154546.155200001</v>
      </c>
      <c r="J417" s="13">
        <f t="shared" si="20"/>
        <v>0.44999999999999996</v>
      </c>
    </row>
    <row r="418" spans="1:10">
      <c r="A418" s="5">
        <f>'02_Actual_Revenue'!A418</f>
        <v>45962</v>
      </c>
      <c r="B418" s="3" t="str">
        <f>'02_Actual_Revenue'!B418</f>
        <v>P005</v>
      </c>
      <c r="C418" s="3" t="str">
        <f>'02_Actual_Revenue'!C418</f>
        <v>R01</v>
      </c>
      <c r="D418" s="7">
        <f>'02_Actual_Revenue'!D418</f>
        <v>201600</v>
      </c>
      <c r="E418" s="7">
        <f>D418*(1+_xlfn.XLOOKUP("Devices",'01_Assumptions'!$A$4:$A$6,'01_Assumptions'!$B$4:$B$6))</f>
        <v>213696</v>
      </c>
      <c r="F418" s="3">
        <f>'02_Actual_Revenue'!E418*(1+_xlfn.XLOOKUP("Devices",'01_Assumptions'!$A$4:$A$6,'01_Assumptions'!$C$4:$C$6))</f>
        <v>304.98</v>
      </c>
      <c r="G418" s="9">
        <f t="shared" si="18"/>
        <v>65173006.080000006</v>
      </c>
      <c r="H418" s="9">
        <f>G418*'02_Actual_Revenue'!H418</f>
        <v>32586503.040000003</v>
      </c>
      <c r="I418" s="9">
        <f t="shared" si="19"/>
        <v>32586503.040000003</v>
      </c>
      <c r="J418" s="13">
        <f t="shared" si="20"/>
        <v>0.5</v>
      </c>
    </row>
    <row r="419" spans="1:10">
      <c r="A419" s="5">
        <f>'02_Actual_Revenue'!A419</f>
        <v>45962</v>
      </c>
      <c r="B419" s="3" t="str">
        <f>'02_Actual_Revenue'!B419</f>
        <v>P005</v>
      </c>
      <c r="C419" s="3" t="str">
        <f>'02_Actual_Revenue'!C419</f>
        <v>R02</v>
      </c>
      <c r="D419" s="7">
        <f>'02_Actual_Revenue'!D419</f>
        <v>171360</v>
      </c>
      <c r="E419" s="7">
        <f>D419*(1+_xlfn.XLOOKUP("Devices",'01_Assumptions'!$A$4:$A$6,'01_Assumptions'!$B$4:$B$6))</f>
        <v>181641.60000000001</v>
      </c>
      <c r="F419" s="3">
        <f>'02_Actual_Revenue'!E419*(1+_xlfn.XLOOKUP("Devices",'01_Assumptions'!$A$4:$A$6,'01_Assumptions'!$C$4:$C$6))</f>
        <v>304.98</v>
      </c>
      <c r="G419" s="9">
        <f t="shared" si="18"/>
        <v>55397055.168000005</v>
      </c>
      <c r="H419" s="9">
        <f>G419*'02_Actual_Revenue'!H419</f>
        <v>27698527.584000003</v>
      </c>
      <c r="I419" s="9">
        <f t="shared" si="19"/>
        <v>27698527.584000003</v>
      </c>
      <c r="J419" s="13">
        <f t="shared" si="20"/>
        <v>0.5</v>
      </c>
    </row>
    <row r="420" spans="1:10">
      <c r="A420" s="5">
        <f>'02_Actual_Revenue'!A420</f>
        <v>45962</v>
      </c>
      <c r="B420" s="3" t="str">
        <f>'02_Actual_Revenue'!B420</f>
        <v>P005</v>
      </c>
      <c r="C420" s="3" t="str">
        <f>'02_Actual_Revenue'!C420</f>
        <v>R03</v>
      </c>
      <c r="D420" s="7">
        <f>'02_Actual_Revenue'!D420</f>
        <v>191520</v>
      </c>
      <c r="E420" s="7">
        <f>D420*(1+_xlfn.XLOOKUP("Devices",'01_Assumptions'!$A$4:$A$6,'01_Assumptions'!$B$4:$B$6))</f>
        <v>203011.20000000001</v>
      </c>
      <c r="F420" s="3">
        <f>'02_Actual_Revenue'!E420*(1+_xlfn.XLOOKUP("Devices",'01_Assumptions'!$A$4:$A$6,'01_Assumptions'!$C$4:$C$6))</f>
        <v>304.98</v>
      </c>
      <c r="G420" s="9">
        <f t="shared" si="18"/>
        <v>61914355.776000008</v>
      </c>
      <c r="H420" s="9">
        <f>G420*'02_Actual_Revenue'!H420</f>
        <v>30957177.888000004</v>
      </c>
      <c r="I420" s="9">
        <f t="shared" si="19"/>
        <v>30957177.888000004</v>
      </c>
      <c r="J420" s="13">
        <f t="shared" si="20"/>
        <v>0.5</v>
      </c>
    </row>
    <row r="421" spans="1:10">
      <c r="A421" s="5">
        <f>'02_Actual_Revenue'!A421</f>
        <v>45962</v>
      </c>
      <c r="B421" s="3" t="str">
        <f>'02_Actual_Revenue'!B421</f>
        <v>P005</v>
      </c>
      <c r="C421" s="3" t="str">
        <f>'02_Actual_Revenue'!C421</f>
        <v>R04</v>
      </c>
      <c r="D421" s="7">
        <f>'02_Actual_Revenue'!D421</f>
        <v>110880</v>
      </c>
      <c r="E421" s="7">
        <f>D421*(1+_xlfn.XLOOKUP("Devices",'01_Assumptions'!$A$4:$A$6,'01_Assumptions'!$B$4:$B$6))</f>
        <v>117532.8</v>
      </c>
      <c r="F421" s="3">
        <f>'02_Actual_Revenue'!E421*(1+_xlfn.XLOOKUP("Devices",'01_Assumptions'!$A$4:$A$6,'01_Assumptions'!$C$4:$C$6))</f>
        <v>304.98</v>
      </c>
      <c r="G421" s="9">
        <f t="shared" si="18"/>
        <v>35845153.344000004</v>
      </c>
      <c r="H421" s="9">
        <f>G421*'02_Actual_Revenue'!H421</f>
        <v>17922576.672000002</v>
      </c>
      <c r="I421" s="9">
        <f t="shared" si="19"/>
        <v>17922576.672000002</v>
      </c>
      <c r="J421" s="13">
        <f t="shared" si="20"/>
        <v>0.5</v>
      </c>
    </row>
    <row r="422" spans="1:10">
      <c r="A422" s="5">
        <f>'02_Actual_Revenue'!A422</f>
        <v>45962</v>
      </c>
      <c r="B422" s="3" t="str">
        <f>'02_Actual_Revenue'!B422</f>
        <v>P006</v>
      </c>
      <c r="C422" s="3" t="str">
        <f>'02_Actual_Revenue'!C422</f>
        <v>R01</v>
      </c>
      <c r="D422" s="7">
        <f>'02_Actual_Revenue'!D422</f>
        <v>672000</v>
      </c>
      <c r="E422" s="7">
        <f>D422*(1+_xlfn.XLOOKUP("Cloud &amp; Software",'01_Assumptions'!$A$4:$A$6,'01_Assumptions'!$B$4:$B$6))</f>
        <v>739200.00000000012</v>
      </c>
      <c r="F422" s="3">
        <f>'02_Actual_Revenue'!E422*(1+_xlfn.XLOOKUP("Cloud &amp; Software",'01_Assumptions'!$A$4:$A$6,'01_Assumptions'!$C$4:$C$6))</f>
        <v>40.17</v>
      </c>
      <c r="G422" s="9">
        <f t="shared" si="18"/>
        <v>29693664.000000007</v>
      </c>
      <c r="H422" s="9">
        <f>G422*'02_Actual_Revenue'!H422</f>
        <v>7423416.0000000019</v>
      </c>
      <c r="I422" s="9">
        <f t="shared" si="19"/>
        <v>22270248.000000007</v>
      </c>
      <c r="J422" s="13">
        <f t="shared" si="20"/>
        <v>0.75000000000000011</v>
      </c>
    </row>
    <row r="423" spans="1:10">
      <c r="A423" s="5">
        <f>'02_Actual_Revenue'!A423</f>
        <v>45962</v>
      </c>
      <c r="B423" s="3" t="str">
        <f>'02_Actual_Revenue'!B423</f>
        <v>P006</v>
      </c>
      <c r="C423" s="3" t="str">
        <f>'02_Actual_Revenue'!C423</f>
        <v>R02</v>
      </c>
      <c r="D423" s="7">
        <f>'02_Actual_Revenue'!D423</f>
        <v>571200</v>
      </c>
      <c r="E423" s="7">
        <f>D423*(1+_xlfn.XLOOKUP("Cloud &amp; Software",'01_Assumptions'!$A$4:$A$6,'01_Assumptions'!$B$4:$B$6))</f>
        <v>628320</v>
      </c>
      <c r="F423" s="3">
        <f>'02_Actual_Revenue'!E423*(1+_xlfn.XLOOKUP("Cloud &amp; Software",'01_Assumptions'!$A$4:$A$6,'01_Assumptions'!$C$4:$C$6))</f>
        <v>40.17</v>
      </c>
      <c r="G423" s="9">
        <f t="shared" si="18"/>
        <v>25239614.400000002</v>
      </c>
      <c r="H423" s="9">
        <f>G423*'02_Actual_Revenue'!H423</f>
        <v>6309903.6000000006</v>
      </c>
      <c r="I423" s="9">
        <f t="shared" si="19"/>
        <v>18929710.800000001</v>
      </c>
      <c r="J423" s="13">
        <f t="shared" si="20"/>
        <v>0.75</v>
      </c>
    </row>
    <row r="424" spans="1:10">
      <c r="A424" s="5">
        <f>'02_Actual_Revenue'!A424</f>
        <v>45962</v>
      </c>
      <c r="B424" s="3" t="str">
        <f>'02_Actual_Revenue'!B424</f>
        <v>P006</v>
      </c>
      <c r="C424" s="3" t="str">
        <f>'02_Actual_Revenue'!C424</f>
        <v>R03</v>
      </c>
      <c r="D424" s="7">
        <f>'02_Actual_Revenue'!D424</f>
        <v>638400</v>
      </c>
      <c r="E424" s="7">
        <f>D424*(1+_xlfn.XLOOKUP("Cloud &amp; Software",'01_Assumptions'!$A$4:$A$6,'01_Assumptions'!$B$4:$B$6))</f>
        <v>702240</v>
      </c>
      <c r="F424" s="3">
        <f>'02_Actual_Revenue'!E424*(1+_xlfn.XLOOKUP("Cloud &amp; Software",'01_Assumptions'!$A$4:$A$6,'01_Assumptions'!$C$4:$C$6))</f>
        <v>40.17</v>
      </c>
      <c r="G424" s="9">
        <f t="shared" si="18"/>
        <v>28208980.800000001</v>
      </c>
      <c r="H424" s="9">
        <f>G424*'02_Actual_Revenue'!H424</f>
        <v>7052245.2000000002</v>
      </c>
      <c r="I424" s="9">
        <f t="shared" si="19"/>
        <v>21156735.600000001</v>
      </c>
      <c r="J424" s="13">
        <f t="shared" si="20"/>
        <v>0.75</v>
      </c>
    </row>
    <row r="425" spans="1:10">
      <c r="A425" s="5">
        <f>'02_Actual_Revenue'!A425</f>
        <v>45962</v>
      </c>
      <c r="B425" s="3" t="str">
        <f>'02_Actual_Revenue'!B425</f>
        <v>P006</v>
      </c>
      <c r="C425" s="3" t="str">
        <f>'02_Actual_Revenue'!C425</f>
        <v>R04</v>
      </c>
      <c r="D425" s="7">
        <f>'02_Actual_Revenue'!D425</f>
        <v>369600</v>
      </c>
      <c r="E425" s="7">
        <f>D425*(1+_xlfn.XLOOKUP("Cloud &amp; Software",'01_Assumptions'!$A$4:$A$6,'01_Assumptions'!$B$4:$B$6))</f>
        <v>406560.00000000006</v>
      </c>
      <c r="F425" s="3">
        <f>'02_Actual_Revenue'!E425*(1+_xlfn.XLOOKUP("Cloud &amp; Software",'01_Assumptions'!$A$4:$A$6,'01_Assumptions'!$C$4:$C$6))</f>
        <v>40.17</v>
      </c>
      <c r="G425" s="9">
        <f t="shared" si="18"/>
        <v>16331515.200000003</v>
      </c>
      <c r="H425" s="9">
        <f>G425*'02_Actual_Revenue'!H425</f>
        <v>4082878.8000000007</v>
      </c>
      <c r="I425" s="9">
        <f t="shared" si="19"/>
        <v>12248636.400000002</v>
      </c>
      <c r="J425" s="13">
        <f t="shared" si="20"/>
        <v>0.75</v>
      </c>
    </row>
    <row r="426" spans="1:10">
      <c r="A426" s="5">
        <f>'02_Actual_Revenue'!A426</f>
        <v>45962</v>
      </c>
      <c r="B426" s="3" t="str">
        <f>'02_Actual_Revenue'!B426</f>
        <v>P007</v>
      </c>
      <c r="C426" s="3" t="str">
        <f>'02_Actual_Revenue'!C426</f>
        <v>R01</v>
      </c>
      <c r="D426" s="7">
        <f>'02_Actual_Revenue'!D426</f>
        <v>448000</v>
      </c>
      <c r="E426" s="7">
        <f>D426*(1+_xlfn.XLOOKUP("Cloud &amp; Software",'01_Assumptions'!$A$4:$A$6,'01_Assumptions'!$B$4:$B$6))</f>
        <v>492800.00000000006</v>
      </c>
      <c r="F426" s="3">
        <f>'02_Actual_Revenue'!E426*(1+_xlfn.XLOOKUP("Cloud &amp; Software",'01_Assumptions'!$A$4:$A$6,'01_Assumptions'!$C$4:$C$6))</f>
        <v>24.72</v>
      </c>
      <c r="G426" s="9">
        <f t="shared" si="18"/>
        <v>12182016</v>
      </c>
      <c r="H426" s="9">
        <f>G426*'02_Actual_Revenue'!H426</f>
        <v>2436403.2000000002</v>
      </c>
      <c r="I426" s="9">
        <f t="shared" si="19"/>
        <v>9745612.8000000007</v>
      </c>
      <c r="J426" s="13">
        <f t="shared" si="20"/>
        <v>0.8</v>
      </c>
    </row>
    <row r="427" spans="1:10">
      <c r="A427" s="5">
        <f>'02_Actual_Revenue'!A427</f>
        <v>45962</v>
      </c>
      <c r="B427" s="3" t="str">
        <f>'02_Actual_Revenue'!B427</f>
        <v>P007</v>
      </c>
      <c r="C427" s="3" t="str">
        <f>'02_Actual_Revenue'!C427</f>
        <v>R02</v>
      </c>
      <c r="D427" s="7">
        <f>'02_Actual_Revenue'!D427</f>
        <v>380800</v>
      </c>
      <c r="E427" s="7">
        <f>D427*(1+_xlfn.XLOOKUP("Cloud &amp; Software",'01_Assumptions'!$A$4:$A$6,'01_Assumptions'!$B$4:$B$6))</f>
        <v>418880.00000000006</v>
      </c>
      <c r="F427" s="3">
        <f>'02_Actual_Revenue'!E427*(1+_xlfn.XLOOKUP("Cloud &amp; Software",'01_Assumptions'!$A$4:$A$6,'01_Assumptions'!$C$4:$C$6))</f>
        <v>24.72</v>
      </c>
      <c r="G427" s="9">
        <f t="shared" si="18"/>
        <v>10354713.600000001</v>
      </c>
      <c r="H427" s="9">
        <f>G427*'02_Actual_Revenue'!H427</f>
        <v>2070942.7200000004</v>
      </c>
      <c r="I427" s="9">
        <f t="shared" si="19"/>
        <v>8283770.8800000008</v>
      </c>
      <c r="J427" s="13">
        <f t="shared" si="20"/>
        <v>0.79999999999999993</v>
      </c>
    </row>
    <row r="428" spans="1:10">
      <c r="A428" s="5">
        <f>'02_Actual_Revenue'!A428</f>
        <v>45962</v>
      </c>
      <c r="B428" s="3" t="str">
        <f>'02_Actual_Revenue'!B428</f>
        <v>P007</v>
      </c>
      <c r="C428" s="3" t="str">
        <f>'02_Actual_Revenue'!C428</f>
        <v>R03</v>
      </c>
      <c r="D428" s="7">
        <f>'02_Actual_Revenue'!D428</f>
        <v>425600</v>
      </c>
      <c r="E428" s="7">
        <f>D428*(1+_xlfn.XLOOKUP("Cloud &amp; Software",'01_Assumptions'!$A$4:$A$6,'01_Assumptions'!$B$4:$B$6))</f>
        <v>468160.00000000006</v>
      </c>
      <c r="F428" s="3">
        <f>'02_Actual_Revenue'!E428*(1+_xlfn.XLOOKUP("Cloud &amp; Software",'01_Assumptions'!$A$4:$A$6,'01_Assumptions'!$C$4:$C$6))</f>
        <v>24.72</v>
      </c>
      <c r="G428" s="9">
        <f t="shared" si="18"/>
        <v>11572915.200000001</v>
      </c>
      <c r="H428" s="9">
        <f>G428*'02_Actual_Revenue'!H428</f>
        <v>2314583.0400000005</v>
      </c>
      <c r="I428" s="9">
        <f t="shared" si="19"/>
        <v>9258332.1600000001</v>
      </c>
      <c r="J428" s="13">
        <f t="shared" si="20"/>
        <v>0.79999999999999993</v>
      </c>
    </row>
    <row r="429" spans="1:10">
      <c r="A429" s="5">
        <f>'02_Actual_Revenue'!A429</f>
        <v>45962</v>
      </c>
      <c r="B429" s="3" t="str">
        <f>'02_Actual_Revenue'!B429</f>
        <v>P007</v>
      </c>
      <c r="C429" s="3" t="str">
        <f>'02_Actual_Revenue'!C429</f>
        <v>R04</v>
      </c>
      <c r="D429" s="7">
        <f>'02_Actual_Revenue'!D429</f>
        <v>246400</v>
      </c>
      <c r="E429" s="7">
        <f>D429*(1+_xlfn.XLOOKUP("Cloud &amp; Software",'01_Assumptions'!$A$4:$A$6,'01_Assumptions'!$B$4:$B$6))</f>
        <v>271040</v>
      </c>
      <c r="F429" s="3">
        <f>'02_Actual_Revenue'!E429*(1+_xlfn.XLOOKUP("Cloud &amp; Software",'01_Assumptions'!$A$4:$A$6,'01_Assumptions'!$C$4:$C$6))</f>
        <v>24.72</v>
      </c>
      <c r="G429" s="9">
        <f t="shared" si="18"/>
        <v>6700108.7999999998</v>
      </c>
      <c r="H429" s="9">
        <f>G429*'02_Actual_Revenue'!H429</f>
        <v>1340021.76</v>
      </c>
      <c r="I429" s="9">
        <f t="shared" si="19"/>
        <v>5360087.04</v>
      </c>
      <c r="J429" s="13">
        <f t="shared" si="20"/>
        <v>0.8</v>
      </c>
    </row>
    <row r="430" spans="1:10">
      <c r="A430" s="5">
        <f>'02_Actual_Revenue'!A430</f>
        <v>45962</v>
      </c>
      <c r="B430" s="3" t="str">
        <f>'02_Actual_Revenue'!B430</f>
        <v>P008</v>
      </c>
      <c r="C430" s="3" t="str">
        <f>'02_Actual_Revenue'!C430</f>
        <v>R01</v>
      </c>
      <c r="D430" s="7">
        <f>'02_Actual_Revenue'!D430</f>
        <v>1344000</v>
      </c>
      <c r="E430" s="7">
        <f>D430*(1+_xlfn.XLOOKUP("Digital Services",'01_Assumptions'!$A$4:$A$6,'01_Assumptions'!$B$4:$B$6))</f>
        <v>1451520</v>
      </c>
      <c r="F430" s="3">
        <f>'02_Actual_Revenue'!E430*(1+_xlfn.XLOOKUP("Digital Services",'01_Assumptions'!$A$4:$A$6,'01_Assumptions'!$C$4:$C$6))</f>
        <v>12.24</v>
      </c>
      <c r="G430" s="9">
        <f t="shared" si="18"/>
        <v>17766604.800000001</v>
      </c>
      <c r="H430" s="9">
        <f>G430*'02_Actual_Revenue'!H430</f>
        <v>5329981.4400000004</v>
      </c>
      <c r="I430" s="9">
        <f t="shared" si="19"/>
        <v>12436623.359999999</v>
      </c>
      <c r="J430" s="13">
        <f t="shared" si="20"/>
        <v>0.7</v>
      </c>
    </row>
    <row r="431" spans="1:10">
      <c r="A431" s="5">
        <f>'02_Actual_Revenue'!A431</f>
        <v>45962</v>
      </c>
      <c r="B431" s="3" t="str">
        <f>'02_Actual_Revenue'!B431</f>
        <v>P008</v>
      </c>
      <c r="C431" s="3" t="str">
        <f>'02_Actual_Revenue'!C431</f>
        <v>R02</v>
      </c>
      <c r="D431" s="7">
        <f>'02_Actual_Revenue'!D431</f>
        <v>1142400</v>
      </c>
      <c r="E431" s="7">
        <f>D431*(1+_xlfn.XLOOKUP("Digital Services",'01_Assumptions'!$A$4:$A$6,'01_Assumptions'!$B$4:$B$6))</f>
        <v>1233792</v>
      </c>
      <c r="F431" s="3">
        <f>'02_Actual_Revenue'!E431*(1+_xlfn.XLOOKUP("Digital Services",'01_Assumptions'!$A$4:$A$6,'01_Assumptions'!$C$4:$C$6))</f>
        <v>12.24</v>
      </c>
      <c r="G431" s="9">
        <f t="shared" si="18"/>
        <v>15101614.08</v>
      </c>
      <c r="H431" s="9">
        <f>G431*'02_Actual_Revenue'!H431</f>
        <v>4530484.2239999995</v>
      </c>
      <c r="I431" s="9">
        <f t="shared" si="19"/>
        <v>10571129.856000001</v>
      </c>
      <c r="J431" s="13">
        <f t="shared" si="20"/>
        <v>0.70000000000000007</v>
      </c>
    </row>
    <row r="432" spans="1:10">
      <c r="A432" s="5">
        <f>'02_Actual_Revenue'!A432</f>
        <v>45962</v>
      </c>
      <c r="B432" s="3" t="str">
        <f>'02_Actual_Revenue'!B432</f>
        <v>P008</v>
      </c>
      <c r="C432" s="3" t="str">
        <f>'02_Actual_Revenue'!C432</f>
        <v>R03</v>
      </c>
      <c r="D432" s="7">
        <f>'02_Actual_Revenue'!D432</f>
        <v>1276800</v>
      </c>
      <c r="E432" s="7">
        <f>D432*(1+_xlfn.XLOOKUP("Digital Services",'01_Assumptions'!$A$4:$A$6,'01_Assumptions'!$B$4:$B$6))</f>
        <v>1378944</v>
      </c>
      <c r="F432" s="3">
        <f>'02_Actual_Revenue'!E432*(1+_xlfn.XLOOKUP("Digital Services",'01_Assumptions'!$A$4:$A$6,'01_Assumptions'!$C$4:$C$6))</f>
        <v>12.24</v>
      </c>
      <c r="G432" s="9">
        <f t="shared" si="18"/>
        <v>16878274.559999999</v>
      </c>
      <c r="H432" s="9">
        <f>G432*'02_Actual_Revenue'!H432</f>
        <v>5063482.3679999998</v>
      </c>
      <c r="I432" s="9">
        <f t="shared" si="19"/>
        <v>11814792.191999998</v>
      </c>
      <c r="J432" s="13">
        <f t="shared" si="20"/>
        <v>0.7</v>
      </c>
    </row>
    <row r="433" spans="1:10">
      <c r="A433" s="5">
        <f>'02_Actual_Revenue'!A433</f>
        <v>45962</v>
      </c>
      <c r="B433" s="3" t="str">
        <f>'02_Actual_Revenue'!B433</f>
        <v>P008</v>
      </c>
      <c r="C433" s="3" t="str">
        <f>'02_Actual_Revenue'!C433</f>
        <v>R04</v>
      </c>
      <c r="D433" s="7">
        <f>'02_Actual_Revenue'!D433</f>
        <v>739200</v>
      </c>
      <c r="E433" s="7">
        <f>D433*(1+_xlfn.XLOOKUP("Digital Services",'01_Assumptions'!$A$4:$A$6,'01_Assumptions'!$B$4:$B$6))</f>
        <v>798336</v>
      </c>
      <c r="F433" s="3">
        <f>'02_Actual_Revenue'!E433*(1+_xlfn.XLOOKUP("Digital Services",'01_Assumptions'!$A$4:$A$6,'01_Assumptions'!$C$4:$C$6))</f>
        <v>12.24</v>
      </c>
      <c r="G433" s="9">
        <f t="shared" si="18"/>
        <v>9771632.6400000006</v>
      </c>
      <c r="H433" s="9">
        <f>G433*'02_Actual_Revenue'!H433</f>
        <v>2931489.7919999999</v>
      </c>
      <c r="I433" s="9">
        <f t="shared" si="19"/>
        <v>6840142.8480000012</v>
      </c>
      <c r="J433" s="13">
        <f t="shared" si="20"/>
        <v>0.70000000000000007</v>
      </c>
    </row>
    <row r="434" spans="1:10">
      <c r="A434" s="5">
        <f>'02_Actual_Revenue'!A434</f>
        <v>45962</v>
      </c>
      <c r="B434" s="3" t="str">
        <f>'02_Actual_Revenue'!B434</f>
        <v>P009</v>
      </c>
      <c r="C434" s="3" t="str">
        <f>'02_Actual_Revenue'!C434</f>
        <v>R01</v>
      </c>
      <c r="D434" s="7">
        <f>'02_Actual_Revenue'!D434</f>
        <v>896000</v>
      </c>
      <c r="E434" s="7">
        <f>D434*(1+_xlfn.XLOOKUP("Digital Services",'01_Assumptions'!$A$4:$A$6,'01_Assumptions'!$B$4:$B$6))</f>
        <v>967680.00000000012</v>
      </c>
      <c r="F434" s="3">
        <f>'02_Actual_Revenue'!E434*(1+_xlfn.XLOOKUP("Digital Services",'01_Assumptions'!$A$4:$A$6,'01_Assumptions'!$C$4:$C$6))</f>
        <v>15.3</v>
      </c>
      <c r="G434" s="9">
        <f t="shared" si="18"/>
        <v>14805504.000000002</v>
      </c>
      <c r="H434" s="9">
        <f>G434*'02_Actual_Revenue'!H434</f>
        <v>5181926.4000000004</v>
      </c>
      <c r="I434" s="9">
        <f t="shared" si="19"/>
        <v>9623577.6000000015</v>
      </c>
      <c r="J434" s="13">
        <f t="shared" si="20"/>
        <v>0.65</v>
      </c>
    </row>
    <row r="435" spans="1:10">
      <c r="A435" s="5">
        <f>'02_Actual_Revenue'!A435</f>
        <v>45962</v>
      </c>
      <c r="B435" s="3" t="str">
        <f>'02_Actual_Revenue'!B435</f>
        <v>P009</v>
      </c>
      <c r="C435" s="3" t="str">
        <f>'02_Actual_Revenue'!C435</f>
        <v>R02</v>
      </c>
      <c r="D435" s="7">
        <f>'02_Actual_Revenue'!D435</f>
        <v>761600</v>
      </c>
      <c r="E435" s="7">
        <f>D435*(1+_xlfn.XLOOKUP("Digital Services",'01_Assumptions'!$A$4:$A$6,'01_Assumptions'!$B$4:$B$6))</f>
        <v>822528</v>
      </c>
      <c r="F435" s="3">
        <f>'02_Actual_Revenue'!E435*(1+_xlfn.XLOOKUP("Digital Services",'01_Assumptions'!$A$4:$A$6,'01_Assumptions'!$C$4:$C$6))</f>
        <v>15.3</v>
      </c>
      <c r="G435" s="9">
        <f t="shared" si="18"/>
        <v>12584678.4</v>
      </c>
      <c r="H435" s="9">
        <f>G435*'02_Actual_Revenue'!H435</f>
        <v>4404637.4399999995</v>
      </c>
      <c r="I435" s="9">
        <f t="shared" si="19"/>
        <v>8180040.9600000009</v>
      </c>
      <c r="J435" s="13">
        <f t="shared" si="20"/>
        <v>0.65</v>
      </c>
    </row>
    <row r="436" spans="1:10">
      <c r="A436" s="5">
        <f>'02_Actual_Revenue'!A436</f>
        <v>45962</v>
      </c>
      <c r="B436" s="3" t="str">
        <f>'02_Actual_Revenue'!B436</f>
        <v>P009</v>
      </c>
      <c r="C436" s="3" t="str">
        <f>'02_Actual_Revenue'!C436</f>
        <v>R03</v>
      </c>
      <c r="D436" s="7">
        <f>'02_Actual_Revenue'!D436</f>
        <v>851200</v>
      </c>
      <c r="E436" s="7">
        <f>D436*(1+_xlfn.XLOOKUP("Digital Services",'01_Assumptions'!$A$4:$A$6,'01_Assumptions'!$B$4:$B$6))</f>
        <v>919296.00000000012</v>
      </c>
      <c r="F436" s="3">
        <f>'02_Actual_Revenue'!E436*(1+_xlfn.XLOOKUP("Digital Services",'01_Assumptions'!$A$4:$A$6,'01_Assumptions'!$C$4:$C$6))</f>
        <v>15.3</v>
      </c>
      <c r="G436" s="9">
        <f t="shared" si="18"/>
        <v>14065228.800000003</v>
      </c>
      <c r="H436" s="9">
        <f>G436*'02_Actual_Revenue'!H436</f>
        <v>4922830.080000001</v>
      </c>
      <c r="I436" s="9">
        <f t="shared" si="19"/>
        <v>9142398.7200000025</v>
      </c>
      <c r="J436" s="13">
        <f t="shared" si="20"/>
        <v>0.65</v>
      </c>
    </row>
    <row r="437" spans="1:10">
      <c r="A437" s="5">
        <f>'02_Actual_Revenue'!A437</f>
        <v>45962</v>
      </c>
      <c r="B437" s="3" t="str">
        <f>'02_Actual_Revenue'!B437</f>
        <v>P009</v>
      </c>
      <c r="C437" s="3" t="str">
        <f>'02_Actual_Revenue'!C437</f>
        <v>R04</v>
      </c>
      <c r="D437" s="7">
        <f>'02_Actual_Revenue'!D437</f>
        <v>492800</v>
      </c>
      <c r="E437" s="7">
        <f>D437*(1+_xlfn.XLOOKUP("Digital Services",'01_Assumptions'!$A$4:$A$6,'01_Assumptions'!$B$4:$B$6))</f>
        <v>532224</v>
      </c>
      <c r="F437" s="3">
        <f>'02_Actual_Revenue'!E437*(1+_xlfn.XLOOKUP("Digital Services",'01_Assumptions'!$A$4:$A$6,'01_Assumptions'!$C$4:$C$6))</f>
        <v>15.3</v>
      </c>
      <c r="G437" s="9">
        <f t="shared" si="18"/>
        <v>8143027.2000000002</v>
      </c>
      <c r="H437" s="9">
        <f>G437*'02_Actual_Revenue'!H437</f>
        <v>2850059.52</v>
      </c>
      <c r="I437" s="9">
        <f t="shared" si="19"/>
        <v>5292967.68</v>
      </c>
      <c r="J437" s="13">
        <f t="shared" si="20"/>
        <v>0.64999999999999991</v>
      </c>
    </row>
    <row r="438" spans="1:10">
      <c r="A438" s="5">
        <f>'02_Actual_Revenue'!A438</f>
        <v>45962</v>
      </c>
      <c r="B438" s="3" t="str">
        <f>'02_Actual_Revenue'!B438</f>
        <v>P010</v>
      </c>
      <c r="C438" s="3" t="str">
        <f>'02_Actual_Revenue'!C438</f>
        <v>R01</v>
      </c>
      <c r="D438" s="7">
        <f>'02_Actual_Revenue'!D438</f>
        <v>1008000</v>
      </c>
      <c r="E438" s="7">
        <f>D438*(1+_xlfn.XLOOKUP("Digital Services",'01_Assumptions'!$A$4:$A$6,'01_Assumptions'!$B$4:$B$6))</f>
        <v>1088640</v>
      </c>
      <c r="F438" s="3">
        <f>'02_Actual_Revenue'!E438*(1+_xlfn.XLOOKUP("Digital Services",'01_Assumptions'!$A$4:$A$6,'01_Assumptions'!$C$4:$C$6))</f>
        <v>8.16</v>
      </c>
      <c r="G438" s="9">
        <f t="shared" si="18"/>
        <v>8883302.4000000004</v>
      </c>
      <c r="H438" s="9">
        <f>G438*'02_Actual_Revenue'!H438</f>
        <v>1332495.3600000001</v>
      </c>
      <c r="I438" s="9">
        <f t="shared" si="19"/>
        <v>7550807.04</v>
      </c>
      <c r="J438" s="13">
        <f t="shared" si="20"/>
        <v>0.85</v>
      </c>
    </row>
    <row r="439" spans="1:10">
      <c r="A439" s="5">
        <f>'02_Actual_Revenue'!A439</f>
        <v>45962</v>
      </c>
      <c r="B439" s="3" t="str">
        <f>'02_Actual_Revenue'!B439</f>
        <v>P010</v>
      </c>
      <c r="C439" s="3" t="str">
        <f>'02_Actual_Revenue'!C439</f>
        <v>R02</v>
      </c>
      <c r="D439" s="7">
        <f>'02_Actual_Revenue'!D439</f>
        <v>856800</v>
      </c>
      <c r="E439" s="7">
        <f>D439*(1+_xlfn.XLOOKUP("Digital Services",'01_Assumptions'!$A$4:$A$6,'01_Assumptions'!$B$4:$B$6))</f>
        <v>925344.00000000012</v>
      </c>
      <c r="F439" s="3">
        <f>'02_Actual_Revenue'!E439*(1+_xlfn.XLOOKUP("Digital Services",'01_Assumptions'!$A$4:$A$6,'01_Assumptions'!$C$4:$C$6))</f>
        <v>8.16</v>
      </c>
      <c r="G439" s="9">
        <f t="shared" si="18"/>
        <v>7550807.040000001</v>
      </c>
      <c r="H439" s="9">
        <f>G439*'02_Actual_Revenue'!H439</f>
        <v>1132621.0560000001</v>
      </c>
      <c r="I439" s="9">
        <f t="shared" si="19"/>
        <v>6418185.9840000011</v>
      </c>
      <c r="J439" s="13">
        <f t="shared" si="20"/>
        <v>0.85000000000000009</v>
      </c>
    </row>
    <row r="440" spans="1:10">
      <c r="A440" s="5">
        <f>'02_Actual_Revenue'!A440</f>
        <v>45962</v>
      </c>
      <c r="B440" s="3" t="str">
        <f>'02_Actual_Revenue'!B440</f>
        <v>P010</v>
      </c>
      <c r="C440" s="3" t="str">
        <f>'02_Actual_Revenue'!C440</f>
        <v>R03</v>
      </c>
      <c r="D440" s="7">
        <f>'02_Actual_Revenue'!D440</f>
        <v>957600</v>
      </c>
      <c r="E440" s="7">
        <f>D440*(1+_xlfn.XLOOKUP("Digital Services",'01_Assumptions'!$A$4:$A$6,'01_Assumptions'!$B$4:$B$6))</f>
        <v>1034208.0000000001</v>
      </c>
      <c r="F440" s="3">
        <f>'02_Actual_Revenue'!E440*(1+_xlfn.XLOOKUP("Digital Services",'01_Assumptions'!$A$4:$A$6,'01_Assumptions'!$C$4:$C$6))</f>
        <v>8.16</v>
      </c>
      <c r="G440" s="9">
        <f t="shared" si="18"/>
        <v>8439137.2800000012</v>
      </c>
      <c r="H440" s="9">
        <f>G440*'02_Actual_Revenue'!H440</f>
        <v>1265870.5920000002</v>
      </c>
      <c r="I440" s="9">
        <f t="shared" si="19"/>
        <v>7173266.688000001</v>
      </c>
      <c r="J440" s="13">
        <f t="shared" si="20"/>
        <v>0.85</v>
      </c>
    </row>
    <row r="441" spans="1:10">
      <c r="A441" s="5">
        <f>'02_Actual_Revenue'!A441</f>
        <v>45962</v>
      </c>
      <c r="B441" s="3" t="str">
        <f>'02_Actual_Revenue'!B441</f>
        <v>P010</v>
      </c>
      <c r="C441" s="3" t="str">
        <f>'02_Actual_Revenue'!C441</f>
        <v>R04</v>
      </c>
      <c r="D441" s="7">
        <f>'02_Actual_Revenue'!D441</f>
        <v>554400</v>
      </c>
      <c r="E441" s="7">
        <f>D441*(1+_xlfn.XLOOKUP("Digital Services",'01_Assumptions'!$A$4:$A$6,'01_Assumptions'!$B$4:$B$6))</f>
        <v>598752</v>
      </c>
      <c r="F441" s="3">
        <f>'02_Actual_Revenue'!E441*(1+_xlfn.XLOOKUP("Digital Services",'01_Assumptions'!$A$4:$A$6,'01_Assumptions'!$C$4:$C$6))</f>
        <v>8.16</v>
      </c>
      <c r="G441" s="9">
        <f t="shared" si="18"/>
        <v>4885816.32</v>
      </c>
      <c r="H441" s="9">
        <f>G441*'02_Actual_Revenue'!H441</f>
        <v>732872.44799999997</v>
      </c>
      <c r="I441" s="9">
        <f t="shared" si="19"/>
        <v>4152943.8720000004</v>
      </c>
      <c r="J441" s="13">
        <f t="shared" si="20"/>
        <v>0.85000000000000009</v>
      </c>
    </row>
    <row r="442" spans="1:10">
      <c r="A442" s="5">
        <f>'02_Actual_Revenue'!A442</f>
        <v>45992</v>
      </c>
      <c r="B442" s="3" t="str">
        <f>'02_Actual_Revenue'!B442</f>
        <v>P001</v>
      </c>
      <c r="C442" s="3" t="str">
        <f>'02_Actual_Revenue'!C442</f>
        <v>R01</v>
      </c>
      <c r="D442" s="7">
        <f>'02_Actual_Revenue'!D442</f>
        <v>295000</v>
      </c>
      <c r="E442" s="7">
        <f>D442*(1+_xlfn.XLOOKUP("Devices",'01_Assumptions'!$A$4:$A$6,'01_Assumptions'!$B$4:$B$6))</f>
        <v>312700</v>
      </c>
      <c r="F442" s="3">
        <f>'02_Actual_Revenue'!E442*(1+_xlfn.XLOOKUP("Devices",'01_Assumptions'!$A$4:$A$6,'01_Assumptions'!$C$4:$C$6))</f>
        <v>712.98</v>
      </c>
      <c r="G442" s="9">
        <f t="shared" si="18"/>
        <v>222948846</v>
      </c>
      <c r="H442" s="9">
        <f>G442*'02_Actual_Revenue'!H442</f>
        <v>138228284.52000001</v>
      </c>
      <c r="I442" s="9">
        <f t="shared" si="19"/>
        <v>84720561.479999989</v>
      </c>
      <c r="J442" s="13">
        <f t="shared" si="20"/>
        <v>0.37999999999999995</v>
      </c>
    </row>
    <row r="443" spans="1:10">
      <c r="A443" s="5">
        <f>'02_Actual_Revenue'!A443</f>
        <v>45992</v>
      </c>
      <c r="B443" s="3" t="str">
        <f>'02_Actual_Revenue'!B443</f>
        <v>P001</v>
      </c>
      <c r="C443" s="3" t="str">
        <f>'02_Actual_Revenue'!C443</f>
        <v>R02</v>
      </c>
      <c r="D443" s="7">
        <f>'02_Actual_Revenue'!D443</f>
        <v>250750</v>
      </c>
      <c r="E443" s="7">
        <f>D443*(1+_xlfn.XLOOKUP("Devices",'01_Assumptions'!$A$4:$A$6,'01_Assumptions'!$B$4:$B$6))</f>
        <v>265795</v>
      </c>
      <c r="F443" s="3">
        <f>'02_Actual_Revenue'!E443*(1+_xlfn.XLOOKUP("Devices",'01_Assumptions'!$A$4:$A$6,'01_Assumptions'!$C$4:$C$6))</f>
        <v>712.98</v>
      </c>
      <c r="G443" s="9">
        <f t="shared" si="18"/>
        <v>189506519.09999999</v>
      </c>
      <c r="H443" s="9">
        <f>G443*'02_Actual_Revenue'!H443</f>
        <v>117494041.84199999</v>
      </c>
      <c r="I443" s="9">
        <f t="shared" si="19"/>
        <v>72012477.258000001</v>
      </c>
      <c r="J443" s="13">
        <f t="shared" si="20"/>
        <v>0.38</v>
      </c>
    </row>
    <row r="444" spans="1:10">
      <c r="A444" s="5">
        <f>'02_Actual_Revenue'!A444</f>
        <v>45992</v>
      </c>
      <c r="B444" s="3" t="str">
        <f>'02_Actual_Revenue'!B444</f>
        <v>P001</v>
      </c>
      <c r="C444" s="3" t="str">
        <f>'02_Actual_Revenue'!C444</f>
        <v>R03</v>
      </c>
      <c r="D444" s="7">
        <f>'02_Actual_Revenue'!D444</f>
        <v>280250</v>
      </c>
      <c r="E444" s="7">
        <f>D444*(1+_xlfn.XLOOKUP("Devices",'01_Assumptions'!$A$4:$A$6,'01_Assumptions'!$B$4:$B$6))</f>
        <v>297065</v>
      </c>
      <c r="F444" s="3">
        <f>'02_Actual_Revenue'!E444*(1+_xlfn.XLOOKUP("Devices",'01_Assumptions'!$A$4:$A$6,'01_Assumptions'!$C$4:$C$6))</f>
        <v>712.98</v>
      </c>
      <c r="G444" s="9">
        <f t="shared" si="18"/>
        <v>211801403.70000002</v>
      </c>
      <c r="H444" s="9">
        <f>G444*'02_Actual_Revenue'!H444</f>
        <v>131316870.29400001</v>
      </c>
      <c r="I444" s="9">
        <f t="shared" si="19"/>
        <v>80484533.406000003</v>
      </c>
      <c r="J444" s="13">
        <f t="shared" si="20"/>
        <v>0.38</v>
      </c>
    </row>
    <row r="445" spans="1:10">
      <c r="A445" s="5">
        <f>'02_Actual_Revenue'!A445</f>
        <v>45992</v>
      </c>
      <c r="B445" s="3" t="str">
        <f>'02_Actual_Revenue'!B445</f>
        <v>P001</v>
      </c>
      <c r="C445" s="3" t="str">
        <f>'02_Actual_Revenue'!C445</f>
        <v>R04</v>
      </c>
      <c r="D445" s="7">
        <f>'02_Actual_Revenue'!D445</f>
        <v>162250</v>
      </c>
      <c r="E445" s="7">
        <f>D445*(1+_xlfn.XLOOKUP("Devices",'01_Assumptions'!$A$4:$A$6,'01_Assumptions'!$B$4:$B$6))</f>
        <v>171985</v>
      </c>
      <c r="F445" s="3">
        <f>'02_Actual_Revenue'!E445*(1+_xlfn.XLOOKUP("Devices",'01_Assumptions'!$A$4:$A$6,'01_Assumptions'!$C$4:$C$6))</f>
        <v>712.98</v>
      </c>
      <c r="G445" s="9">
        <f t="shared" si="18"/>
        <v>122621865.3</v>
      </c>
      <c r="H445" s="9">
        <f>G445*'02_Actual_Revenue'!H445</f>
        <v>76025556.486000001</v>
      </c>
      <c r="I445" s="9">
        <f t="shared" si="19"/>
        <v>46596308.813999996</v>
      </c>
      <c r="J445" s="13">
        <f t="shared" si="20"/>
        <v>0.37999999999999995</v>
      </c>
    </row>
    <row r="446" spans="1:10">
      <c r="A446" s="5">
        <f>'02_Actual_Revenue'!A446</f>
        <v>45992</v>
      </c>
      <c r="B446" s="3" t="str">
        <f>'02_Actual_Revenue'!B446</f>
        <v>P002</v>
      </c>
      <c r="C446" s="3" t="str">
        <f>'02_Actual_Revenue'!C446</f>
        <v>R01</v>
      </c>
      <c r="D446" s="7">
        <f>'02_Actual_Revenue'!D446</f>
        <v>141600</v>
      </c>
      <c r="E446" s="7">
        <f>D446*(1+_xlfn.XLOOKUP("Devices",'01_Assumptions'!$A$4:$A$6,'01_Assumptions'!$B$4:$B$6))</f>
        <v>150096</v>
      </c>
      <c r="F446" s="3">
        <f>'02_Actual_Revenue'!E446*(1+_xlfn.XLOOKUP("Devices",'01_Assumptions'!$A$4:$A$6,'01_Assumptions'!$C$4:$C$6))</f>
        <v>1018.98</v>
      </c>
      <c r="G446" s="9">
        <f t="shared" si="18"/>
        <v>152944822.08000001</v>
      </c>
      <c r="H446" s="9">
        <f>G446*'02_Actual_Revenue'!H446</f>
        <v>88707996.806400001</v>
      </c>
      <c r="I446" s="9">
        <f t="shared" si="19"/>
        <v>64236825.273600012</v>
      </c>
      <c r="J446" s="13">
        <f t="shared" si="20"/>
        <v>0.42000000000000004</v>
      </c>
    </row>
    <row r="447" spans="1:10">
      <c r="A447" s="5">
        <f>'02_Actual_Revenue'!A447</f>
        <v>45992</v>
      </c>
      <c r="B447" s="3" t="str">
        <f>'02_Actual_Revenue'!B447</f>
        <v>P002</v>
      </c>
      <c r="C447" s="3" t="str">
        <f>'02_Actual_Revenue'!C447</f>
        <v>R02</v>
      </c>
      <c r="D447" s="7">
        <f>'02_Actual_Revenue'!D447</f>
        <v>120360</v>
      </c>
      <c r="E447" s="7">
        <f>D447*(1+_xlfn.XLOOKUP("Devices",'01_Assumptions'!$A$4:$A$6,'01_Assumptions'!$B$4:$B$6))</f>
        <v>127581.6</v>
      </c>
      <c r="F447" s="3">
        <f>'02_Actual_Revenue'!E447*(1+_xlfn.XLOOKUP("Devices",'01_Assumptions'!$A$4:$A$6,'01_Assumptions'!$C$4:$C$6))</f>
        <v>1018.98</v>
      </c>
      <c r="G447" s="9">
        <f t="shared" si="18"/>
        <v>130003098.76800001</v>
      </c>
      <c r="H447" s="9">
        <f>G447*'02_Actual_Revenue'!H447</f>
        <v>75401797.285440013</v>
      </c>
      <c r="I447" s="9">
        <f t="shared" si="19"/>
        <v>54601301.482559994</v>
      </c>
      <c r="J447" s="13">
        <f t="shared" si="20"/>
        <v>0.41999999999999993</v>
      </c>
    </row>
    <row r="448" spans="1:10">
      <c r="A448" s="5">
        <f>'02_Actual_Revenue'!A448</f>
        <v>45992</v>
      </c>
      <c r="B448" s="3" t="str">
        <f>'02_Actual_Revenue'!B448</f>
        <v>P002</v>
      </c>
      <c r="C448" s="3" t="str">
        <f>'02_Actual_Revenue'!C448</f>
        <v>R03</v>
      </c>
      <c r="D448" s="7">
        <f>'02_Actual_Revenue'!D448</f>
        <v>134520</v>
      </c>
      <c r="E448" s="7">
        <f>D448*(1+_xlfn.XLOOKUP("Devices",'01_Assumptions'!$A$4:$A$6,'01_Assumptions'!$B$4:$B$6))</f>
        <v>142591.20000000001</v>
      </c>
      <c r="F448" s="3">
        <f>'02_Actual_Revenue'!E448*(1+_xlfn.XLOOKUP("Devices",'01_Assumptions'!$A$4:$A$6,'01_Assumptions'!$C$4:$C$6))</f>
        <v>1018.98</v>
      </c>
      <c r="G448" s="9">
        <f t="shared" si="18"/>
        <v>145297580.97600001</v>
      </c>
      <c r="H448" s="9">
        <f>G448*'02_Actual_Revenue'!H448</f>
        <v>84272596.96608001</v>
      </c>
      <c r="I448" s="9">
        <f t="shared" si="19"/>
        <v>61024984.009920001</v>
      </c>
      <c r="J448" s="13">
        <f t="shared" si="20"/>
        <v>0.42</v>
      </c>
    </row>
    <row r="449" spans="1:10">
      <c r="A449" s="5">
        <f>'02_Actual_Revenue'!A449</f>
        <v>45992</v>
      </c>
      <c r="B449" s="3" t="str">
        <f>'02_Actual_Revenue'!B449</f>
        <v>P002</v>
      </c>
      <c r="C449" s="3" t="str">
        <f>'02_Actual_Revenue'!C449</f>
        <v>R04</v>
      </c>
      <c r="D449" s="7">
        <f>'02_Actual_Revenue'!D449</f>
        <v>77880</v>
      </c>
      <c r="E449" s="7">
        <f>D449*(1+_xlfn.XLOOKUP("Devices",'01_Assumptions'!$A$4:$A$6,'01_Assumptions'!$B$4:$B$6))</f>
        <v>82552.800000000003</v>
      </c>
      <c r="F449" s="3">
        <f>'02_Actual_Revenue'!E449*(1+_xlfn.XLOOKUP("Devices",'01_Assumptions'!$A$4:$A$6,'01_Assumptions'!$C$4:$C$6))</f>
        <v>1018.98</v>
      </c>
      <c r="G449" s="9">
        <f t="shared" si="18"/>
        <v>84119652.144000009</v>
      </c>
      <c r="H449" s="9">
        <f>G449*'02_Actual_Revenue'!H449</f>
        <v>48789398.243520014</v>
      </c>
      <c r="I449" s="9">
        <f t="shared" si="19"/>
        <v>35330253.900479995</v>
      </c>
      <c r="J449" s="13">
        <f t="shared" si="20"/>
        <v>0.41999999999999987</v>
      </c>
    </row>
    <row r="450" spans="1:10">
      <c r="A450" s="5">
        <f>'02_Actual_Revenue'!A450</f>
        <v>45992</v>
      </c>
      <c r="B450" s="3" t="str">
        <f>'02_Actual_Revenue'!B450</f>
        <v>P003</v>
      </c>
      <c r="C450" s="3" t="str">
        <f>'02_Actual_Revenue'!C450</f>
        <v>R01</v>
      </c>
      <c r="D450" s="7">
        <f>'02_Actual_Revenue'!D450</f>
        <v>165200</v>
      </c>
      <c r="E450" s="7">
        <f>D450*(1+_xlfn.XLOOKUP("Devices",'01_Assumptions'!$A$4:$A$6,'01_Assumptions'!$B$4:$B$6))</f>
        <v>175112</v>
      </c>
      <c r="F450" s="3">
        <f>'02_Actual_Revenue'!E450*(1+_xlfn.XLOOKUP("Devices",'01_Assumptions'!$A$4:$A$6,'01_Assumptions'!$C$4:$C$6))</f>
        <v>559.98</v>
      </c>
      <c r="G450" s="9">
        <f t="shared" si="18"/>
        <v>98059217.760000005</v>
      </c>
      <c r="H450" s="9">
        <f>G450*'02_Actual_Revenue'!H450</f>
        <v>58835530.656000003</v>
      </c>
      <c r="I450" s="9">
        <f t="shared" si="19"/>
        <v>39223687.104000002</v>
      </c>
      <c r="J450" s="13">
        <f t="shared" si="20"/>
        <v>0.4</v>
      </c>
    </row>
    <row r="451" spans="1:10">
      <c r="A451" s="5">
        <f>'02_Actual_Revenue'!A451</f>
        <v>45992</v>
      </c>
      <c r="B451" s="3" t="str">
        <f>'02_Actual_Revenue'!B451</f>
        <v>P003</v>
      </c>
      <c r="C451" s="3" t="str">
        <f>'02_Actual_Revenue'!C451</f>
        <v>R02</v>
      </c>
      <c r="D451" s="7">
        <f>'02_Actual_Revenue'!D451</f>
        <v>140420</v>
      </c>
      <c r="E451" s="7">
        <f>D451*(1+_xlfn.XLOOKUP("Devices",'01_Assumptions'!$A$4:$A$6,'01_Assumptions'!$B$4:$B$6))</f>
        <v>148845.20000000001</v>
      </c>
      <c r="F451" s="3">
        <f>'02_Actual_Revenue'!E451*(1+_xlfn.XLOOKUP("Devices",'01_Assumptions'!$A$4:$A$6,'01_Assumptions'!$C$4:$C$6))</f>
        <v>559.98</v>
      </c>
      <c r="G451" s="9">
        <f t="shared" ref="G451:G514" si="21">E451*F451</f>
        <v>83350335.096000016</v>
      </c>
      <c r="H451" s="9">
        <f>G451*'02_Actual_Revenue'!H451</f>
        <v>50010201.057600006</v>
      </c>
      <c r="I451" s="9">
        <f t="shared" ref="I451:I514" si="22">G451-H451</f>
        <v>33340134.038400009</v>
      </c>
      <c r="J451" s="13">
        <f t="shared" ref="J451:J514" si="23">I451/G451</f>
        <v>0.4</v>
      </c>
    </row>
    <row r="452" spans="1:10">
      <c r="A452" s="5">
        <f>'02_Actual_Revenue'!A452</f>
        <v>45992</v>
      </c>
      <c r="B452" s="3" t="str">
        <f>'02_Actual_Revenue'!B452</f>
        <v>P003</v>
      </c>
      <c r="C452" s="3" t="str">
        <f>'02_Actual_Revenue'!C452</f>
        <v>R03</v>
      </c>
      <c r="D452" s="7">
        <f>'02_Actual_Revenue'!D452</f>
        <v>156940</v>
      </c>
      <c r="E452" s="7">
        <f>D452*(1+_xlfn.XLOOKUP("Devices",'01_Assumptions'!$A$4:$A$6,'01_Assumptions'!$B$4:$B$6))</f>
        <v>166356.4</v>
      </c>
      <c r="F452" s="3">
        <f>'02_Actual_Revenue'!E452*(1+_xlfn.XLOOKUP("Devices",'01_Assumptions'!$A$4:$A$6,'01_Assumptions'!$C$4:$C$6))</f>
        <v>559.98</v>
      </c>
      <c r="G452" s="9">
        <f t="shared" si="21"/>
        <v>93156256.871999994</v>
      </c>
      <c r="H452" s="9">
        <f>G452*'02_Actual_Revenue'!H452</f>
        <v>55893754.123199992</v>
      </c>
      <c r="I452" s="9">
        <f t="shared" si="22"/>
        <v>37262502.748800002</v>
      </c>
      <c r="J452" s="13">
        <f t="shared" si="23"/>
        <v>0.4</v>
      </c>
    </row>
    <row r="453" spans="1:10">
      <c r="A453" s="5">
        <f>'02_Actual_Revenue'!A453</f>
        <v>45992</v>
      </c>
      <c r="B453" s="3" t="str">
        <f>'02_Actual_Revenue'!B453</f>
        <v>P003</v>
      </c>
      <c r="C453" s="3" t="str">
        <f>'02_Actual_Revenue'!C453</f>
        <v>R04</v>
      </c>
      <c r="D453" s="7">
        <f>'02_Actual_Revenue'!D453</f>
        <v>90860</v>
      </c>
      <c r="E453" s="7">
        <f>D453*(1+_xlfn.XLOOKUP("Devices",'01_Assumptions'!$A$4:$A$6,'01_Assumptions'!$B$4:$B$6))</f>
        <v>96311.6</v>
      </c>
      <c r="F453" s="3">
        <f>'02_Actual_Revenue'!E453*(1+_xlfn.XLOOKUP("Devices",'01_Assumptions'!$A$4:$A$6,'01_Assumptions'!$C$4:$C$6))</f>
        <v>559.98</v>
      </c>
      <c r="G453" s="9">
        <f t="shared" si="21"/>
        <v>53932569.768000007</v>
      </c>
      <c r="H453" s="9">
        <f>G453*'02_Actual_Revenue'!H453</f>
        <v>32359541.860800002</v>
      </c>
      <c r="I453" s="9">
        <f t="shared" si="22"/>
        <v>21573027.907200005</v>
      </c>
      <c r="J453" s="13">
        <f t="shared" si="23"/>
        <v>0.4</v>
      </c>
    </row>
    <row r="454" spans="1:10">
      <c r="A454" s="5">
        <f>'02_Actual_Revenue'!A454</f>
        <v>45992</v>
      </c>
      <c r="B454" s="3" t="str">
        <f>'02_Actual_Revenue'!B454</f>
        <v>P004</v>
      </c>
      <c r="C454" s="3" t="str">
        <f>'02_Actual_Revenue'!C454</f>
        <v>R01</v>
      </c>
      <c r="D454" s="7">
        <f>'02_Actual_Revenue'!D454</f>
        <v>82600</v>
      </c>
      <c r="E454" s="7">
        <f>D454*(1+_xlfn.XLOOKUP("Devices",'01_Assumptions'!$A$4:$A$6,'01_Assumptions'!$B$4:$B$6))</f>
        <v>87556</v>
      </c>
      <c r="F454" s="3">
        <f>'02_Actual_Revenue'!E454*(1+_xlfn.XLOOKUP("Devices",'01_Assumptions'!$A$4:$A$6,'01_Assumptions'!$C$4:$C$6))</f>
        <v>1222.98</v>
      </c>
      <c r="G454" s="9">
        <f t="shared" si="21"/>
        <v>107079236.88</v>
      </c>
      <c r="H454" s="9">
        <f>G454*'02_Actual_Revenue'!H454</f>
        <v>58893580.284000002</v>
      </c>
      <c r="I454" s="9">
        <f t="shared" si="22"/>
        <v>48185656.595999993</v>
      </c>
      <c r="J454" s="13">
        <f t="shared" si="23"/>
        <v>0.44999999999999996</v>
      </c>
    </row>
    <row r="455" spans="1:10">
      <c r="A455" s="5">
        <f>'02_Actual_Revenue'!A455</f>
        <v>45992</v>
      </c>
      <c r="B455" s="3" t="str">
        <f>'02_Actual_Revenue'!B455</f>
        <v>P004</v>
      </c>
      <c r="C455" s="3" t="str">
        <f>'02_Actual_Revenue'!C455</f>
        <v>R02</v>
      </c>
      <c r="D455" s="7">
        <f>'02_Actual_Revenue'!D455</f>
        <v>70210</v>
      </c>
      <c r="E455" s="7">
        <f>D455*(1+_xlfn.XLOOKUP("Devices",'01_Assumptions'!$A$4:$A$6,'01_Assumptions'!$B$4:$B$6))</f>
        <v>74422.600000000006</v>
      </c>
      <c r="F455" s="3">
        <f>'02_Actual_Revenue'!E455*(1+_xlfn.XLOOKUP("Devices",'01_Assumptions'!$A$4:$A$6,'01_Assumptions'!$C$4:$C$6))</f>
        <v>1222.98</v>
      </c>
      <c r="G455" s="9">
        <f t="shared" si="21"/>
        <v>91017351.348000005</v>
      </c>
      <c r="H455" s="9">
        <f>G455*'02_Actual_Revenue'!H455</f>
        <v>50059543.241400003</v>
      </c>
      <c r="I455" s="9">
        <f t="shared" si="22"/>
        <v>40957808.106600001</v>
      </c>
      <c r="J455" s="13">
        <f t="shared" si="23"/>
        <v>0.45</v>
      </c>
    </row>
    <row r="456" spans="1:10">
      <c r="A456" s="5">
        <f>'02_Actual_Revenue'!A456</f>
        <v>45992</v>
      </c>
      <c r="B456" s="3" t="str">
        <f>'02_Actual_Revenue'!B456</f>
        <v>P004</v>
      </c>
      <c r="C456" s="3" t="str">
        <f>'02_Actual_Revenue'!C456</f>
        <v>R03</v>
      </c>
      <c r="D456" s="7">
        <f>'02_Actual_Revenue'!D456</f>
        <v>78470</v>
      </c>
      <c r="E456" s="7">
        <f>D456*(1+_xlfn.XLOOKUP("Devices",'01_Assumptions'!$A$4:$A$6,'01_Assumptions'!$B$4:$B$6))</f>
        <v>83178.2</v>
      </c>
      <c r="F456" s="3">
        <f>'02_Actual_Revenue'!E456*(1+_xlfn.XLOOKUP("Devices",'01_Assumptions'!$A$4:$A$6,'01_Assumptions'!$C$4:$C$6))</f>
        <v>1222.98</v>
      </c>
      <c r="G456" s="9">
        <f t="shared" si="21"/>
        <v>101725275.036</v>
      </c>
      <c r="H456" s="9">
        <f>G456*'02_Actual_Revenue'!H456</f>
        <v>55948901.269800007</v>
      </c>
      <c r="I456" s="9">
        <f t="shared" si="22"/>
        <v>45776373.766199991</v>
      </c>
      <c r="J456" s="13">
        <f t="shared" si="23"/>
        <v>0.4499999999999999</v>
      </c>
    </row>
    <row r="457" spans="1:10">
      <c r="A457" s="5">
        <f>'02_Actual_Revenue'!A457</f>
        <v>45992</v>
      </c>
      <c r="B457" s="3" t="str">
        <f>'02_Actual_Revenue'!B457</f>
        <v>P004</v>
      </c>
      <c r="C457" s="3" t="str">
        <f>'02_Actual_Revenue'!C457</f>
        <v>R04</v>
      </c>
      <c r="D457" s="7">
        <f>'02_Actual_Revenue'!D457</f>
        <v>45430</v>
      </c>
      <c r="E457" s="7">
        <f>D457*(1+_xlfn.XLOOKUP("Devices",'01_Assumptions'!$A$4:$A$6,'01_Assumptions'!$B$4:$B$6))</f>
        <v>48155.8</v>
      </c>
      <c r="F457" s="3">
        <f>'02_Actual_Revenue'!E457*(1+_xlfn.XLOOKUP("Devices",'01_Assumptions'!$A$4:$A$6,'01_Assumptions'!$C$4:$C$6))</f>
        <v>1222.98</v>
      </c>
      <c r="G457" s="9">
        <f t="shared" si="21"/>
        <v>58893580.284000002</v>
      </c>
      <c r="H457" s="9">
        <f>G457*'02_Actual_Revenue'!H457</f>
        <v>32391469.156200003</v>
      </c>
      <c r="I457" s="9">
        <f t="shared" si="22"/>
        <v>26502111.127799999</v>
      </c>
      <c r="J457" s="13">
        <f t="shared" si="23"/>
        <v>0.44999999999999996</v>
      </c>
    </row>
    <row r="458" spans="1:10">
      <c r="A458" s="5">
        <f>'02_Actual_Revenue'!A458</f>
        <v>45992</v>
      </c>
      <c r="B458" s="3" t="str">
        <f>'02_Actual_Revenue'!B458</f>
        <v>P005</v>
      </c>
      <c r="C458" s="3" t="str">
        <f>'02_Actual_Revenue'!C458</f>
        <v>R01</v>
      </c>
      <c r="D458" s="7">
        <f>'02_Actual_Revenue'!D458</f>
        <v>212400</v>
      </c>
      <c r="E458" s="7">
        <f>D458*(1+_xlfn.XLOOKUP("Devices",'01_Assumptions'!$A$4:$A$6,'01_Assumptions'!$B$4:$B$6))</f>
        <v>225144</v>
      </c>
      <c r="F458" s="3">
        <f>'02_Actual_Revenue'!E458*(1+_xlfn.XLOOKUP("Devices",'01_Assumptions'!$A$4:$A$6,'01_Assumptions'!$C$4:$C$6))</f>
        <v>304.98</v>
      </c>
      <c r="G458" s="9">
        <f t="shared" si="21"/>
        <v>68664417.120000005</v>
      </c>
      <c r="H458" s="9">
        <f>G458*'02_Actual_Revenue'!H458</f>
        <v>34332208.560000002</v>
      </c>
      <c r="I458" s="9">
        <f t="shared" si="22"/>
        <v>34332208.560000002</v>
      </c>
      <c r="J458" s="13">
        <f t="shared" si="23"/>
        <v>0.5</v>
      </c>
    </row>
    <row r="459" spans="1:10">
      <c r="A459" s="5">
        <f>'02_Actual_Revenue'!A459</f>
        <v>45992</v>
      </c>
      <c r="B459" s="3" t="str">
        <f>'02_Actual_Revenue'!B459</f>
        <v>P005</v>
      </c>
      <c r="C459" s="3" t="str">
        <f>'02_Actual_Revenue'!C459</f>
        <v>R02</v>
      </c>
      <c r="D459" s="7">
        <f>'02_Actual_Revenue'!D459</f>
        <v>180540</v>
      </c>
      <c r="E459" s="7">
        <f>D459*(1+_xlfn.XLOOKUP("Devices",'01_Assumptions'!$A$4:$A$6,'01_Assumptions'!$B$4:$B$6))</f>
        <v>191372.40000000002</v>
      </c>
      <c r="F459" s="3">
        <f>'02_Actual_Revenue'!E459*(1+_xlfn.XLOOKUP("Devices",'01_Assumptions'!$A$4:$A$6,'01_Assumptions'!$C$4:$C$6))</f>
        <v>304.98</v>
      </c>
      <c r="G459" s="9">
        <f t="shared" si="21"/>
        <v>58364754.552000009</v>
      </c>
      <c r="H459" s="9">
        <f>G459*'02_Actual_Revenue'!H459</f>
        <v>29182377.276000004</v>
      </c>
      <c r="I459" s="9">
        <f t="shared" si="22"/>
        <v>29182377.276000004</v>
      </c>
      <c r="J459" s="13">
        <f t="shared" si="23"/>
        <v>0.5</v>
      </c>
    </row>
    <row r="460" spans="1:10">
      <c r="A460" s="5">
        <f>'02_Actual_Revenue'!A460</f>
        <v>45992</v>
      </c>
      <c r="B460" s="3" t="str">
        <f>'02_Actual_Revenue'!B460</f>
        <v>P005</v>
      </c>
      <c r="C460" s="3" t="str">
        <f>'02_Actual_Revenue'!C460</f>
        <v>R03</v>
      </c>
      <c r="D460" s="7">
        <f>'02_Actual_Revenue'!D460</f>
        <v>201780</v>
      </c>
      <c r="E460" s="7">
        <f>D460*(1+_xlfn.XLOOKUP("Devices",'01_Assumptions'!$A$4:$A$6,'01_Assumptions'!$B$4:$B$6))</f>
        <v>213886.80000000002</v>
      </c>
      <c r="F460" s="3">
        <f>'02_Actual_Revenue'!E460*(1+_xlfn.XLOOKUP("Devices",'01_Assumptions'!$A$4:$A$6,'01_Assumptions'!$C$4:$C$6))</f>
        <v>304.98</v>
      </c>
      <c r="G460" s="9">
        <f t="shared" si="21"/>
        <v>65231196.264000006</v>
      </c>
      <c r="H460" s="9">
        <f>G460*'02_Actual_Revenue'!H460</f>
        <v>32615598.132000003</v>
      </c>
      <c r="I460" s="9">
        <f t="shared" si="22"/>
        <v>32615598.132000003</v>
      </c>
      <c r="J460" s="13">
        <f t="shared" si="23"/>
        <v>0.5</v>
      </c>
    </row>
    <row r="461" spans="1:10">
      <c r="A461" s="5">
        <f>'02_Actual_Revenue'!A461</f>
        <v>45992</v>
      </c>
      <c r="B461" s="3" t="str">
        <f>'02_Actual_Revenue'!B461</f>
        <v>P005</v>
      </c>
      <c r="C461" s="3" t="str">
        <f>'02_Actual_Revenue'!C461</f>
        <v>R04</v>
      </c>
      <c r="D461" s="7">
        <f>'02_Actual_Revenue'!D461</f>
        <v>116820</v>
      </c>
      <c r="E461" s="7">
        <f>D461*(1+_xlfn.XLOOKUP("Devices",'01_Assumptions'!$A$4:$A$6,'01_Assumptions'!$B$4:$B$6))</f>
        <v>123829.20000000001</v>
      </c>
      <c r="F461" s="3">
        <f>'02_Actual_Revenue'!E461*(1+_xlfn.XLOOKUP("Devices",'01_Assumptions'!$A$4:$A$6,'01_Assumptions'!$C$4:$C$6))</f>
        <v>304.98</v>
      </c>
      <c r="G461" s="9">
        <f t="shared" si="21"/>
        <v>37765429.416000009</v>
      </c>
      <c r="H461" s="9">
        <f>G461*'02_Actual_Revenue'!H461</f>
        <v>18882714.708000004</v>
      </c>
      <c r="I461" s="9">
        <f t="shared" si="22"/>
        <v>18882714.708000004</v>
      </c>
      <c r="J461" s="13">
        <f t="shared" si="23"/>
        <v>0.5</v>
      </c>
    </row>
    <row r="462" spans="1:10">
      <c r="A462" s="5">
        <f>'02_Actual_Revenue'!A462</f>
        <v>45992</v>
      </c>
      <c r="B462" s="3" t="str">
        <f>'02_Actual_Revenue'!B462</f>
        <v>P006</v>
      </c>
      <c r="C462" s="3" t="str">
        <f>'02_Actual_Revenue'!C462</f>
        <v>R01</v>
      </c>
      <c r="D462" s="7">
        <f>'02_Actual_Revenue'!D462</f>
        <v>708000</v>
      </c>
      <c r="E462" s="7">
        <f>D462*(1+_xlfn.XLOOKUP("Cloud &amp; Software",'01_Assumptions'!$A$4:$A$6,'01_Assumptions'!$B$4:$B$6))</f>
        <v>778800.00000000012</v>
      </c>
      <c r="F462" s="3">
        <f>'02_Actual_Revenue'!E462*(1+_xlfn.XLOOKUP("Cloud &amp; Software",'01_Assumptions'!$A$4:$A$6,'01_Assumptions'!$C$4:$C$6))</f>
        <v>40.17</v>
      </c>
      <c r="G462" s="9">
        <f t="shared" si="21"/>
        <v>31284396.000000007</v>
      </c>
      <c r="H462" s="9">
        <f>G462*'02_Actual_Revenue'!H462</f>
        <v>7821099.0000000019</v>
      </c>
      <c r="I462" s="9">
        <f t="shared" si="22"/>
        <v>23463297.000000007</v>
      </c>
      <c r="J462" s="13">
        <f t="shared" si="23"/>
        <v>0.75000000000000011</v>
      </c>
    </row>
    <row r="463" spans="1:10">
      <c r="A463" s="5">
        <f>'02_Actual_Revenue'!A463</f>
        <v>45992</v>
      </c>
      <c r="B463" s="3" t="str">
        <f>'02_Actual_Revenue'!B463</f>
        <v>P006</v>
      </c>
      <c r="C463" s="3" t="str">
        <f>'02_Actual_Revenue'!C463</f>
        <v>R02</v>
      </c>
      <c r="D463" s="7">
        <f>'02_Actual_Revenue'!D463</f>
        <v>601800</v>
      </c>
      <c r="E463" s="7">
        <f>D463*(1+_xlfn.XLOOKUP("Cloud &amp; Software",'01_Assumptions'!$A$4:$A$6,'01_Assumptions'!$B$4:$B$6))</f>
        <v>661980</v>
      </c>
      <c r="F463" s="3">
        <f>'02_Actual_Revenue'!E463*(1+_xlfn.XLOOKUP("Cloud &amp; Software",'01_Assumptions'!$A$4:$A$6,'01_Assumptions'!$C$4:$C$6))</f>
        <v>40.17</v>
      </c>
      <c r="G463" s="9">
        <f t="shared" si="21"/>
        <v>26591736.600000001</v>
      </c>
      <c r="H463" s="9">
        <f>G463*'02_Actual_Revenue'!H463</f>
        <v>6647934.1500000004</v>
      </c>
      <c r="I463" s="9">
        <f t="shared" si="22"/>
        <v>19943802.450000003</v>
      </c>
      <c r="J463" s="13">
        <f t="shared" si="23"/>
        <v>0.75000000000000011</v>
      </c>
    </row>
    <row r="464" spans="1:10">
      <c r="A464" s="5">
        <f>'02_Actual_Revenue'!A464</f>
        <v>45992</v>
      </c>
      <c r="B464" s="3" t="str">
        <f>'02_Actual_Revenue'!B464</f>
        <v>P006</v>
      </c>
      <c r="C464" s="3" t="str">
        <f>'02_Actual_Revenue'!C464</f>
        <v>R03</v>
      </c>
      <c r="D464" s="7">
        <f>'02_Actual_Revenue'!D464</f>
        <v>672600</v>
      </c>
      <c r="E464" s="7">
        <f>D464*(1+_xlfn.XLOOKUP("Cloud &amp; Software",'01_Assumptions'!$A$4:$A$6,'01_Assumptions'!$B$4:$B$6))</f>
        <v>739860.00000000012</v>
      </c>
      <c r="F464" s="3">
        <f>'02_Actual_Revenue'!E464*(1+_xlfn.XLOOKUP("Cloud &amp; Software",'01_Assumptions'!$A$4:$A$6,'01_Assumptions'!$C$4:$C$6))</f>
        <v>40.17</v>
      </c>
      <c r="G464" s="9">
        <f t="shared" si="21"/>
        <v>29720176.200000007</v>
      </c>
      <c r="H464" s="9">
        <f>G464*'02_Actual_Revenue'!H464</f>
        <v>7430044.0500000017</v>
      </c>
      <c r="I464" s="9">
        <f t="shared" si="22"/>
        <v>22290132.150000006</v>
      </c>
      <c r="J464" s="13">
        <f t="shared" si="23"/>
        <v>0.75</v>
      </c>
    </row>
    <row r="465" spans="1:10">
      <c r="A465" s="5">
        <f>'02_Actual_Revenue'!A465</f>
        <v>45992</v>
      </c>
      <c r="B465" s="3" t="str">
        <f>'02_Actual_Revenue'!B465</f>
        <v>P006</v>
      </c>
      <c r="C465" s="3" t="str">
        <f>'02_Actual_Revenue'!C465</f>
        <v>R04</v>
      </c>
      <c r="D465" s="7">
        <f>'02_Actual_Revenue'!D465</f>
        <v>389400</v>
      </c>
      <c r="E465" s="7">
        <f>D465*(1+_xlfn.XLOOKUP("Cloud &amp; Software",'01_Assumptions'!$A$4:$A$6,'01_Assumptions'!$B$4:$B$6))</f>
        <v>428340.00000000006</v>
      </c>
      <c r="F465" s="3">
        <f>'02_Actual_Revenue'!E465*(1+_xlfn.XLOOKUP("Cloud &amp; Software",'01_Assumptions'!$A$4:$A$6,'01_Assumptions'!$C$4:$C$6))</f>
        <v>40.17</v>
      </c>
      <c r="G465" s="9">
        <f t="shared" si="21"/>
        <v>17206417.800000004</v>
      </c>
      <c r="H465" s="9">
        <f>G465*'02_Actual_Revenue'!H465</f>
        <v>4301604.4500000011</v>
      </c>
      <c r="I465" s="9">
        <f t="shared" si="22"/>
        <v>12904813.350000003</v>
      </c>
      <c r="J465" s="13">
        <f t="shared" si="23"/>
        <v>0.75</v>
      </c>
    </row>
    <row r="466" spans="1:10">
      <c r="A466" s="5">
        <f>'02_Actual_Revenue'!A466</f>
        <v>45992</v>
      </c>
      <c r="B466" s="3" t="str">
        <f>'02_Actual_Revenue'!B466</f>
        <v>P007</v>
      </c>
      <c r="C466" s="3" t="str">
        <f>'02_Actual_Revenue'!C466</f>
        <v>R01</v>
      </c>
      <c r="D466" s="7">
        <f>'02_Actual_Revenue'!D466</f>
        <v>472000</v>
      </c>
      <c r="E466" s="7">
        <f>D466*(1+_xlfn.XLOOKUP("Cloud &amp; Software",'01_Assumptions'!$A$4:$A$6,'01_Assumptions'!$B$4:$B$6))</f>
        <v>519200.00000000006</v>
      </c>
      <c r="F466" s="3">
        <f>'02_Actual_Revenue'!E466*(1+_xlfn.XLOOKUP("Cloud &amp; Software",'01_Assumptions'!$A$4:$A$6,'01_Assumptions'!$C$4:$C$6))</f>
        <v>24.72</v>
      </c>
      <c r="G466" s="9">
        <f t="shared" si="21"/>
        <v>12834624</v>
      </c>
      <c r="H466" s="9">
        <f>G466*'02_Actual_Revenue'!H466</f>
        <v>2566924.8000000003</v>
      </c>
      <c r="I466" s="9">
        <f t="shared" si="22"/>
        <v>10267699.199999999</v>
      </c>
      <c r="J466" s="13">
        <f t="shared" si="23"/>
        <v>0.79999999999999993</v>
      </c>
    </row>
    <row r="467" spans="1:10">
      <c r="A467" s="5">
        <f>'02_Actual_Revenue'!A467</f>
        <v>45992</v>
      </c>
      <c r="B467" s="3" t="str">
        <f>'02_Actual_Revenue'!B467</f>
        <v>P007</v>
      </c>
      <c r="C467" s="3" t="str">
        <f>'02_Actual_Revenue'!C467</f>
        <v>R02</v>
      </c>
      <c r="D467" s="7">
        <f>'02_Actual_Revenue'!D467</f>
        <v>401200</v>
      </c>
      <c r="E467" s="7">
        <f>D467*(1+_xlfn.XLOOKUP("Cloud &amp; Software",'01_Assumptions'!$A$4:$A$6,'01_Assumptions'!$B$4:$B$6))</f>
        <v>441320.00000000006</v>
      </c>
      <c r="F467" s="3">
        <f>'02_Actual_Revenue'!E467*(1+_xlfn.XLOOKUP("Cloud &amp; Software",'01_Assumptions'!$A$4:$A$6,'01_Assumptions'!$C$4:$C$6))</f>
        <v>24.72</v>
      </c>
      <c r="G467" s="9">
        <f t="shared" si="21"/>
        <v>10909430.4</v>
      </c>
      <c r="H467" s="9">
        <f>G467*'02_Actual_Revenue'!H467</f>
        <v>2181886.08</v>
      </c>
      <c r="I467" s="9">
        <f t="shared" si="22"/>
        <v>8727544.3200000003</v>
      </c>
      <c r="J467" s="13">
        <f t="shared" si="23"/>
        <v>0.8</v>
      </c>
    </row>
    <row r="468" spans="1:10">
      <c r="A468" s="5">
        <f>'02_Actual_Revenue'!A468</f>
        <v>45992</v>
      </c>
      <c r="B468" s="3" t="str">
        <f>'02_Actual_Revenue'!B468</f>
        <v>P007</v>
      </c>
      <c r="C468" s="3" t="str">
        <f>'02_Actual_Revenue'!C468</f>
        <v>R03</v>
      </c>
      <c r="D468" s="7">
        <f>'02_Actual_Revenue'!D468</f>
        <v>448400</v>
      </c>
      <c r="E468" s="7">
        <f>D468*(1+_xlfn.XLOOKUP("Cloud &amp; Software",'01_Assumptions'!$A$4:$A$6,'01_Assumptions'!$B$4:$B$6))</f>
        <v>493240.00000000006</v>
      </c>
      <c r="F468" s="3">
        <f>'02_Actual_Revenue'!E468*(1+_xlfn.XLOOKUP("Cloud &amp; Software",'01_Assumptions'!$A$4:$A$6,'01_Assumptions'!$C$4:$C$6))</f>
        <v>24.72</v>
      </c>
      <c r="G468" s="9">
        <f t="shared" si="21"/>
        <v>12192892.800000001</v>
      </c>
      <c r="H468" s="9">
        <f>G468*'02_Actual_Revenue'!H468</f>
        <v>2438578.56</v>
      </c>
      <c r="I468" s="9">
        <f t="shared" si="22"/>
        <v>9754314.2400000002</v>
      </c>
      <c r="J468" s="13">
        <f t="shared" si="23"/>
        <v>0.79999999999999993</v>
      </c>
    </row>
    <row r="469" spans="1:10">
      <c r="A469" s="5">
        <f>'02_Actual_Revenue'!A469</f>
        <v>45992</v>
      </c>
      <c r="B469" s="3" t="str">
        <f>'02_Actual_Revenue'!B469</f>
        <v>P007</v>
      </c>
      <c r="C469" s="3" t="str">
        <f>'02_Actual_Revenue'!C469</f>
        <v>R04</v>
      </c>
      <c r="D469" s="7">
        <f>'02_Actual_Revenue'!D469</f>
        <v>259600</v>
      </c>
      <c r="E469" s="7">
        <f>D469*(1+_xlfn.XLOOKUP("Cloud &amp; Software",'01_Assumptions'!$A$4:$A$6,'01_Assumptions'!$B$4:$B$6))</f>
        <v>285560</v>
      </c>
      <c r="F469" s="3">
        <f>'02_Actual_Revenue'!E469*(1+_xlfn.XLOOKUP("Cloud &amp; Software",'01_Assumptions'!$A$4:$A$6,'01_Assumptions'!$C$4:$C$6))</f>
        <v>24.72</v>
      </c>
      <c r="G469" s="9">
        <f t="shared" si="21"/>
        <v>7059043.1999999993</v>
      </c>
      <c r="H469" s="9">
        <f>G469*'02_Actual_Revenue'!H469</f>
        <v>1411808.64</v>
      </c>
      <c r="I469" s="9">
        <f t="shared" si="22"/>
        <v>5647234.5599999996</v>
      </c>
      <c r="J469" s="13">
        <f t="shared" si="23"/>
        <v>0.8</v>
      </c>
    </row>
    <row r="470" spans="1:10">
      <c r="A470" s="5">
        <f>'02_Actual_Revenue'!A470</f>
        <v>45992</v>
      </c>
      <c r="B470" s="3" t="str">
        <f>'02_Actual_Revenue'!B470</f>
        <v>P008</v>
      </c>
      <c r="C470" s="3" t="str">
        <f>'02_Actual_Revenue'!C470</f>
        <v>R01</v>
      </c>
      <c r="D470" s="7">
        <f>'02_Actual_Revenue'!D470</f>
        <v>1416000</v>
      </c>
      <c r="E470" s="7">
        <f>D470*(1+_xlfn.XLOOKUP("Digital Services",'01_Assumptions'!$A$4:$A$6,'01_Assumptions'!$B$4:$B$6))</f>
        <v>1529280</v>
      </c>
      <c r="F470" s="3">
        <f>'02_Actual_Revenue'!E470*(1+_xlfn.XLOOKUP("Digital Services",'01_Assumptions'!$A$4:$A$6,'01_Assumptions'!$C$4:$C$6))</f>
        <v>12.24</v>
      </c>
      <c r="G470" s="9">
        <f t="shared" si="21"/>
        <v>18718387.199999999</v>
      </c>
      <c r="H470" s="9">
        <f>G470*'02_Actual_Revenue'!H470</f>
        <v>5615516.1599999992</v>
      </c>
      <c r="I470" s="9">
        <f t="shared" si="22"/>
        <v>13102871.039999999</v>
      </c>
      <c r="J470" s="13">
        <f t="shared" si="23"/>
        <v>0.7</v>
      </c>
    </row>
    <row r="471" spans="1:10">
      <c r="A471" s="5">
        <f>'02_Actual_Revenue'!A471</f>
        <v>45992</v>
      </c>
      <c r="B471" s="3" t="str">
        <f>'02_Actual_Revenue'!B471</f>
        <v>P008</v>
      </c>
      <c r="C471" s="3" t="str">
        <f>'02_Actual_Revenue'!C471</f>
        <v>R02</v>
      </c>
      <c r="D471" s="7">
        <f>'02_Actual_Revenue'!D471</f>
        <v>1203600</v>
      </c>
      <c r="E471" s="7">
        <f>D471*(1+_xlfn.XLOOKUP("Digital Services",'01_Assumptions'!$A$4:$A$6,'01_Assumptions'!$B$4:$B$6))</f>
        <v>1299888</v>
      </c>
      <c r="F471" s="3">
        <f>'02_Actual_Revenue'!E471*(1+_xlfn.XLOOKUP("Digital Services",'01_Assumptions'!$A$4:$A$6,'01_Assumptions'!$C$4:$C$6))</f>
        <v>12.24</v>
      </c>
      <c r="G471" s="9">
        <f t="shared" si="21"/>
        <v>15910629.120000001</v>
      </c>
      <c r="H471" s="9">
        <f>G471*'02_Actual_Revenue'!H471</f>
        <v>4773188.7360000005</v>
      </c>
      <c r="I471" s="9">
        <f t="shared" si="22"/>
        <v>11137440.384</v>
      </c>
      <c r="J471" s="13">
        <f t="shared" si="23"/>
        <v>0.7</v>
      </c>
    </row>
    <row r="472" spans="1:10">
      <c r="A472" s="5">
        <f>'02_Actual_Revenue'!A472</f>
        <v>45992</v>
      </c>
      <c r="B472" s="3" t="str">
        <f>'02_Actual_Revenue'!B472</f>
        <v>P008</v>
      </c>
      <c r="C472" s="3" t="str">
        <f>'02_Actual_Revenue'!C472</f>
        <v>R03</v>
      </c>
      <c r="D472" s="7">
        <f>'02_Actual_Revenue'!D472</f>
        <v>1345200</v>
      </c>
      <c r="E472" s="7">
        <f>D472*(1+_xlfn.XLOOKUP("Digital Services",'01_Assumptions'!$A$4:$A$6,'01_Assumptions'!$B$4:$B$6))</f>
        <v>1452816</v>
      </c>
      <c r="F472" s="3">
        <f>'02_Actual_Revenue'!E472*(1+_xlfn.XLOOKUP("Digital Services",'01_Assumptions'!$A$4:$A$6,'01_Assumptions'!$C$4:$C$6))</f>
        <v>12.24</v>
      </c>
      <c r="G472" s="9">
        <f t="shared" si="21"/>
        <v>17782467.84</v>
      </c>
      <c r="H472" s="9">
        <f>G472*'02_Actual_Revenue'!H472</f>
        <v>5334740.352</v>
      </c>
      <c r="I472" s="9">
        <f t="shared" si="22"/>
        <v>12447727.488</v>
      </c>
      <c r="J472" s="13">
        <f t="shared" si="23"/>
        <v>0.7</v>
      </c>
    </row>
    <row r="473" spans="1:10">
      <c r="A473" s="5">
        <f>'02_Actual_Revenue'!A473</f>
        <v>45992</v>
      </c>
      <c r="B473" s="3" t="str">
        <f>'02_Actual_Revenue'!B473</f>
        <v>P008</v>
      </c>
      <c r="C473" s="3" t="str">
        <f>'02_Actual_Revenue'!C473</f>
        <v>R04</v>
      </c>
      <c r="D473" s="7">
        <f>'02_Actual_Revenue'!D473</f>
        <v>778800</v>
      </c>
      <c r="E473" s="7">
        <f>D473*(1+_xlfn.XLOOKUP("Digital Services",'01_Assumptions'!$A$4:$A$6,'01_Assumptions'!$B$4:$B$6))</f>
        <v>841104</v>
      </c>
      <c r="F473" s="3">
        <f>'02_Actual_Revenue'!E473*(1+_xlfn.XLOOKUP("Digital Services",'01_Assumptions'!$A$4:$A$6,'01_Assumptions'!$C$4:$C$6))</f>
        <v>12.24</v>
      </c>
      <c r="G473" s="9">
        <f t="shared" si="21"/>
        <v>10295112.960000001</v>
      </c>
      <c r="H473" s="9">
        <f>G473*'02_Actual_Revenue'!H473</f>
        <v>3088533.8880000003</v>
      </c>
      <c r="I473" s="9">
        <f t="shared" si="22"/>
        <v>7206579.0720000006</v>
      </c>
      <c r="J473" s="13">
        <f t="shared" si="23"/>
        <v>0.7</v>
      </c>
    </row>
    <row r="474" spans="1:10">
      <c r="A474" s="5">
        <f>'02_Actual_Revenue'!A474</f>
        <v>45992</v>
      </c>
      <c r="B474" s="3" t="str">
        <f>'02_Actual_Revenue'!B474</f>
        <v>P009</v>
      </c>
      <c r="C474" s="3" t="str">
        <f>'02_Actual_Revenue'!C474</f>
        <v>R01</v>
      </c>
      <c r="D474" s="7">
        <f>'02_Actual_Revenue'!D474</f>
        <v>944000</v>
      </c>
      <c r="E474" s="7">
        <f>D474*(1+_xlfn.XLOOKUP("Digital Services",'01_Assumptions'!$A$4:$A$6,'01_Assumptions'!$B$4:$B$6))</f>
        <v>1019520.0000000001</v>
      </c>
      <c r="F474" s="3">
        <f>'02_Actual_Revenue'!E474*(1+_xlfn.XLOOKUP("Digital Services",'01_Assumptions'!$A$4:$A$6,'01_Assumptions'!$C$4:$C$6))</f>
        <v>15.3</v>
      </c>
      <c r="G474" s="9">
        <f t="shared" si="21"/>
        <v>15598656.000000002</v>
      </c>
      <c r="H474" s="9">
        <f>G474*'02_Actual_Revenue'!H474</f>
        <v>5459529.6000000006</v>
      </c>
      <c r="I474" s="9">
        <f t="shared" si="22"/>
        <v>10139126.400000002</v>
      </c>
      <c r="J474" s="13">
        <f t="shared" si="23"/>
        <v>0.65</v>
      </c>
    </row>
    <row r="475" spans="1:10">
      <c r="A475" s="5">
        <f>'02_Actual_Revenue'!A475</f>
        <v>45992</v>
      </c>
      <c r="B475" s="3" t="str">
        <f>'02_Actual_Revenue'!B475</f>
        <v>P009</v>
      </c>
      <c r="C475" s="3" t="str">
        <f>'02_Actual_Revenue'!C475</f>
        <v>R02</v>
      </c>
      <c r="D475" s="7">
        <f>'02_Actual_Revenue'!D475</f>
        <v>802400</v>
      </c>
      <c r="E475" s="7">
        <f>D475*(1+_xlfn.XLOOKUP("Digital Services",'01_Assumptions'!$A$4:$A$6,'01_Assumptions'!$B$4:$B$6))</f>
        <v>866592</v>
      </c>
      <c r="F475" s="3">
        <f>'02_Actual_Revenue'!E475*(1+_xlfn.XLOOKUP("Digital Services",'01_Assumptions'!$A$4:$A$6,'01_Assumptions'!$C$4:$C$6))</f>
        <v>15.3</v>
      </c>
      <c r="G475" s="9">
        <f t="shared" si="21"/>
        <v>13258857.600000001</v>
      </c>
      <c r="H475" s="9">
        <f>G475*'02_Actual_Revenue'!H475</f>
        <v>4640600.16</v>
      </c>
      <c r="I475" s="9">
        <f t="shared" si="22"/>
        <v>8618257.4400000013</v>
      </c>
      <c r="J475" s="13">
        <f t="shared" si="23"/>
        <v>0.65</v>
      </c>
    </row>
    <row r="476" spans="1:10">
      <c r="A476" s="5">
        <f>'02_Actual_Revenue'!A476</f>
        <v>45992</v>
      </c>
      <c r="B476" s="3" t="str">
        <f>'02_Actual_Revenue'!B476</f>
        <v>P009</v>
      </c>
      <c r="C476" s="3" t="str">
        <f>'02_Actual_Revenue'!C476</f>
        <v>R03</v>
      </c>
      <c r="D476" s="7">
        <f>'02_Actual_Revenue'!D476</f>
        <v>896800</v>
      </c>
      <c r="E476" s="7">
        <f>D476*(1+_xlfn.XLOOKUP("Digital Services",'01_Assumptions'!$A$4:$A$6,'01_Assumptions'!$B$4:$B$6))</f>
        <v>968544.00000000012</v>
      </c>
      <c r="F476" s="3">
        <f>'02_Actual_Revenue'!E476*(1+_xlfn.XLOOKUP("Digital Services",'01_Assumptions'!$A$4:$A$6,'01_Assumptions'!$C$4:$C$6))</f>
        <v>15.3</v>
      </c>
      <c r="G476" s="9">
        <f t="shared" si="21"/>
        <v>14818723.200000003</v>
      </c>
      <c r="H476" s="9">
        <f>G476*'02_Actual_Revenue'!H476</f>
        <v>5186553.120000001</v>
      </c>
      <c r="I476" s="9">
        <f t="shared" si="22"/>
        <v>9632170.0800000019</v>
      </c>
      <c r="J476" s="13">
        <f t="shared" si="23"/>
        <v>0.65</v>
      </c>
    </row>
    <row r="477" spans="1:10">
      <c r="A477" s="5">
        <f>'02_Actual_Revenue'!A477</f>
        <v>45992</v>
      </c>
      <c r="B477" s="3" t="str">
        <f>'02_Actual_Revenue'!B477</f>
        <v>P009</v>
      </c>
      <c r="C477" s="3" t="str">
        <f>'02_Actual_Revenue'!C477</f>
        <v>R04</v>
      </c>
      <c r="D477" s="7">
        <f>'02_Actual_Revenue'!D477</f>
        <v>519200</v>
      </c>
      <c r="E477" s="7">
        <f>D477*(1+_xlfn.XLOOKUP("Digital Services",'01_Assumptions'!$A$4:$A$6,'01_Assumptions'!$B$4:$B$6))</f>
        <v>560736</v>
      </c>
      <c r="F477" s="3">
        <f>'02_Actual_Revenue'!E477*(1+_xlfn.XLOOKUP("Digital Services",'01_Assumptions'!$A$4:$A$6,'01_Assumptions'!$C$4:$C$6))</f>
        <v>15.3</v>
      </c>
      <c r="G477" s="9">
        <f t="shared" si="21"/>
        <v>8579260.8000000007</v>
      </c>
      <c r="H477" s="9">
        <f>G477*'02_Actual_Revenue'!H477</f>
        <v>3002741.2800000003</v>
      </c>
      <c r="I477" s="9">
        <f t="shared" si="22"/>
        <v>5576519.5200000005</v>
      </c>
      <c r="J477" s="13">
        <f t="shared" si="23"/>
        <v>0.65</v>
      </c>
    </row>
    <row r="478" spans="1:10">
      <c r="A478" s="5">
        <f>'02_Actual_Revenue'!A478</f>
        <v>45992</v>
      </c>
      <c r="B478" s="3" t="str">
        <f>'02_Actual_Revenue'!B478</f>
        <v>P010</v>
      </c>
      <c r="C478" s="3" t="str">
        <f>'02_Actual_Revenue'!C478</f>
        <v>R01</v>
      </c>
      <c r="D478" s="7">
        <f>'02_Actual_Revenue'!D478</f>
        <v>1062000</v>
      </c>
      <c r="E478" s="7">
        <f>D478*(1+_xlfn.XLOOKUP("Digital Services",'01_Assumptions'!$A$4:$A$6,'01_Assumptions'!$B$4:$B$6))</f>
        <v>1146960</v>
      </c>
      <c r="F478" s="3">
        <f>'02_Actual_Revenue'!E478*(1+_xlfn.XLOOKUP("Digital Services",'01_Assumptions'!$A$4:$A$6,'01_Assumptions'!$C$4:$C$6))</f>
        <v>8.16</v>
      </c>
      <c r="G478" s="9">
        <f t="shared" si="21"/>
        <v>9359193.5999999996</v>
      </c>
      <c r="H478" s="9">
        <f>G478*'02_Actual_Revenue'!H478</f>
        <v>1403879.0399999998</v>
      </c>
      <c r="I478" s="9">
        <f t="shared" si="22"/>
        <v>7955314.5599999996</v>
      </c>
      <c r="J478" s="13">
        <f t="shared" si="23"/>
        <v>0.85</v>
      </c>
    </row>
    <row r="479" spans="1:10">
      <c r="A479" s="5">
        <f>'02_Actual_Revenue'!A479</f>
        <v>45992</v>
      </c>
      <c r="B479" s="3" t="str">
        <f>'02_Actual_Revenue'!B479</f>
        <v>P010</v>
      </c>
      <c r="C479" s="3" t="str">
        <f>'02_Actual_Revenue'!C479</f>
        <v>R02</v>
      </c>
      <c r="D479" s="7">
        <f>'02_Actual_Revenue'!D479</f>
        <v>902700</v>
      </c>
      <c r="E479" s="7">
        <f>D479*(1+_xlfn.XLOOKUP("Digital Services",'01_Assumptions'!$A$4:$A$6,'01_Assumptions'!$B$4:$B$6))</f>
        <v>974916.00000000012</v>
      </c>
      <c r="F479" s="3">
        <f>'02_Actual_Revenue'!E479*(1+_xlfn.XLOOKUP("Digital Services",'01_Assumptions'!$A$4:$A$6,'01_Assumptions'!$C$4:$C$6))</f>
        <v>8.16</v>
      </c>
      <c r="G479" s="9">
        <f t="shared" si="21"/>
        <v>7955314.5600000015</v>
      </c>
      <c r="H479" s="9">
        <f>G479*'02_Actual_Revenue'!H479</f>
        <v>1193297.1840000001</v>
      </c>
      <c r="I479" s="9">
        <f t="shared" si="22"/>
        <v>6762017.3760000011</v>
      </c>
      <c r="J479" s="13">
        <f t="shared" si="23"/>
        <v>0.85</v>
      </c>
    </row>
    <row r="480" spans="1:10">
      <c r="A480" s="5">
        <f>'02_Actual_Revenue'!A480</f>
        <v>45992</v>
      </c>
      <c r="B480" s="3" t="str">
        <f>'02_Actual_Revenue'!B480</f>
        <v>P010</v>
      </c>
      <c r="C480" s="3" t="str">
        <f>'02_Actual_Revenue'!C480</f>
        <v>R03</v>
      </c>
      <c r="D480" s="7">
        <f>'02_Actual_Revenue'!D480</f>
        <v>1008900</v>
      </c>
      <c r="E480" s="7">
        <f>D480*(1+_xlfn.XLOOKUP("Digital Services",'01_Assumptions'!$A$4:$A$6,'01_Assumptions'!$B$4:$B$6))</f>
        <v>1089612</v>
      </c>
      <c r="F480" s="3">
        <f>'02_Actual_Revenue'!E480*(1+_xlfn.XLOOKUP("Digital Services",'01_Assumptions'!$A$4:$A$6,'01_Assumptions'!$C$4:$C$6))</f>
        <v>8.16</v>
      </c>
      <c r="G480" s="9">
        <f t="shared" si="21"/>
        <v>8891233.9199999999</v>
      </c>
      <c r="H480" s="9">
        <f>G480*'02_Actual_Revenue'!H480</f>
        <v>1333685.088</v>
      </c>
      <c r="I480" s="9">
        <f t="shared" si="22"/>
        <v>7557548.8320000004</v>
      </c>
      <c r="J480" s="13">
        <f t="shared" si="23"/>
        <v>0.85000000000000009</v>
      </c>
    </row>
    <row r="481" spans="1:10">
      <c r="A481" s="5">
        <f>'02_Actual_Revenue'!A481</f>
        <v>45992</v>
      </c>
      <c r="B481" s="3" t="str">
        <f>'02_Actual_Revenue'!B481</f>
        <v>P010</v>
      </c>
      <c r="C481" s="3" t="str">
        <f>'02_Actual_Revenue'!C481</f>
        <v>R04</v>
      </c>
      <c r="D481" s="7">
        <f>'02_Actual_Revenue'!D481</f>
        <v>584100</v>
      </c>
      <c r="E481" s="7">
        <f>D481*(1+_xlfn.XLOOKUP("Digital Services",'01_Assumptions'!$A$4:$A$6,'01_Assumptions'!$B$4:$B$6))</f>
        <v>630828</v>
      </c>
      <c r="F481" s="3">
        <f>'02_Actual_Revenue'!E481*(1+_xlfn.XLOOKUP("Digital Services",'01_Assumptions'!$A$4:$A$6,'01_Assumptions'!$C$4:$C$6))</f>
        <v>8.16</v>
      </c>
      <c r="G481" s="9">
        <f t="shared" si="21"/>
        <v>5147556.4800000004</v>
      </c>
      <c r="H481" s="9">
        <f>G481*'02_Actual_Revenue'!H481</f>
        <v>772133.47200000007</v>
      </c>
      <c r="I481" s="9">
        <f t="shared" si="22"/>
        <v>4375423.0080000004</v>
      </c>
      <c r="J481" s="13">
        <f t="shared" si="23"/>
        <v>0.85</v>
      </c>
    </row>
    <row r="482" spans="1:10">
      <c r="A482" s="5">
        <f>'02_Actual_Revenue'!A482</f>
        <v>46023</v>
      </c>
      <c r="B482" s="3" t="str">
        <f>'02_Actual_Revenue'!B482</f>
        <v>P001</v>
      </c>
      <c r="C482" s="3" t="str">
        <f>'02_Actual_Revenue'!C482</f>
        <v>R01</v>
      </c>
      <c r="D482" s="7">
        <f>'02_Actual_Revenue'!D482</f>
        <v>230000</v>
      </c>
      <c r="E482" s="7">
        <f>D482*(1+_xlfn.XLOOKUP("Devices",'01_Assumptions'!$A$4:$A$6,'01_Assumptions'!$B$4:$B$6))</f>
        <v>243800</v>
      </c>
      <c r="F482" s="3">
        <f>'02_Actual_Revenue'!E482*(1+_xlfn.XLOOKUP("Devices",'01_Assumptions'!$A$4:$A$6,'01_Assumptions'!$C$4:$C$6))</f>
        <v>712.98</v>
      </c>
      <c r="G482" s="9">
        <f t="shared" si="21"/>
        <v>173824524</v>
      </c>
      <c r="H482" s="9">
        <f>G482*'02_Actual_Revenue'!H482</f>
        <v>107771204.88</v>
      </c>
      <c r="I482" s="9">
        <f t="shared" si="22"/>
        <v>66053319.120000005</v>
      </c>
      <c r="J482" s="13">
        <f t="shared" si="23"/>
        <v>0.38</v>
      </c>
    </row>
    <row r="483" spans="1:10">
      <c r="A483" s="5">
        <f>'02_Actual_Revenue'!A483</f>
        <v>46023</v>
      </c>
      <c r="B483" s="3" t="str">
        <f>'02_Actual_Revenue'!B483</f>
        <v>P001</v>
      </c>
      <c r="C483" s="3" t="str">
        <f>'02_Actual_Revenue'!C483</f>
        <v>R02</v>
      </c>
      <c r="D483" s="7">
        <f>'02_Actual_Revenue'!D483</f>
        <v>195500</v>
      </c>
      <c r="E483" s="7">
        <f>D483*(1+_xlfn.XLOOKUP("Devices",'01_Assumptions'!$A$4:$A$6,'01_Assumptions'!$B$4:$B$6))</f>
        <v>207230</v>
      </c>
      <c r="F483" s="3">
        <f>'02_Actual_Revenue'!E483*(1+_xlfn.XLOOKUP("Devices",'01_Assumptions'!$A$4:$A$6,'01_Assumptions'!$C$4:$C$6))</f>
        <v>712.98</v>
      </c>
      <c r="G483" s="9">
        <f t="shared" si="21"/>
        <v>147750845.40000001</v>
      </c>
      <c r="H483" s="9">
        <f>G483*'02_Actual_Revenue'!H483</f>
        <v>91605524.148000002</v>
      </c>
      <c r="I483" s="9">
        <f t="shared" si="22"/>
        <v>56145321.252000004</v>
      </c>
      <c r="J483" s="13">
        <f t="shared" si="23"/>
        <v>0.38</v>
      </c>
    </row>
    <row r="484" spans="1:10">
      <c r="A484" s="5">
        <f>'02_Actual_Revenue'!A484</f>
        <v>46023</v>
      </c>
      <c r="B484" s="3" t="str">
        <f>'02_Actual_Revenue'!B484</f>
        <v>P001</v>
      </c>
      <c r="C484" s="3" t="str">
        <f>'02_Actual_Revenue'!C484</f>
        <v>R03</v>
      </c>
      <c r="D484" s="7">
        <f>'02_Actual_Revenue'!D484</f>
        <v>218500</v>
      </c>
      <c r="E484" s="7">
        <f>D484*(1+_xlfn.XLOOKUP("Devices",'01_Assumptions'!$A$4:$A$6,'01_Assumptions'!$B$4:$B$6))</f>
        <v>231610</v>
      </c>
      <c r="F484" s="3">
        <f>'02_Actual_Revenue'!E484*(1+_xlfn.XLOOKUP("Devices",'01_Assumptions'!$A$4:$A$6,'01_Assumptions'!$C$4:$C$6))</f>
        <v>712.98</v>
      </c>
      <c r="G484" s="9">
        <f t="shared" si="21"/>
        <v>165133297.80000001</v>
      </c>
      <c r="H484" s="9">
        <f>G484*'02_Actual_Revenue'!H484</f>
        <v>102382644.63600001</v>
      </c>
      <c r="I484" s="9">
        <f t="shared" si="22"/>
        <v>62750653.164000005</v>
      </c>
      <c r="J484" s="13">
        <f t="shared" si="23"/>
        <v>0.38</v>
      </c>
    </row>
    <row r="485" spans="1:10">
      <c r="A485" s="5">
        <f>'02_Actual_Revenue'!A485</f>
        <v>46023</v>
      </c>
      <c r="B485" s="3" t="str">
        <f>'02_Actual_Revenue'!B485</f>
        <v>P001</v>
      </c>
      <c r="C485" s="3" t="str">
        <f>'02_Actual_Revenue'!C485</f>
        <v>R04</v>
      </c>
      <c r="D485" s="7">
        <f>'02_Actual_Revenue'!D485</f>
        <v>126500</v>
      </c>
      <c r="E485" s="7">
        <f>D485*(1+_xlfn.XLOOKUP("Devices",'01_Assumptions'!$A$4:$A$6,'01_Assumptions'!$B$4:$B$6))</f>
        <v>134090</v>
      </c>
      <c r="F485" s="3">
        <f>'02_Actual_Revenue'!E485*(1+_xlfn.XLOOKUP("Devices",'01_Assumptions'!$A$4:$A$6,'01_Assumptions'!$C$4:$C$6))</f>
        <v>712.98</v>
      </c>
      <c r="G485" s="9">
        <f t="shared" si="21"/>
        <v>95603488.200000003</v>
      </c>
      <c r="H485" s="9">
        <f>G485*'02_Actual_Revenue'!H485</f>
        <v>59274162.684</v>
      </c>
      <c r="I485" s="9">
        <f t="shared" si="22"/>
        <v>36329325.516000003</v>
      </c>
      <c r="J485" s="13">
        <f t="shared" si="23"/>
        <v>0.38</v>
      </c>
    </row>
    <row r="486" spans="1:10">
      <c r="A486" s="5">
        <f>'02_Actual_Revenue'!A486</f>
        <v>46023</v>
      </c>
      <c r="B486" s="3" t="str">
        <f>'02_Actual_Revenue'!B486</f>
        <v>P002</v>
      </c>
      <c r="C486" s="3" t="str">
        <f>'02_Actual_Revenue'!C486</f>
        <v>R01</v>
      </c>
      <c r="D486" s="7">
        <f>'02_Actual_Revenue'!D486</f>
        <v>110400</v>
      </c>
      <c r="E486" s="7">
        <f>D486*(1+_xlfn.XLOOKUP("Devices",'01_Assumptions'!$A$4:$A$6,'01_Assumptions'!$B$4:$B$6))</f>
        <v>117024</v>
      </c>
      <c r="F486" s="3">
        <f>'02_Actual_Revenue'!E486*(1+_xlfn.XLOOKUP("Devices",'01_Assumptions'!$A$4:$A$6,'01_Assumptions'!$C$4:$C$6))</f>
        <v>1018.98</v>
      </c>
      <c r="G486" s="9">
        <f t="shared" si="21"/>
        <v>119245115.52</v>
      </c>
      <c r="H486" s="9">
        <f>G486*'02_Actual_Revenue'!H486</f>
        <v>69162167.001599997</v>
      </c>
      <c r="I486" s="9">
        <f t="shared" si="22"/>
        <v>50082948.518399999</v>
      </c>
      <c r="J486" s="13">
        <f t="shared" si="23"/>
        <v>0.42</v>
      </c>
    </row>
    <row r="487" spans="1:10">
      <c r="A487" s="5">
        <f>'02_Actual_Revenue'!A487</f>
        <v>46023</v>
      </c>
      <c r="B487" s="3" t="str">
        <f>'02_Actual_Revenue'!B487</f>
        <v>P002</v>
      </c>
      <c r="C487" s="3" t="str">
        <f>'02_Actual_Revenue'!C487</f>
        <v>R02</v>
      </c>
      <c r="D487" s="7">
        <f>'02_Actual_Revenue'!D487</f>
        <v>93840</v>
      </c>
      <c r="E487" s="7">
        <f>D487*(1+_xlfn.XLOOKUP("Devices",'01_Assumptions'!$A$4:$A$6,'01_Assumptions'!$B$4:$B$6))</f>
        <v>99470.400000000009</v>
      </c>
      <c r="F487" s="3">
        <f>'02_Actual_Revenue'!E487*(1+_xlfn.XLOOKUP("Devices",'01_Assumptions'!$A$4:$A$6,'01_Assumptions'!$C$4:$C$6))</f>
        <v>1018.98</v>
      </c>
      <c r="G487" s="9">
        <f t="shared" si="21"/>
        <v>101358348.19200002</v>
      </c>
      <c r="H487" s="9">
        <f>G487*'02_Actual_Revenue'!H487</f>
        <v>58787841.951360002</v>
      </c>
      <c r="I487" s="9">
        <f t="shared" si="22"/>
        <v>42570506.240640014</v>
      </c>
      <c r="J487" s="13">
        <f t="shared" si="23"/>
        <v>0.4200000000000001</v>
      </c>
    </row>
    <row r="488" spans="1:10">
      <c r="A488" s="5">
        <f>'02_Actual_Revenue'!A488</f>
        <v>46023</v>
      </c>
      <c r="B488" s="3" t="str">
        <f>'02_Actual_Revenue'!B488</f>
        <v>P002</v>
      </c>
      <c r="C488" s="3" t="str">
        <f>'02_Actual_Revenue'!C488</f>
        <v>R03</v>
      </c>
      <c r="D488" s="7">
        <f>'02_Actual_Revenue'!D488</f>
        <v>104880</v>
      </c>
      <c r="E488" s="7">
        <f>D488*(1+_xlfn.XLOOKUP("Devices",'01_Assumptions'!$A$4:$A$6,'01_Assumptions'!$B$4:$B$6))</f>
        <v>111172.8</v>
      </c>
      <c r="F488" s="3">
        <f>'02_Actual_Revenue'!E488*(1+_xlfn.XLOOKUP("Devices",'01_Assumptions'!$A$4:$A$6,'01_Assumptions'!$C$4:$C$6))</f>
        <v>1018.98</v>
      </c>
      <c r="G488" s="9">
        <f t="shared" si="21"/>
        <v>113282859.744</v>
      </c>
      <c r="H488" s="9">
        <f>G488*'02_Actual_Revenue'!H488</f>
        <v>65704058.651519999</v>
      </c>
      <c r="I488" s="9">
        <f t="shared" si="22"/>
        <v>47578801.092480004</v>
      </c>
      <c r="J488" s="13">
        <f t="shared" si="23"/>
        <v>0.42000000000000004</v>
      </c>
    </row>
    <row r="489" spans="1:10">
      <c r="A489" s="5">
        <f>'02_Actual_Revenue'!A489</f>
        <v>46023</v>
      </c>
      <c r="B489" s="3" t="str">
        <f>'02_Actual_Revenue'!B489</f>
        <v>P002</v>
      </c>
      <c r="C489" s="3" t="str">
        <f>'02_Actual_Revenue'!C489</f>
        <v>R04</v>
      </c>
      <c r="D489" s="7">
        <f>'02_Actual_Revenue'!D489</f>
        <v>60720</v>
      </c>
      <c r="E489" s="7">
        <f>D489*(1+_xlfn.XLOOKUP("Devices",'01_Assumptions'!$A$4:$A$6,'01_Assumptions'!$B$4:$B$6))</f>
        <v>64363.200000000004</v>
      </c>
      <c r="F489" s="3">
        <f>'02_Actual_Revenue'!E489*(1+_xlfn.XLOOKUP("Devices",'01_Assumptions'!$A$4:$A$6,'01_Assumptions'!$C$4:$C$6))</f>
        <v>1018.98</v>
      </c>
      <c r="G489" s="9">
        <f t="shared" si="21"/>
        <v>65584813.536000006</v>
      </c>
      <c r="H489" s="9">
        <f>G489*'02_Actual_Revenue'!H489</f>
        <v>38039191.850880004</v>
      </c>
      <c r="I489" s="9">
        <f t="shared" si="22"/>
        <v>27545621.685120001</v>
      </c>
      <c r="J489" s="13">
        <f t="shared" si="23"/>
        <v>0.42</v>
      </c>
    </row>
    <row r="490" spans="1:10">
      <c r="A490" s="5">
        <f>'02_Actual_Revenue'!A490</f>
        <v>46023</v>
      </c>
      <c r="B490" s="3" t="str">
        <f>'02_Actual_Revenue'!B490</f>
        <v>P003</v>
      </c>
      <c r="C490" s="3" t="str">
        <f>'02_Actual_Revenue'!C490</f>
        <v>R01</v>
      </c>
      <c r="D490" s="7">
        <f>'02_Actual_Revenue'!D490</f>
        <v>128800</v>
      </c>
      <c r="E490" s="7">
        <f>D490*(1+_xlfn.XLOOKUP("Devices",'01_Assumptions'!$A$4:$A$6,'01_Assumptions'!$B$4:$B$6))</f>
        <v>136528</v>
      </c>
      <c r="F490" s="3">
        <f>'02_Actual_Revenue'!E490*(1+_xlfn.XLOOKUP("Devices",'01_Assumptions'!$A$4:$A$6,'01_Assumptions'!$C$4:$C$6))</f>
        <v>559.98</v>
      </c>
      <c r="G490" s="9">
        <f t="shared" si="21"/>
        <v>76452949.439999998</v>
      </c>
      <c r="H490" s="9">
        <f>G490*'02_Actual_Revenue'!H490</f>
        <v>45871769.663999997</v>
      </c>
      <c r="I490" s="9">
        <f t="shared" si="22"/>
        <v>30581179.776000001</v>
      </c>
      <c r="J490" s="13">
        <f t="shared" si="23"/>
        <v>0.4</v>
      </c>
    </row>
    <row r="491" spans="1:10">
      <c r="A491" s="5">
        <f>'02_Actual_Revenue'!A491</f>
        <v>46023</v>
      </c>
      <c r="B491" s="3" t="str">
        <f>'02_Actual_Revenue'!B491</f>
        <v>P003</v>
      </c>
      <c r="C491" s="3" t="str">
        <f>'02_Actual_Revenue'!C491</f>
        <v>R02</v>
      </c>
      <c r="D491" s="7">
        <f>'02_Actual_Revenue'!D491</f>
        <v>109480</v>
      </c>
      <c r="E491" s="7">
        <f>D491*(1+_xlfn.XLOOKUP("Devices",'01_Assumptions'!$A$4:$A$6,'01_Assumptions'!$B$4:$B$6))</f>
        <v>116048.8</v>
      </c>
      <c r="F491" s="3">
        <f>'02_Actual_Revenue'!E491*(1+_xlfn.XLOOKUP("Devices",'01_Assumptions'!$A$4:$A$6,'01_Assumptions'!$C$4:$C$6))</f>
        <v>559.98</v>
      </c>
      <c r="G491" s="9">
        <f t="shared" si="21"/>
        <v>64985007.024000004</v>
      </c>
      <c r="H491" s="9">
        <f>G491*'02_Actual_Revenue'!H491</f>
        <v>38991004.214400001</v>
      </c>
      <c r="I491" s="9">
        <f t="shared" si="22"/>
        <v>25994002.809600003</v>
      </c>
      <c r="J491" s="13">
        <f t="shared" si="23"/>
        <v>0.4</v>
      </c>
    </row>
    <row r="492" spans="1:10">
      <c r="A492" s="5">
        <f>'02_Actual_Revenue'!A492</f>
        <v>46023</v>
      </c>
      <c r="B492" s="3" t="str">
        <f>'02_Actual_Revenue'!B492</f>
        <v>P003</v>
      </c>
      <c r="C492" s="3" t="str">
        <f>'02_Actual_Revenue'!C492</f>
        <v>R03</v>
      </c>
      <c r="D492" s="7">
        <f>'02_Actual_Revenue'!D492</f>
        <v>122360</v>
      </c>
      <c r="E492" s="7">
        <f>D492*(1+_xlfn.XLOOKUP("Devices",'01_Assumptions'!$A$4:$A$6,'01_Assumptions'!$B$4:$B$6))</f>
        <v>129701.6</v>
      </c>
      <c r="F492" s="3">
        <f>'02_Actual_Revenue'!E492*(1+_xlfn.XLOOKUP("Devices",'01_Assumptions'!$A$4:$A$6,'01_Assumptions'!$C$4:$C$6))</f>
        <v>559.98</v>
      </c>
      <c r="G492" s="9">
        <f t="shared" si="21"/>
        <v>72630301.96800001</v>
      </c>
      <c r="H492" s="9">
        <f>G492*'02_Actual_Revenue'!H492</f>
        <v>43578181.180800006</v>
      </c>
      <c r="I492" s="9">
        <f t="shared" si="22"/>
        <v>29052120.787200004</v>
      </c>
      <c r="J492" s="13">
        <f t="shared" si="23"/>
        <v>0.4</v>
      </c>
    </row>
    <row r="493" spans="1:10">
      <c r="A493" s="5">
        <f>'02_Actual_Revenue'!A493</f>
        <v>46023</v>
      </c>
      <c r="B493" s="3" t="str">
        <f>'02_Actual_Revenue'!B493</f>
        <v>P003</v>
      </c>
      <c r="C493" s="3" t="str">
        <f>'02_Actual_Revenue'!C493</f>
        <v>R04</v>
      </c>
      <c r="D493" s="7">
        <f>'02_Actual_Revenue'!D493</f>
        <v>70840</v>
      </c>
      <c r="E493" s="7">
        <f>D493*(1+_xlfn.XLOOKUP("Devices",'01_Assumptions'!$A$4:$A$6,'01_Assumptions'!$B$4:$B$6))</f>
        <v>75090.400000000009</v>
      </c>
      <c r="F493" s="3">
        <f>'02_Actual_Revenue'!E493*(1+_xlfn.XLOOKUP("Devices",'01_Assumptions'!$A$4:$A$6,'01_Assumptions'!$C$4:$C$6))</f>
        <v>559.98</v>
      </c>
      <c r="G493" s="9">
        <f t="shared" si="21"/>
        <v>42049122.192000009</v>
      </c>
      <c r="H493" s="9">
        <f>G493*'02_Actual_Revenue'!H493</f>
        <v>25229473.315200005</v>
      </c>
      <c r="I493" s="9">
        <f t="shared" si="22"/>
        <v>16819648.876800004</v>
      </c>
      <c r="J493" s="13">
        <f t="shared" si="23"/>
        <v>0.4</v>
      </c>
    </row>
    <row r="494" spans="1:10">
      <c r="A494" s="5">
        <f>'02_Actual_Revenue'!A494</f>
        <v>46023</v>
      </c>
      <c r="B494" s="3" t="str">
        <f>'02_Actual_Revenue'!B494</f>
        <v>P004</v>
      </c>
      <c r="C494" s="3" t="str">
        <f>'02_Actual_Revenue'!C494</f>
        <v>R01</v>
      </c>
      <c r="D494" s="7">
        <f>'02_Actual_Revenue'!D494</f>
        <v>64400</v>
      </c>
      <c r="E494" s="7">
        <f>D494*(1+_xlfn.XLOOKUP("Devices",'01_Assumptions'!$A$4:$A$6,'01_Assumptions'!$B$4:$B$6))</f>
        <v>68264</v>
      </c>
      <c r="F494" s="3">
        <f>'02_Actual_Revenue'!E494*(1+_xlfn.XLOOKUP("Devices",'01_Assumptions'!$A$4:$A$6,'01_Assumptions'!$C$4:$C$6))</f>
        <v>1222.98</v>
      </c>
      <c r="G494" s="9">
        <f t="shared" si="21"/>
        <v>83485506.719999999</v>
      </c>
      <c r="H494" s="9">
        <f>G494*'02_Actual_Revenue'!H494</f>
        <v>45917028.696000002</v>
      </c>
      <c r="I494" s="9">
        <f t="shared" si="22"/>
        <v>37568478.023999996</v>
      </c>
      <c r="J494" s="13">
        <f t="shared" si="23"/>
        <v>0.44999999999999996</v>
      </c>
    </row>
    <row r="495" spans="1:10">
      <c r="A495" s="5">
        <f>'02_Actual_Revenue'!A495</f>
        <v>46023</v>
      </c>
      <c r="B495" s="3" t="str">
        <f>'02_Actual_Revenue'!B495</f>
        <v>P004</v>
      </c>
      <c r="C495" s="3" t="str">
        <f>'02_Actual_Revenue'!C495</f>
        <v>R02</v>
      </c>
      <c r="D495" s="7">
        <f>'02_Actual_Revenue'!D495</f>
        <v>54740</v>
      </c>
      <c r="E495" s="7">
        <f>D495*(1+_xlfn.XLOOKUP("Devices",'01_Assumptions'!$A$4:$A$6,'01_Assumptions'!$B$4:$B$6))</f>
        <v>58024.4</v>
      </c>
      <c r="F495" s="3">
        <f>'02_Actual_Revenue'!E495*(1+_xlfn.XLOOKUP("Devices",'01_Assumptions'!$A$4:$A$6,'01_Assumptions'!$C$4:$C$6))</f>
        <v>1222.98</v>
      </c>
      <c r="G495" s="9">
        <f t="shared" si="21"/>
        <v>70962680.711999997</v>
      </c>
      <c r="H495" s="9">
        <f>G495*'02_Actual_Revenue'!H495</f>
        <v>39029474.391600005</v>
      </c>
      <c r="I495" s="9">
        <f t="shared" si="22"/>
        <v>31933206.320399992</v>
      </c>
      <c r="J495" s="13">
        <f t="shared" si="23"/>
        <v>0.4499999999999999</v>
      </c>
    </row>
    <row r="496" spans="1:10">
      <c r="A496" s="5">
        <f>'02_Actual_Revenue'!A496</f>
        <v>46023</v>
      </c>
      <c r="B496" s="3" t="str">
        <f>'02_Actual_Revenue'!B496</f>
        <v>P004</v>
      </c>
      <c r="C496" s="3" t="str">
        <f>'02_Actual_Revenue'!C496</f>
        <v>R03</v>
      </c>
      <c r="D496" s="7">
        <f>'02_Actual_Revenue'!D496</f>
        <v>61180</v>
      </c>
      <c r="E496" s="7">
        <f>D496*(1+_xlfn.XLOOKUP("Devices",'01_Assumptions'!$A$4:$A$6,'01_Assumptions'!$B$4:$B$6))</f>
        <v>64850.8</v>
      </c>
      <c r="F496" s="3">
        <f>'02_Actual_Revenue'!E496*(1+_xlfn.XLOOKUP("Devices",'01_Assumptions'!$A$4:$A$6,'01_Assumptions'!$C$4:$C$6))</f>
        <v>1222.98</v>
      </c>
      <c r="G496" s="9">
        <f t="shared" si="21"/>
        <v>79311231.384000003</v>
      </c>
      <c r="H496" s="9">
        <f>G496*'02_Actual_Revenue'!H496</f>
        <v>43621177.261200003</v>
      </c>
      <c r="I496" s="9">
        <f t="shared" si="22"/>
        <v>35690054.1228</v>
      </c>
      <c r="J496" s="13">
        <f t="shared" si="23"/>
        <v>0.44999999999999996</v>
      </c>
    </row>
    <row r="497" spans="1:10">
      <c r="A497" s="5">
        <f>'02_Actual_Revenue'!A497</f>
        <v>46023</v>
      </c>
      <c r="B497" s="3" t="str">
        <f>'02_Actual_Revenue'!B497</f>
        <v>P004</v>
      </c>
      <c r="C497" s="3" t="str">
        <f>'02_Actual_Revenue'!C497</f>
        <v>R04</v>
      </c>
      <c r="D497" s="7">
        <f>'02_Actual_Revenue'!D497</f>
        <v>35420</v>
      </c>
      <c r="E497" s="7">
        <f>D497*(1+_xlfn.XLOOKUP("Devices",'01_Assumptions'!$A$4:$A$6,'01_Assumptions'!$B$4:$B$6))</f>
        <v>37545.200000000004</v>
      </c>
      <c r="F497" s="3">
        <f>'02_Actual_Revenue'!E497*(1+_xlfn.XLOOKUP("Devices",'01_Assumptions'!$A$4:$A$6,'01_Assumptions'!$C$4:$C$6))</f>
        <v>1222.98</v>
      </c>
      <c r="G497" s="9">
        <f t="shared" si="21"/>
        <v>45917028.696000002</v>
      </c>
      <c r="H497" s="9">
        <f>G497*'02_Actual_Revenue'!H497</f>
        <v>25254365.782800004</v>
      </c>
      <c r="I497" s="9">
        <f t="shared" si="22"/>
        <v>20662662.913199998</v>
      </c>
      <c r="J497" s="13">
        <f t="shared" si="23"/>
        <v>0.44999999999999996</v>
      </c>
    </row>
    <row r="498" spans="1:10">
      <c r="A498" s="5">
        <f>'02_Actual_Revenue'!A498</f>
        <v>46023</v>
      </c>
      <c r="B498" s="3" t="str">
        <f>'02_Actual_Revenue'!B498</f>
        <v>P005</v>
      </c>
      <c r="C498" s="3" t="str">
        <f>'02_Actual_Revenue'!C498</f>
        <v>R01</v>
      </c>
      <c r="D498" s="7">
        <f>'02_Actual_Revenue'!D498</f>
        <v>165600</v>
      </c>
      <c r="E498" s="7">
        <f>D498*(1+_xlfn.XLOOKUP("Devices",'01_Assumptions'!$A$4:$A$6,'01_Assumptions'!$B$4:$B$6))</f>
        <v>175536</v>
      </c>
      <c r="F498" s="3">
        <f>'02_Actual_Revenue'!E498*(1+_xlfn.XLOOKUP("Devices",'01_Assumptions'!$A$4:$A$6,'01_Assumptions'!$C$4:$C$6))</f>
        <v>304.98</v>
      </c>
      <c r="G498" s="9">
        <f t="shared" si="21"/>
        <v>53534969.280000001</v>
      </c>
      <c r="H498" s="9">
        <f>G498*'02_Actual_Revenue'!H498</f>
        <v>26767484.640000001</v>
      </c>
      <c r="I498" s="9">
        <f t="shared" si="22"/>
        <v>26767484.640000001</v>
      </c>
      <c r="J498" s="13">
        <f t="shared" si="23"/>
        <v>0.5</v>
      </c>
    </row>
    <row r="499" spans="1:10">
      <c r="A499" s="5">
        <f>'02_Actual_Revenue'!A499</f>
        <v>46023</v>
      </c>
      <c r="B499" s="3" t="str">
        <f>'02_Actual_Revenue'!B499</f>
        <v>P005</v>
      </c>
      <c r="C499" s="3" t="str">
        <f>'02_Actual_Revenue'!C499</f>
        <v>R02</v>
      </c>
      <c r="D499" s="7">
        <f>'02_Actual_Revenue'!D499</f>
        <v>140760</v>
      </c>
      <c r="E499" s="7">
        <f>D499*(1+_xlfn.XLOOKUP("Devices",'01_Assumptions'!$A$4:$A$6,'01_Assumptions'!$B$4:$B$6))</f>
        <v>149205.6</v>
      </c>
      <c r="F499" s="3">
        <f>'02_Actual_Revenue'!E499*(1+_xlfn.XLOOKUP("Devices",'01_Assumptions'!$A$4:$A$6,'01_Assumptions'!$C$4:$C$6))</f>
        <v>304.98</v>
      </c>
      <c r="G499" s="9">
        <f t="shared" si="21"/>
        <v>45504723.888000004</v>
      </c>
      <c r="H499" s="9">
        <f>G499*'02_Actual_Revenue'!H499</f>
        <v>22752361.944000002</v>
      </c>
      <c r="I499" s="9">
        <f t="shared" si="22"/>
        <v>22752361.944000002</v>
      </c>
      <c r="J499" s="13">
        <f t="shared" si="23"/>
        <v>0.5</v>
      </c>
    </row>
    <row r="500" spans="1:10">
      <c r="A500" s="5">
        <f>'02_Actual_Revenue'!A500</f>
        <v>46023</v>
      </c>
      <c r="B500" s="3" t="str">
        <f>'02_Actual_Revenue'!B500</f>
        <v>P005</v>
      </c>
      <c r="C500" s="3" t="str">
        <f>'02_Actual_Revenue'!C500</f>
        <v>R03</v>
      </c>
      <c r="D500" s="7">
        <f>'02_Actual_Revenue'!D500</f>
        <v>157320</v>
      </c>
      <c r="E500" s="7">
        <f>D500*(1+_xlfn.XLOOKUP("Devices",'01_Assumptions'!$A$4:$A$6,'01_Assumptions'!$B$4:$B$6))</f>
        <v>166759.20000000001</v>
      </c>
      <c r="F500" s="3">
        <f>'02_Actual_Revenue'!E500*(1+_xlfn.XLOOKUP("Devices",'01_Assumptions'!$A$4:$A$6,'01_Assumptions'!$C$4:$C$6))</f>
        <v>304.98</v>
      </c>
      <c r="G500" s="9">
        <f t="shared" si="21"/>
        <v>50858220.816000007</v>
      </c>
      <c r="H500" s="9">
        <f>G500*'02_Actual_Revenue'!H500</f>
        <v>25429110.408000004</v>
      </c>
      <c r="I500" s="9">
        <f t="shared" si="22"/>
        <v>25429110.408000004</v>
      </c>
      <c r="J500" s="13">
        <f t="shared" si="23"/>
        <v>0.5</v>
      </c>
    </row>
    <row r="501" spans="1:10">
      <c r="A501" s="5">
        <f>'02_Actual_Revenue'!A501</f>
        <v>46023</v>
      </c>
      <c r="B501" s="3" t="str">
        <f>'02_Actual_Revenue'!B501</f>
        <v>P005</v>
      </c>
      <c r="C501" s="3" t="str">
        <f>'02_Actual_Revenue'!C501</f>
        <v>R04</v>
      </c>
      <c r="D501" s="7">
        <f>'02_Actual_Revenue'!D501</f>
        <v>91080</v>
      </c>
      <c r="E501" s="7">
        <f>D501*(1+_xlfn.XLOOKUP("Devices",'01_Assumptions'!$A$4:$A$6,'01_Assumptions'!$B$4:$B$6))</f>
        <v>96544.8</v>
      </c>
      <c r="F501" s="3">
        <f>'02_Actual_Revenue'!E501*(1+_xlfn.XLOOKUP("Devices",'01_Assumptions'!$A$4:$A$6,'01_Assumptions'!$C$4:$C$6))</f>
        <v>304.98</v>
      </c>
      <c r="G501" s="9">
        <f t="shared" si="21"/>
        <v>29444233.104000002</v>
      </c>
      <c r="H501" s="9">
        <f>G501*'02_Actual_Revenue'!H501</f>
        <v>14722116.552000001</v>
      </c>
      <c r="I501" s="9">
        <f t="shared" si="22"/>
        <v>14722116.552000001</v>
      </c>
      <c r="J501" s="13">
        <f t="shared" si="23"/>
        <v>0.5</v>
      </c>
    </row>
    <row r="502" spans="1:10">
      <c r="A502" s="5">
        <f>'02_Actual_Revenue'!A502</f>
        <v>46023</v>
      </c>
      <c r="B502" s="3" t="str">
        <f>'02_Actual_Revenue'!B502</f>
        <v>P006</v>
      </c>
      <c r="C502" s="3" t="str">
        <f>'02_Actual_Revenue'!C502</f>
        <v>R01</v>
      </c>
      <c r="D502" s="7">
        <f>'02_Actual_Revenue'!D502</f>
        <v>552000</v>
      </c>
      <c r="E502" s="7">
        <f>D502*(1+_xlfn.XLOOKUP("Cloud &amp; Software",'01_Assumptions'!$A$4:$A$6,'01_Assumptions'!$B$4:$B$6))</f>
        <v>607200</v>
      </c>
      <c r="F502" s="3">
        <f>'02_Actual_Revenue'!E502*(1+_xlfn.XLOOKUP("Cloud &amp; Software",'01_Assumptions'!$A$4:$A$6,'01_Assumptions'!$C$4:$C$6))</f>
        <v>40.17</v>
      </c>
      <c r="G502" s="9">
        <f t="shared" si="21"/>
        <v>24391224</v>
      </c>
      <c r="H502" s="9">
        <f>G502*'02_Actual_Revenue'!H502</f>
        <v>6097806</v>
      </c>
      <c r="I502" s="9">
        <f t="shared" si="22"/>
        <v>18293418</v>
      </c>
      <c r="J502" s="13">
        <f t="shared" si="23"/>
        <v>0.75</v>
      </c>
    </row>
    <row r="503" spans="1:10">
      <c r="A503" s="5">
        <f>'02_Actual_Revenue'!A503</f>
        <v>46023</v>
      </c>
      <c r="B503" s="3" t="str">
        <f>'02_Actual_Revenue'!B503</f>
        <v>P006</v>
      </c>
      <c r="C503" s="3" t="str">
        <f>'02_Actual_Revenue'!C503</f>
        <v>R02</v>
      </c>
      <c r="D503" s="7">
        <f>'02_Actual_Revenue'!D503</f>
        <v>469200</v>
      </c>
      <c r="E503" s="7">
        <f>D503*(1+_xlfn.XLOOKUP("Cloud &amp; Software",'01_Assumptions'!$A$4:$A$6,'01_Assumptions'!$B$4:$B$6))</f>
        <v>516120.00000000006</v>
      </c>
      <c r="F503" s="3">
        <f>'02_Actual_Revenue'!E503*(1+_xlfn.XLOOKUP("Cloud &amp; Software",'01_Assumptions'!$A$4:$A$6,'01_Assumptions'!$C$4:$C$6))</f>
        <v>40.17</v>
      </c>
      <c r="G503" s="9">
        <f t="shared" si="21"/>
        <v>20732540.400000002</v>
      </c>
      <c r="H503" s="9">
        <f>G503*'02_Actual_Revenue'!H503</f>
        <v>5183135.1000000006</v>
      </c>
      <c r="I503" s="9">
        <f t="shared" si="22"/>
        <v>15549405.300000001</v>
      </c>
      <c r="J503" s="13">
        <f t="shared" si="23"/>
        <v>0.75</v>
      </c>
    </row>
    <row r="504" spans="1:10">
      <c r="A504" s="5">
        <f>'02_Actual_Revenue'!A504</f>
        <v>46023</v>
      </c>
      <c r="B504" s="3" t="str">
        <f>'02_Actual_Revenue'!B504</f>
        <v>P006</v>
      </c>
      <c r="C504" s="3" t="str">
        <f>'02_Actual_Revenue'!C504</f>
        <v>R03</v>
      </c>
      <c r="D504" s="7">
        <f>'02_Actual_Revenue'!D504</f>
        <v>524400</v>
      </c>
      <c r="E504" s="7">
        <f>D504*(1+_xlfn.XLOOKUP("Cloud &amp; Software",'01_Assumptions'!$A$4:$A$6,'01_Assumptions'!$B$4:$B$6))</f>
        <v>576840</v>
      </c>
      <c r="F504" s="3">
        <f>'02_Actual_Revenue'!E504*(1+_xlfn.XLOOKUP("Cloud &amp; Software",'01_Assumptions'!$A$4:$A$6,'01_Assumptions'!$C$4:$C$6))</f>
        <v>40.17</v>
      </c>
      <c r="G504" s="9">
        <f t="shared" si="21"/>
        <v>23171662.800000001</v>
      </c>
      <c r="H504" s="9">
        <f>G504*'02_Actual_Revenue'!H504</f>
        <v>5792915.7000000002</v>
      </c>
      <c r="I504" s="9">
        <f t="shared" si="22"/>
        <v>17378747.100000001</v>
      </c>
      <c r="J504" s="13">
        <f t="shared" si="23"/>
        <v>0.75</v>
      </c>
    </row>
    <row r="505" spans="1:10">
      <c r="A505" s="5">
        <f>'02_Actual_Revenue'!A505</f>
        <v>46023</v>
      </c>
      <c r="B505" s="3" t="str">
        <f>'02_Actual_Revenue'!B505</f>
        <v>P006</v>
      </c>
      <c r="C505" s="3" t="str">
        <f>'02_Actual_Revenue'!C505</f>
        <v>R04</v>
      </c>
      <c r="D505" s="7">
        <f>'02_Actual_Revenue'!D505</f>
        <v>303600</v>
      </c>
      <c r="E505" s="7">
        <f>D505*(1+_xlfn.XLOOKUP("Cloud &amp; Software",'01_Assumptions'!$A$4:$A$6,'01_Assumptions'!$B$4:$B$6))</f>
        <v>333960</v>
      </c>
      <c r="F505" s="3">
        <f>'02_Actual_Revenue'!E505*(1+_xlfn.XLOOKUP("Cloud &amp; Software",'01_Assumptions'!$A$4:$A$6,'01_Assumptions'!$C$4:$C$6))</f>
        <v>40.17</v>
      </c>
      <c r="G505" s="9">
        <f t="shared" si="21"/>
        <v>13415173.200000001</v>
      </c>
      <c r="H505" s="9">
        <f>G505*'02_Actual_Revenue'!H505</f>
        <v>3353793.3000000003</v>
      </c>
      <c r="I505" s="9">
        <f t="shared" si="22"/>
        <v>10061379.9</v>
      </c>
      <c r="J505" s="13">
        <f t="shared" si="23"/>
        <v>0.75</v>
      </c>
    </row>
    <row r="506" spans="1:10">
      <c r="A506" s="5">
        <f>'02_Actual_Revenue'!A506</f>
        <v>46023</v>
      </c>
      <c r="B506" s="3" t="str">
        <f>'02_Actual_Revenue'!B506</f>
        <v>P007</v>
      </c>
      <c r="C506" s="3" t="str">
        <f>'02_Actual_Revenue'!C506</f>
        <v>R01</v>
      </c>
      <c r="D506" s="7">
        <f>'02_Actual_Revenue'!D506</f>
        <v>368000</v>
      </c>
      <c r="E506" s="7">
        <f>D506*(1+_xlfn.XLOOKUP("Cloud &amp; Software",'01_Assumptions'!$A$4:$A$6,'01_Assumptions'!$B$4:$B$6))</f>
        <v>404800.00000000006</v>
      </c>
      <c r="F506" s="3">
        <f>'02_Actual_Revenue'!E506*(1+_xlfn.XLOOKUP("Cloud &amp; Software",'01_Assumptions'!$A$4:$A$6,'01_Assumptions'!$C$4:$C$6))</f>
        <v>24.72</v>
      </c>
      <c r="G506" s="9">
        <f t="shared" si="21"/>
        <v>10006656.000000002</v>
      </c>
      <c r="H506" s="9">
        <f>G506*'02_Actual_Revenue'!H506</f>
        <v>2001331.2000000004</v>
      </c>
      <c r="I506" s="9">
        <f t="shared" si="22"/>
        <v>8005324.8000000017</v>
      </c>
      <c r="J506" s="13">
        <f t="shared" si="23"/>
        <v>0.8</v>
      </c>
    </row>
    <row r="507" spans="1:10">
      <c r="A507" s="5">
        <f>'02_Actual_Revenue'!A507</f>
        <v>46023</v>
      </c>
      <c r="B507" s="3" t="str">
        <f>'02_Actual_Revenue'!B507</f>
        <v>P007</v>
      </c>
      <c r="C507" s="3" t="str">
        <f>'02_Actual_Revenue'!C507</f>
        <v>R02</v>
      </c>
      <c r="D507" s="7">
        <f>'02_Actual_Revenue'!D507</f>
        <v>312800</v>
      </c>
      <c r="E507" s="7">
        <f>D507*(1+_xlfn.XLOOKUP("Cloud &amp; Software",'01_Assumptions'!$A$4:$A$6,'01_Assumptions'!$B$4:$B$6))</f>
        <v>344080</v>
      </c>
      <c r="F507" s="3">
        <f>'02_Actual_Revenue'!E507*(1+_xlfn.XLOOKUP("Cloud &amp; Software",'01_Assumptions'!$A$4:$A$6,'01_Assumptions'!$C$4:$C$6))</f>
        <v>24.72</v>
      </c>
      <c r="G507" s="9">
        <f t="shared" si="21"/>
        <v>8505657.5999999996</v>
      </c>
      <c r="H507" s="9">
        <f>G507*'02_Actual_Revenue'!H507</f>
        <v>1701131.52</v>
      </c>
      <c r="I507" s="9">
        <f t="shared" si="22"/>
        <v>6804526.0800000001</v>
      </c>
      <c r="J507" s="13">
        <f t="shared" si="23"/>
        <v>0.8</v>
      </c>
    </row>
    <row r="508" spans="1:10">
      <c r="A508" s="5">
        <f>'02_Actual_Revenue'!A508</f>
        <v>46023</v>
      </c>
      <c r="B508" s="3" t="str">
        <f>'02_Actual_Revenue'!B508</f>
        <v>P007</v>
      </c>
      <c r="C508" s="3" t="str">
        <f>'02_Actual_Revenue'!C508</f>
        <v>R03</v>
      </c>
      <c r="D508" s="7">
        <f>'02_Actual_Revenue'!D508</f>
        <v>349600</v>
      </c>
      <c r="E508" s="7">
        <f>D508*(1+_xlfn.XLOOKUP("Cloud &amp; Software",'01_Assumptions'!$A$4:$A$6,'01_Assumptions'!$B$4:$B$6))</f>
        <v>384560.00000000006</v>
      </c>
      <c r="F508" s="3">
        <f>'02_Actual_Revenue'!E508*(1+_xlfn.XLOOKUP("Cloud &amp; Software",'01_Assumptions'!$A$4:$A$6,'01_Assumptions'!$C$4:$C$6))</f>
        <v>24.72</v>
      </c>
      <c r="G508" s="9">
        <f t="shared" si="21"/>
        <v>9506323.2000000011</v>
      </c>
      <c r="H508" s="9">
        <f>G508*'02_Actual_Revenue'!H508</f>
        <v>1901264.6400000004</v>
      </c>
      <c r="I508" s="9">
        <f t="shared" si="22"/>
        <v>7605058.5600000005</v>
      </c>
      <c r="J508" s="13">
        <f t="shared" si="23"/>
        <v>0.79999999999999993</v>
      </c>
    </row>
    <row r="509" spans="1:10">
      <c r="A509" s="5">
        <f>'02_Actual_Revenue'!A509</f>
        <v>46023</v>
      </c>
      <c r="B509" s="3" t="str">
        <f>'02_Actual_Revenue'!B509</f>
        <v>P007</v>
      </c>
      <c r="C509" s="3" t="str">
        <f>'02_Actual_Revenue'!C509</f>
        <v>R04</v>
      </c>
      <c r="D509" s="7">
        <f>'02_Actual_Revenue'!D509</f>
        <v>202400</v>
      </c>
      <c r="E509" s="7">
        <f>D509*(1+_xlfn.XLOOKUP("Cloud &amp; Software",'01_Assumptions'!$A$4:$A$6,'01_Assumptions'!$B$4:$B$6))</f>
        <v>222640.00000000003</v>
      </c>
      <c r="F509" s="3">
        <f>'02_Actual_Revenue'!E509*(1+_xlfn.XLOOKUP("Cloud &amp; Software",'01_Assumptions'!$A$4:$A$6,'01_Assumptions'!$C$4:$C$6))</f>
        <v>24.72</v>
      </c>
      <c r="G509" s="9">
        <f t="shared" si="21"/>
        <v>5503660.8000000007</v>
      </c>
      <c r="H509" s="9">
        <f>G509*'02_Actual_Revenue'!H509</f>
        <v>1100732.1600000001</v>
      </c>
      <c r="I509" s="9">
        <f t="shared" si="22"/>
        <v>4402928.6400000006</v>
      </c>
      <c r="J509" s="13">
        <f t="shared" si="23"/>
        <v>0.8</v>
      </c>
    </row>
    <row r="510" spans="1:10">
      <c r="A510" s="5">
        <f>'02_Actual_Revenue'!A510</f>
        <v>46023</v>
      </c>
      <c r="B510" s="3" t="str">
        <f>'02_Actual_Revenue'!B510</f>
        <v>P008</v>
      </c>
      <c r="C510" s="3" t="str">
        <f>'02_Actual_Revenue'!C510</f>
        <v>R01</v>
      </c>
      <c r="D510" s="7">
        <f>'02_Actual_Revenue'!D510</f>
        <v>1104000</v>
      </c>
      <c r="E510" s="7">
        <f>D510*(1+_xlfn.XLOOKUP("Digital Services",'01_Assumptions'!$A$4:$A$6,'01_Assumptions'!$B$4:$B$6))</f>
        <v>1192320</v>
      </c>
      <c r="F510" s="3">
        <f>'02_Actual_Revenue'!E510*(1+_xlfn.XLOOKUP("Digital Services",'01_Assumptions'!$A$4:$A$6,'01_Assumptions'!$C$4:$C$6))</f>
        <v>12.24</v>
      </c>
      <c r="G510" s="9">
        <f t="shared" si="21"/>
        <v>14593996.800000001</v>
      </c>
      <c r="H510" s="9">
        <f>G510*'02_Actual_Revenue'!H510</f>
        <v>4378199.04</v>
      </c>
      <c r="I510" s="9">
        <f t="shared" si="22"/>
        <v>10215797.760000002</v>
      </c>
      <c r="J510" s="13">
        <f t="shared" si="23"/>
        <v>0.70000000000000007</v>
      </c>
    </row>
    <row r="511" spans="1:10">
      <c r="A511" s="5">
        <f>'02_Actual_Revenue'!A511</f>
        <v>46023</v>
      </c>
      <c r="B511" s="3" t="str">
        <f>'02_Actual_Revenue'!B511</f>
        <v>P008</v>
      </c>
      <c r="C511" s="3" t="str">
        <f>'02_Actual_Revenue'!C511</f>
        <v>R02</v>
      </c>
      <c r="D511" s="7">
        <f>'02_Actual_Revenue'!D511</f>
        <v>938400</v>
      </c>
      <c r="E511" s="7">
        <f>D511*(1+_xlfn.XLOOKUP("Digital Services",'01_Assumptions'!$A$4:$A$6,'01_Assumptions'!$B$4:$B$6))</f>
        <v>1013472.0000000001</v>
      </c>
      <c r="F511" s="3">
        <f>'02_Actual_Revenue'!E511*(1+_xlfn.XLOOKUP("Digital Services",'01_Assumptions'!$A$4:$A$6,'01_Assumptions'!$C$4:$C$6))</f>
        <v>12.24</v>
      </c>
      <c r="G511" s="9">
        <f t="shared" si="21"/>
        <v>12404897.280000001</v>
      </c>
      <c r="H511" s="9">
        <f>G511*'02_Actual_Revenue'!H511</f>
        <v>3721469.1840000004</v>
      </c>
      <c r="I511" s="9">
        <f t="shared" si="22"/>
        <v>8683428.0960000008</v>
      </c>
      <c r="J511" s="13">
        <f t="shared" si="23"/>
        <v>0.7</v>
      </c>
    </row>
    <row r="512" spans="1:10">
      <c r="A512" s="5">
        <f>'02_Actual_Revenue'!A512</f>
        <v>46023</v>
      </c>
      <c r="B512" s="3" t="str">
        <f>'02_Actual_Revenue'!B512</f>
        <v>P008</v>
      </c>
      <c r="C512" s="3" t="str">
        <f>'02_Actual_Revenue'!C512</f>
        <v>R03</v>
      </c>
      <c r="D512" s="7">
        <f>'02_Actual_Revenue'!D512</f>
        <v>1048800</v>
      </c>
      <c r="E512" s="7">
        <f>D512*(1+_xlfn.XLOOKUP("Digital Services",'01_Assumptions'!$A$4:$A$6,'01_Assumptions'!$B$4:$B$6))</f>
        <v>1132704</v>
      </c>
      <c r="F512" s="3">
        <f>'02_Actual_Revenue'!E512*(1+_xlfn.XLOOKUP("Digital Services",'01_Assumptions'!$A$4:$A$6,'01_Assumptions'!$C$4:$C$6))</f>
        <v>12.24</v>
      </c>
      <c r="G512" s="9">
        <f t="shared" si="21"/>
        <v>13864296.960000001</v>
      </c>
      <c r="H512" s="9">
        <f>G512*'02_Actual_Revenue'!H512</f>
        <v>4159289.088</v>
      </c>
      <c r="I512" s="9">
        <f t="shared" si="22"/>
        <v>9705007.8720000014</v>
      </c>
      <c r="J512" s="13">
        <f t="shared" si="23"/>
        <v>0.70000000000000007</v>
      </c>
    </row>
    <row r="513" spans="1:10">
      <c r="A513" s="5">
        <f>'02_Actual_Revenue'!A513</f>
        <v>46023</v>
      </c>
      <c r="B513" s="3" t="str">
        <f>'02_Actual_Revenue'!B513</f>
        <v>P008</v>
      </c>
      <c r="C513" s="3" t="str">
        <f>'02_Actual_Revenue'!C513</f>
        <v>R04</v>
      </c>
      <c r="D513" s="7">
        <f>'02_Actual_Revenue'!D513</f>
        <v>607200</v>
      </c>
      <c r="E513" s="7">
        <f>D513*(1+_xlfn.XLOOKUP("Digital Services",'01_Assumptions'!$A$4:$A$6,'01_Assumptions'!$B$4:$B$6))</f>
        <v>655776</v>
      </c>
      <c r="F513" s="3">
        <f>'02_Actual_Revenue'!E513*(1+_xlfn.XLOOKUP("Digital Services",'01_Assumptions'!$A$4:$A$6,'01_Assumptions'!$C$4:$C$6))</f>
        <v>12.24</v>
      </c>
      <c r="G513" s="9">
        <f t="shared" si="21"/>
        <v>8026698.2400000002</v>
      </c>
      <c r="H513" s="9">
        <f>G513*'02_Actual_Revenue'!H513</f>
        <v>2408009.4720000001</v>
      </c>
      <c r="I513" s="9">
        <f t="shared" si="22"/>
        <v>5618688.7680000002</v>
      </c>
      <c r="J513" s="13">
        <f t="shared" si="23"/>
        <v>0.7</v>
      </c>
    </row>
    <row r="514" spans="1:10">
      <c r="A514" s="5">
        <f>'02_Actual_Revenue'!A514</f>
        <v>46023</v>
      </c>
      <c r="B514" s="3" t="str">
        <f>'02_Actual_Revenue'!B514</f>
        <v>P009</v>
      </c>
      <c r="C514" s="3" t="str">
        <f>'02_Actual_Revenue'!C514</f>
        <v>R01</v>
      </c>
      <c r="D514" s="7">
        <f>'02_Actual_Revenue'!D514</f>
        <v>736000</v>
      </c>
      <c r="E514" s="7">
        <f>D514*(1+_xlfn.XLOOKUP("Digital Services",'01_Assumptions'!$A$4:$A$6,'01_Assumptions'!$B$4:$B$6))</f>
        <v>794880</v>
      </c>
      <c r="F514" s="3">
        <f>'02_Actual_Revenue'!E514*(1+_xlfn.XLOOKUP("Digital Services",'01_Assumptions'!$A$4:$A$6,'01_Assumptions'!$C$4:$C$6))</f>
        <v>15.3</v>
      </c>
      <c r="G514" s="9">
        <f t="shared" si="21"/>
        <v>12161664</v>
      </c>
      <c r="H514" s="9">
        <f>G514*'02_Actual_Revenue'!H514</f>
        <v>4256582.3999999994</v>
      </c>
      <c r="I514" s="9">
        <f t="shared" si="22"/>
        <v>7905081.6000000006</v>
      </c>
      <c r="J514" s="13">
        <f t="shared" si="23"/>
        <v>0.65</v>
      </c>
    </row>
    <row r="515" spans="1:10">
      <c r="A515" s="5">
        <f>'02_Actual_Revenue'!A515</f>
        <v>46023</v>
      </c>
      <c r="B515" s="3" t="str">
        <f>'02_Actual_Revenue'!B515</f>
        <v>P009</v>
      </c>
      <c r="C515" s="3" t="str">
        <f>'02_Actual_Revenue'!C515</f>
        <v>R02</v>
      </c>
      <c r="D515" s="7">
        <f>'02_Actual_Revenue'!D515</f>
        <v>625600</v>
      </c>
      <c r="E515" s="7">
        <f>D515*(1+_xlfn.XLOOKUP("Digital Services",'01_Assumptions'!$A$4:$A$6,'01_Assumptions'!$B$4:$B$6))</f>
        <v>675648</v>
      </c>
      <c r="F515" s="3">
        <f>'02_Actual_Revenue'!E515*(1+_xlfn.XLOOKUP("Digital Services",'01_Assumptions'!$A$4:$A$6,'01_Assumptions'!$C$4:$C$6))</f>
        <v>15.3</v>
      </c>
      <c r="G515" s="9">
        <f t="shared" ref="G515:G578" si="24">E515*F515</f>
        <v>10337414.4</v>
      </c>
      <c r="H515" s="9">
        <f>G515*'02_Actual_Revenue'!H515</f>
        <v>3618095.04</v>
      </c>
      <c r="I515" s="9">
        <f t="shared" ref="I515:I578" si="25">G515-H515</f>
        <v>6719319.3600000003</v>
      </c>
      <c r="J515" s="13">
        <f t="shared" ref="J515:J578" si="26">I515/G515</f>
        <v>0.65</v>
      </c>
    </row>
    <row r="516" spans="1:10">
      <c r="A516" s="5">
        <f>'02_Actual_Revenue'!A516</f>
        <v>46023</v>
      </c>
      <c r="B516" s="3" t="str">
        <f>'02_Actual_Revenue'!B516</f>
        <v>P009</v>
      </c>
      <c r="C516" s="3" t="str">
        <f>'02_Actual_Revenue'!C516</f>
        <v>R03</v>
      </c>
      <c r="D516" s="7">
        <f>'02_Actual_Revenue'!D516</f>
        <v>699200</v>
      </c>
      <c r="E516" s="7">
        <f>D516*(1+_xlfn.XLOOKUP("Digital Services",'01_Assumptions'!$A$4:$A$6,'01_Assumptions'!$B$4:$B$6))</f>
        <v>755136</v>
      </c>
      <c r="F516" s="3">
        <f>'02_Actual_Revenue'!E516*(1+_xlfn.XLOOKUP("Digital Services",'01_Assumptions'!$A$4:$A$6,'01_Assumptions'!$C$4:$C$6))</f>
        <v>15.3</v>
      </c>
      <c r="G516" s="9">
        <f t="shared" si="24"/>
        <v>11553580.800000001</v>
      </c>
      <c r="H516" s="9">
        <f>G516*'02_Actual_Revenue'!H516</f>
        <v>4043753.28</v>
      </c>
      <c r="I516" s="9">
        <f t="shared" si="25"/>
        <v>7509827.5200000014</v>
      </c>
      <c r="J516" s="13">
        <f t="shared" si="26"/>
        <v>0.65000000000000013</v>
      </c>
    </row>
    <row r="517" spans="1:10">
      <c r="A517" s="5">
        <f>'02_Actual_Revenue'!A517</f>
        <v>46023</v>
      </c>
      <c r="B517" s="3" t="str">
        <f>'02_Actual_Revenue'!B517</f>
        <v>P009</v>
      </c>
      <c r="C517" s="3" t="str">
        <f>'02_Actual_Revenue'!C517</f>
        <v>R04</v>
      </c>
      <c r="D517" s="7">
        <f>'02_Actual_Revenue'!D517</f>
        <v>404800</v>
      </c>
      <c r="E517" s="7">
        <f>D517*(1+_xlfn.XLOOKUP("Digital Services",'01_Assumptions'!$A$4:$A$6,'01_Assumptions'!$B$4:$B$6))</f>
        <v>437184</v>
      </c>
      <c r="F517" s="3">
        <f>'02_Actual_Revenue'!E517*(1+_xlfn.XLOOKUP("Digital Services",'01_Assumptions'!$A$4:$A$6,'01_Assumptions'!$C$4:$C$6))</f>
        <v>15.3</v>
      </c>
      <c r="G517" s="9">
        <f t="shared" si="24"/>
        <v>6688915.2000000002</v>
      </c>
      <c r="H517" s="9">
        <f>G517*'02_Actual_Revenue'!H517</f>
        <v>2341120.3199999998</v>
      </c>
      <c r="I517" s="9">
        <f t="shared" si="25"/>
        <v>4347794.8800000008</v>
      </c>
      <c r="J517" s="13">
        <f t="shared" si="26"/>
        <v>0.65000000000000013</v>
      </c>
    </row>
    <row r="518" spans="1:10">
      <c r="A518" s="5">
        <f>'02_Actual_Revenue'!A518</f>
        <v>46023</v>
      </c>
      <c r="B518" s="3" t="str">
        <f>'02_Actual_Revenue'!B518</f>
        <v>P010</v>
      </c>
      <c r="C518" s="3" t="str">
        <f>'02_Actual_Revenue'!C518</f>
        <v>R01</v>
      </c>
      <c r="D518" s="7">
        <f>'02_Actual_Revenue'!D518</f>
        <v>828000</v>
      </c>
      <c r="E518" s="7">
        <f>D518*(1+_xlfn.XLOOKUP("Digital Services",'01_Assumptions'!$A$4:$A$6,'01_Assumptions'!$B$4:$B$6))</f>
        <v>894240.00000000012</v>
      </c>
      <c r="F518" s="3">
        <f>'02_Actual_Revenue'!E518*(1+_xlfn.XLOOKUP("Digital Services",'01_Assumptions'!$A$4:$A$6,'01_Assumptions'!$C$4:$C$6))</f>
        <v>8.16</v>
      </c>
      <c r="G518" s="9">
        <f t="shared" si="24"/>
        <v>7296998.4000000013</v>
      </c>
      <c r="H518" s="9">
        <f>G518*'02_Actual_Revenue'!H518</f>
        <v>1094549.7600000002</v>
      </c>
      <c r="I518" s="9">
        <f t="shared" si="25"/>
        <v>6202448.6400000006</v>
      </c>
      <c r="J518" s="13">
        <f t="shared" si="26"/>
        <v>0.85</v>
      </c>
    </row>
    <row r="519" spans="1:10">
      <c r="A519" s="5">
        <f>'02_Actual_Revenue'!A519</f>
        <v>46023</v>
      </c>
      <c r="B519" s="3" t="str">
        <f>'02_Actual_Revenue'!B519</f>
        <v>P010</v>
      </c>
      <c r="C519" s="3" t="str">
        <f>'02_Actual_Revenue'!C519</f>
        <v>R02</v>
      </c>
      <c r="D519" s="7">
        <f>'02_Actual_Revenue'!D519</f>
        <v>703800</v>
      </c>
      <c r="E519" s="7">
        <f>D519*(1+_xlfn.XLOOKUP("Digital Services",'01_Assumptions'!$A$4:$A$6,'01_Assumptions'!$B$4:$B$6))</f>
        <v>760104</v>
      </c>
      <c r="F519" s="3">
        <f>'02_Actual_Revenue'!E519*(1+_xlfn.XLOOKUP("Digital Services",'01_Assumptions'!$A$4:$A$6,'01_Assumptions'!$C$4:$C$6))</f>
        <v>8.16</v>
      </c>
      <c r="G519" s="9">
        <f t="shared" si="24"/>
        <v>6202448.6399999997</v>
      </c>
      <c r="H519" s="9">
        <f>G519*'02_Actual_Revenue'!H519</f>
        <v>930367.29599999997</v>
      </c>
      <c r="I519" s="9">
        <f t="shared" si="25"/>
        <v>5272081.3439999996</v>
      </c>
      <c r="J519" s="13">
        <f t="shared" si="26"/>
        <v>0.85</v>
      </c>
    </row>
    <row r="520" spans="1:10">
      <c r="A520" s="5">
        <f>'02_Actual_Revenue'!A520</f>
        <v>46023</v>
      </c>
      <c r="B520" s="3" t="str">
        <f>'02_Actual_Revenue'!B520</f>
        <v>P010</v>
      </c>
      <c r="C520" s="3" t="str">
        <f>'02_Actual_Revenue'!C520</f>
        <v>R03</v>
      </c>
      <c r="D520" s="7">
        <f>'02_Actual_Revenue'!D520</f>
        <v>786600</v>
      </c>
      <c r="E520" s="7">
        <f>D520*(1+_xlfn.XLOOKUP("Digital Services",'01_Assumptions'!$A$4:$A$6,'01_Assumptions'!$B$4:$B$6))</f>
        <v>849528</v>
      </c>
      <c r="F520" s="3">
        <f>'02_Actual_Revenue'!E520*(1+_xlfn.XLOOKUP("Digital Services",'01_Assumptions'!$A$4:$A$6,'01_Assumptions'!$C$4:$C$6))</f>
        <v>8.16</v>
      </c>
      <c r="G520" s="9">
        <f t="shared" si="24"/>
        <v>6932148.4800000004</v>
      </c>
      <c r="H520" s="9">
        <f>G520*'02_Actual_Revenue'!H520</f>
        <v>1039822.272</v>
      </c>
      <c r="I520" s="9">
        <f t="shared" si="25"/>
        <v>5892326.2080000006</v>
      </c>
      <c r="J520" s="13">
        <f t="shared" si="26"/>
        <v>0.85</v>
      </c>
    </row>
    <row r="521" spans="1:10">
      <c r="A521" s="5">
        <f>'02_Actual_Revenue'!A521</f>
        <v>46023</v>
      </c>
      <c r="B521" s="3" t="str">
        <f>'02_Actual_Revenue'!B521</f>
        <v>P010</v>
      </c>
      <c r="C521" s="3" t="str">
        <f>'02_Actual_Revenue'!C521</f>
        <v>R04</v>
      </c>
      <c r="D521" s="7">
        <f>'02_Actual_Revenue'!D521</f>
        <v>455400</v>
      </c>
      <c r="E521" s="7">
        <f>D521*(1+_xlfn.XLOOKUP("Digital Services",'01_Assumptions'!$A$4:$A$6,'01_Assumptions'!$B$4:$B$6))</f>
        <v>491832.00000000006</v>
      </c>
      <c r="F521" s="3">
        <f>'02_Actual_Revenue'!E521*(1+_xlfn.XLOOKUP("Digital Services",'01_Assumptions'!$A$4:$A$6,'01_Assumptions'!$C$4:$C$6))</f>
        <v>8.16</v>
      </c>
      <c r="G521" s="9">
        <f t="shared" si="24"/>
        <v>4013349.1200000006</v>
      </c>
      <c r="H521" s="9">
        <f>G521*'02_Actual_Revenue'!H521</f>
        <v>602002.36800000002</v>
      </c>
      <c r="I521" s="9">
        <f t="shared" si="25"/>
        <v>3411346.7520000003</v>
      </c>
      <c r="J521" s="13">
        <f t="shared" si="26"/>
        <v>0.85</v>
      </c>
    </row>
    <row r="522" spans="1:10">
      <c r="A522" s="5">
        <f>'02_Actual_Revenue'!A522</f>
        <v>46054</v>
      </c>
      <c r="B522" s="3" t="str">
        <f>'02_Actual_Revenue'!B522</f>
        <v>P001</v>
      </c>
      <c r="C522" s="3" t="str">
        <f>'02_Actual_Revenue'!C522</f>
        <v>R01</v>
      </c>
      <c r="D522" s="7">
        <f>'02_Actual_Revenue'!D522</f>
        <v>225000</v>
      </c>
      <c r="E522" s="7">
        <f>D522*(1+_xlfn.XLOOKUP("Devices",'01_Assumptions'!$A$4:$A$6,'01_Assumptions'!$B$4:$B$6))</f>
        <v>238500</v>
      </c>
      <c r="F522" s="3">
        <f>'02_Actual_Revenue'!E522*(1+_xlfn.XLOOKUP("Devices",'01_Assumptions'!$A$4:$A$6,'01_Assumptions'!$C$4:$C$6))</f>
        <v>712.98</v>
      </c>
      <c r="G522" s="9">
        <f t="shared" si="24"/>
        <v>170045730</v>
      </c>
      <c r="H522" s="9">
        <f>G522*'02_Actual_Revenue'!H522</f>
        <v>105428352.59999999</v>
      </c>
      <c r="I522" s="9">
        <f t="shared" si="25"/>
        <v>64617377.400000006</v>
      </c>
      <c r="J522" s="13">
        <f t="shared" si="26"/>
        <v>0.38000000000000006</v>
      </c>
    </row>
    <row r="523" spans="1:10">
      <c r="A523" s="5">
        <f>'02_Actual_Revenue'!A523</f>
        <v>46054</v>
      </c>
      <c r="B523" s="3" t="str">
        <f>'02_Actual_Revenue'!B523</f>
        <v>P001</v>
      </c>
      <c r="C523" s="3" t="str">
        <f>'02_Actual_Revenue'!C523</f>
        <v>R02</v>
      </c>
      <c r="D523" s="7">
        <f>'02_Actual_Revenue'!D523</f>
        <v>191250</v>
      </c>
      <c r="E523" s="7">
        <f>D523*(1+_xlfn.XLOOKUP("Devices",'01_Assumptions'!$A$4:$A$6,'01_Assumptions'!$B$4:$B$6))</f>
        <v>202725</v>
      </c>
      <c r="F523" s="3">
        <f>'02_Actual_Revenue'!E523*(1+_xlfn.XLOOKUP("Devices",'01_Assumptions'!$A$4:$A$6,'01_Assumptions'!$C$4:$C$6))</f>
        <v>712.98</v>
      </c>
      <c r="G523" s="9">
        <f t="shared" si="24"/>
        <v>144538870.5</v>
      </c>
      <c r="H523" s="9">
        <f>G523*'02_Actual_Revenue'!H523</f>
        <v>89614099.709999993</v>
      </c>
      <c r="I523" s="9">
        <f t="shared" si="25"/>
        <v>54924770.790000007</v>
      </c>
      <c r="J523" s="13">
        <f t="shared" si="26"/>
        <v>0.38000000000000006</v>
      </c>
    </row>
    <row r="524" spans="1:10">
      <c r="A524" s="5">
        <f>'02_Actual_Revenue'!A524</f>
        <v>46054</v>
      </c>
      <c r="B524" s="3" t="str">
        <f>'02_Actual_Revenue'!B524</f>
        <v>P001</v>
      </c>
      <c r="C524" s="3" t="str">
        <f>'02_Actual_Revenue'!C524</f>
        <v>R03</v>
      </c>
      <c r="D524" s="7">
        <f>'02_Actual_Revenue'!D524</f>
        <v>213750</v>
      </c>
      <c r="E524" s="7">
        <f>D524*(1+_xlfn.XLOOKUP("Devices",'01_Assumptions'!$A$4:$A$6,'01_Assumptions'!$B$4:$B$6))</f>
        <v>226575</v>
      </c>
      <c r="F524" s="3">
        <f>'02_Actual_Revenue'!E524*(1+_xlfn.XLOOKUP("Devices",'01_Assumptions'!$A$4:$A$6,'01_Assumptions'!$C$4:$C$6))</f>
        <v>712.98</v>
      </c>
      <c r="G524" s="9">
        <f t="shared" si="24"/>
        <v>161543443.5</v>
      </c>
      <c r="H524" s="9">
        <f>G524*'02_Actual_Revenue'!H524</f>
        <v>100156934.97</v>
      </c>
      <c r="I524" s="9">
        <f t="shared" si="25"/>
        <v>61386508.530000001</v>
      </c>
      <c r="J524" s="13">
        <f t="shared" si="26"/>
        <v>0.38</v>
      </c>
    </row>
    <row r="525" spans="1:10">
      <c r="A525" s="5">
        <f>'02_Actual_Revenue'!A525</f>
        <v>46054</v>
      </c>
      <c r="B525" s="3" t="str">
        <f>'02_Actual_Revenue'!B525</f>
        <v>P001</v>
      </c>
      <c r="C525" s="3" t="str">
        <f>'02_Actual_Revenue'!C525</f>
        <v>R04</v>
      </c>
      <c r="D525" s="7">
        <f>'02_Actual_Revenue'!D525</f>
        <v>123750</v>
      </c>
      <c r="E525" s="7">
        <f>D525*(1+_xlfn.XLOOKUP("Devices",'01_Assumptions'!$A$4:$A$6,'01_Assumptions'!$B$4:$B$6))</f>
        <v>131175</v>
      </c>
      <c r="F525" s="3">
        <f>'02_Actual_Revenue'!E525*(1+_xlfn.XLOOKUP("Devices",'01_Assumptions'!$A$4:$A$6,'01_Assumptions'!$C$4:$C$6))</f>
        <v>712.98</v>
      </c>
      <c r="G525" s="9">
        <f t="shared" si="24"/>
        <v>93525151.5</v>
      </c>
      <c r="H525" s="9">
        <f>G525*'02_Actual_Revenue'!H525</f>
        <v>57985593.93</v>
      </c>
      <c r="I525" s="9">
        <f t="shared" si="25"/>
        <v>35539557.57</v>
      </c>
      <c r="J525" s="13">
        <f t="shared" si="26"/>
        <v>0.38</v>
      </c>
    </row>
    <row r="526" spans="1:10">
      <c r="A526" s="5">
        <f>'02_Actual_Revenue'!A526</f>
        <v>46054</v>
      </c>
      <c r="B526" s="3" t="str">
        <f>'02_Actual_Revenue'!B526</f>
        <v>P002</v>
      </c>
      <c r="C526" s="3" t="str">
        <f>'02_Actual_Revenue'!C526</f>
        <v>R01</v>
      </c>
      <c r="D526" s="7">
        <f>'02_Actual_Revenue'!D526</f>
        <v>108000</v>
      </c>
      <c r="E526" s="7">
        <f>D526*(1+_xlfn.XLOOKUP("Devices",'01_Assumptions'!$A$4:$A$6,'01_Assumptions'!$B$4:$B$6))</f>
        <v>114480</v>
      </c>
      <c r="F526" s="3">
        <f>'02_Actual_Revenue'!E526*(1+_xlfn.XLOOKUP("Devices",'01_Assumptions'!$A$4:$A$6,'01_Assumptions'!$C$4:$C$6))</f>
        <v>1018.98</v>
      </c>
      <c r="G526" s="9">
        <f t="shared" si="24"/>
        <v>116652830.40000001</v>
      </c>
      <c r="H526" s="9">
        <f>G526*'02_Actual_Revenue'!H526</f>
        <v>67658641.631999999</v>
      </c>
      <c r="I526" s="9">
        <f t="shared" si="25"/>
        <v>48994188.768000007</v>
      </c>
      <c r="J526" s="13">
        <f t="shared" si="26"/>
        <v>0.42000000000000004</v>
      </c>
    </row>
    <row r="527" spans="1:10">
      <c r="A527" s="5">
        <f>'02_Actual_Revenue'!A527</f>
        <v>46054</v>
      </c>
      <c r="B527" s="3" t="str">
        <f>'02_Actual_Revenue'!B527</f>
        <v>P002</v>
      </c>
      <c r="C527" s="3" t="str">
        <f>'02_Actual_Revenue'!C527</f>
        <v>R02</v>
      </c>
      <c r="D527" s="7">
        <f>'02_Actual_Revenue'!D527</f>
        <v>91800</v>
      </c>
      <c r="E527" s="7">
        <f>D527*(1+_xlfn.XLOOKUP("Devices",'01_Assumptions'!$A$4:$A$6,'01_Assumptions'!$B$4:$B$6))</f>
        <v>97308</v>
      </c>
      <c r="F527" s="3">
        <f>'02_Actual_Revenue'!E527*(1+_xlfn.XLOOKUP("Devices",'01_Assumptions'!$A$4:$A$6,'01_Assumptions'!$C$4:$C$6))</f>
        <v>1018.98</v>
      </c>
      <c r="G527" s="9">
        <f t="shared" si="24"/>
        <v>99154905.840000004</v>
      </c>
      <c r="H527" s="9">
        <f>G527*'02_Actual_Revenue'!H527</f>
        <v>57509845.387199998</v>
      </c>
      <c r="I527" s="9">
        <f t="shared" si="25"/>
        <v>41645060.452800006</v>
      </c>
      <c r="J527" s="13">
        <f t="shared" si="26"/>
        <v>0.42000000000000004</v>
      </c>
    </row>
    <row r="528" spans="1:10">
      <c r="A528" s="5">
        <f>'02_Actual_Revenue'!A528</f>
        <v>46054</v>
      </c>
      <c r="B528" s="3" t="str">
        <f>'02_Actual_Revenue'!B528</f>
        <v>P002</v>
      </c>
      <c r="C528" s="3" t="str">
        <f>'02_Actual_Revenue'!C528</f>
        <v>R03</v>
      </c>
      <c r="D528" s="7">
        <f>'02_Actual_Revenue'!D528</f>
        <v>102600</v>
      </c>
      <c r="E528" s="7">
        <f>D528*(1+_xlfn.XLOOKUP("Devices",'01_Assumptions'!$A$4:$A$6,'01_Assumptions'!$B$4:$B$6))</f>
        <v>108756</v>
      </c>
      <c r="F528" s="3">
        <f>'02_Actual_Revenue'!E528*(1+_xlfn.XLOOKUP("Devices",'01_Assumptions'!$A$4:$A$6,'01_Assumptions'!$C$4:$C$6))</f>
        <v>1018.98</v>
      </c>
      <c r="G528" s="9">
        <f t="shared" si="24"/>
        <v>110820188.88</v>
      </c>
      <c r="H528" s="9">
        <f>G528*'02_Actual_Revenue'!H528</f>
        <v>64275709.550399996</v>
      </c>
      <c r="I528" s="9">
        <f t="shared" si="25"/>
        <v>46544479.329599999</v>
      </c>
      <c r="J528" s="13">
        <f t="shared" si="26"/>
        <v>0.42</v>
      </c>
    </row>
    <row r="529" spans="1:10">
      <c r="A529" s="5">
        <f>'02_Actual_Revenue'!A529</f>
        <v>46054</v>
      </c>
      <c r="B529" s="3" t="str">
        <f>'02_Actual_Revenue'!B529</f>
        <v>P002</v>
      </c>
      <c r="C529" s="3" t="str">
        <f>'02_Actual_Revenue'!C529</f>
        <v>R04</v>
      </c>
      <c r="D529" s="7">
        <f>'02_Actual_Revenue'!D529</f>
        <v>59400</v>
      </c>
      <c r="E529" s="7">
        <f>D529*(1+_xlfn.XLOOKUP("Devices",'01_Assumptions'!$A$4:$A$6,'01_Assumptions'!$B$4:$B$6))</f>
        <v>62964</v>
      </c>
      <c r="F529" s="3">
        <f>'02_Actual_Revenue'!E529*(1+_xlfn.XLOOKUP("Devices",'01_Assumptions'!$A$4:$A$6,'01_Assumptions'!$C$4:$C$6))</f>
        <v>1018.98</v>
      </c>
      <c r="G529" s="9">
        <f t="shared" si="24"/>
        <v>64159056.719999999</v>
      </c>
      <c r="H529" s="9">
        <f>G529*'02_Actual_Revenue'!H529</f>
        <v>37212252.897599995</v>
      </c>
      <c r="I529" s="9">
        <f t="shared" si="25"/>
        <v>26946803.822400004</v>
      </c>
      <c r="J529" s="13">
        <f t="shared" si="26"/>
        <v>0.42000000000000004</v>
      </c>
    </row>
    <row r="530" spans="1:10">
      <c r="A530" s="5">
        <f>'02_Actual_Revenue'!A530</f>
        <v>46054</v>
      </c>
      <c r="B530" s="3" t="str">
        <f>'02_Actual_Revenue'!B530</f>
        <v>P003</v>
      </c>
      <c r="C530" s="3" t="str">
        <f>'02_Actual_Revenue'!C530</f>
        <v>R01</v>
      </c>
      <c r="D530" s="7">
        <f>'02_Actual_Revenue'!D530</f>
        <v>126000</v>
      </c>
      <c r="E530" s="7">
        <f>D530*(1+_xlfn.XLOOKUP("Devices",'01_Assumptions'!$A$4:$A$6,'01_Assumptions'!$B$4:$B$6))</f>
        <v>133560</v>
      </c>
      <c r="F530" s="3">
        <f>'02_Actual_Revenue'!E530*(1+_xlfn.XLOOKUP("Devices",'01_Assumptions'!$A$4:$A$6,'01_Assumptions'!$C$4:$C$6))</f>
        <v>559.98</v>
      </c>
      <c r="G530" s="9">
        <f t="shared" si="24"/>
        <v>74790928.799999997</v>
      </c>
      <c r="H530" s="9">
        <f>G530*'02_Actual_Revenue'!H530</f>
        <v>44874557.279999994</v>
      </c>
      <c r="I530" s="9">
        <f t="shared" si="25"/>
        <v>29916371.520000003</v>
      </c>
      <c r="J530" s="13">
        <f t="shared" si="26"/>
        <v>0.40000000000000008</v>
      </c>
    </row>
    <row r="531" spans="1:10">
      <c r="A531" s="5">
        <f>'02_Actual_Revenue'!A531</f>
        <v>46054</v>
      </c>
      <c r="B531" s="3" t="str">
        <f>'02_Actual_Revenue'!B531</f>
        <v>P003</v>
      </c>
      <c r="C531" s="3" t="str">
        <f>'02_Actual_Revenue'!C531</f>
        <v>R02</v>
      </c>
      <c r="D531" s="7">
        <f>'02_Actual_Revenue'!D531</f>
        <v>107100</v>
      </c>
      <c r="E531" s="7">
        <f>D531*(1+_xlfn.XLOOKUP("Devices",'01_Assumptions'!$A$4:$A$6,'01_Assumptions'!$B$4:$B$6))</f>
        <v>113526</v>
      </c>
      <c r="F531" s="3">
        <f>'02_Actual_Revenue'!E531*(1+_xlfn.XLOOKUP("Devices",'01_Assumptions'!$A$4:$A$6,'01_Assumptions'!$C$4:$C$6))</f>
        <v>559.98</v>
      </c>
      <c r="G531" s="9">
        <f t="shared" si="24"/>
        <v>63572289.480000004</v>
      </c>
      <c r="H531" s="9">
        <f>G531*'02_Actual_Revenue'!H531</f>
        <v>38143373.688000001</v>
      </c>
      <c r="I531" s="9">
        <f t="shared" si="25"/>
        <v>25428915.792000003</v>
      </c>
      <c r="J531" s="13">
        <f t="shared" si="26"/>
        <v>0.4</v>
      </c>
    </row>
    <row r="532" spans="1:10">
      <c r="A532" s="5">
        <f>'02_Actual_Revenue'!A532</f>
        <v>46054</v>
      </c>
      <c r="B532" s="3" t="str">
        <f>'02_Actual_Revenue'!B532</f>
        <v>P003</v>
      </c>
      <c r="C532" s="3" t="str">
        <f>'02_Actual_Revenue'!C532</f>
        <v>R03</v>
      </c>
      <c r="D532" s="7">
        <f>'02_Actual_Revenue'!D532</f>
        <v>119700</v>
      </c>
      <c r="E532" s="7">
        <f>D532*(1+_xlfn.XLOOKUP("Devices",'01_Assumptions'!$A$4:$A$6,'01_Assumptions'!$B$4:$B$6))</f>
        <v>126882</v>
      </c>
      <c r="F532" s="3">
        <f>'02_Actual_Revenue'!E532*(1+_xlfn.XLOOKUP("Devices",'01_Assumptions'!$A$4:$A$6,'01_Assumptions'!$C$4:$C$6))</f>
        <v>559.98</v>
      </c>
      <c r="G532" s="9">
        <f t="shared" si="24"/>
        <v>71051382.359999999</v>
      </c>
      <c r="H532" s="9">
        <f>G532*'02_Actual_Revenue'!H532</f>
        <v>42630829.416000001</v>
      </c>
      <c r="I532" s="9">
        <f t="shared" si="25"/>
        <v>28420552.943999998</v>
      </c>
      <c r="J532" s="13">
        <f t="shared" si="26"/>
        <v>0.39999999999999997</v>
      </c>
    </row>
    <row r="533" spans="1:10">
      <c r="A533" s="5">
        <f>'02_Actual_Revenue'!A533</f>
        <v>46054</v>
      </c>
      <c r="B533" s="3" t="str">
        <f>'02_Actual_Revenue'!B533</f>
        <v>P003</v>
      </c>
      <c r="C533" s="3" t="str">
        <f>'02_Actual_Revenue'!C533</f>
        <v>R04</v>
      </c>
      <c r="D533" s="7">
        <f>'02_Actual_Revenue'!D533</f>
        <v>69300</v>
      </c>
      <c r="E533" s="7">
        <f>D533*(1+_xlfn.XLOOKUP("Devices",'01_Assumptions'!$A$4:$A$6,'01_Assumptions'!$B$4:$B$6))</f>
        <v>73458</v>
      </c>
      <c r="F533" s="3">
        <f>'02_Actual_Revenue'!E533*(1+_xlfn.XLOOKUP("Devices",'01_Assumptions'!$A$4:$A$6,'01_Assumptions'!$C$4:$C$6))</f>
        <v>559.98</v>
      </c>
      <c r="G533" s="9">
        <f t="shared" si="24"/>
        <v>41135010.840000004</v>
      </c>
      <c r="H533" s="9">
        <f>G533*'02_Actual_Revenue'!H533</f>
        <v>24681006.504000001</v>
      </c>
      <c r="I533" s="9">
        <f t="shared" si="25"/>
        <v>16454004.336000003</v>
      </c>
      <c r="J533" s="13">
        <f t="shared" si="26"/>
        <v>0.4</v>
      </c>
    </row>
    <row r="534" spans="1:10">
      <c r="A534" s="5">
        <f>'02_Actual_Revenue'!A534</f>
        <v>46054</v>
      </c>
      <c r="B534" s="3" t="str">
        <f>'02_Actual_Revenue'!B534</f>
        <v>P004</v>
      </c>
      <c r="C534" s="3" t="str">
        <f>'02_Actual_Revenue'!C534</f>
        <v>R01</v>
      </c>
      <c r="D534" s="7">
        <f>'02_Actual_Revenue'!D534</f>
        <v>63000</v>
      </c>
      <c r="E534" s="7">
        <f>D534*(1+_xlfn.XLOOKUP("Devices",'01_Assumptions'!$A$4:$A$6,'01_Assumptions'!$B$4:$B$6))</f>
        <v>66780</v>
      </c>
      <c r="F534" s="3">
        <f>'02_Actual_Revenue'!E534*(1+_xlfn.XLOOKUP("Devices",'01_Assumptions'!$A$4:$A$6,'01_Assumptions'!$C$4:$C$6))</f>
        <v>1222.98</v>
      </c>
      <c r="G534" s="9">
        <f t="shared" si="24"/>
        <v>81670604.400000006</v>
      </c>
      <c r="H534" s="9">
        <f>G534*'02_Actual_Revenue'!H534</f>
        <v>44918832.420000009</v>
      </c>
      <c r="I534" s="9">
        <f t="shared" si="25"/>
        <v>36751771.979999997</v>
      </c>
      <c r="J534" s="13">
        <f t="shared" si="26"/>
        <v>0.4499999999999999</v>
      </c>
    </row>
    <row r="535" spans="1:10">
      <c r="A535" s="5">
        <f>'02_Actual_Revenue'!A535</f>
        <v>46054</v>
      </c>
      <c r="B535" s="3" t="str">
        <f>'02_Actual_Revenue'!B535</f>
        <v>P004</v>
      </c>
      <c r="C535" s="3" t="str">
        <f>'02_Actual_Revenue'!C535</f>
        <v>R02</v>
      </c>
      <c r="D535" s="7">
        <f>'02_Actual_Revenue'!D535</f>
        <v>53550</v>
      </c>
      <c r="E535" s="7">
        <f>D535*(1+_xlfn.XLOOKUP("Devices",'01_Assumptions'!$A$4:$A$6,'01_Assumptions'!$B$4:$B$6))</f>
        <v>56763</v>
      </c>
      <c r="F535" s="3">
        <f>'02_Actual_Revenue'!E535*(1+_xlfn.XLOOKUP("Devices",'01_Assumptions'!$A$4:$A$6,'01_Assumptions'!$C$4:$C$6))</f>
        <v>1222.98</v>
      </c>
      <c r="G535" s="9">
        <f t="shared" si="24"/>
        <v>69420013.739999995</v>
      </c>
      <c r="H535" s="9">
        <f>G535*'02_Actual_Revenue'!H535</f>
        <v>38181007.557000004</v>
      </c>
      <c r="I535" s="9">
        <f t="shared" si="25"/>
        <v>31239006.182999991</v>
      </c>
      <c r="J535" s="13">
        <f t="shared" si="26"/>
        <v>0.4499999999999999</v>
      </c>
    </row>
    <row r="536" spans="1:10">
      <c r="A536" s="5">
        <f>'02_Actual_Revenue'!A536</f>
        <v>46054</v>
      </c>
      <c r="B536" s="3" t="str">
        <f>'02_Actual_Revenue'!B536</f>
        <v>P004</v>
      </c>
      <c r="C536" s="3" t="str">
        <f>'02_Actual_Revenue'!C536</f>
        <v>R03</v>
      </c>
      <c r="D536" s="7">
        <f>'02_Actual_Revenue'!D536</f>
        <v>59850</v>
      </c>
      <c r="E536" s="7">
        <f>D536*(1+_xlfn.XLOOKUP("Devices",'01_Assumptions'!$A$4:$A$6,'01_Assumptions'!$B$4:$B$6))</f>
        <v>63441</v>
      </c>
      <c r="F536" s="3">
        <f>'02_Actual_Revenue'!E536*(1+_xlfn.XLOOKUP("Devices",'01_Assumptions'!$A$4:$A$6,'01_Assumptions'!$C$4:$C$6))</f>
        <v>1222.98</v>
      </c>
      <c r="G536" s="9">
        <f t="shared" si="24"/>
        <v>77587074.180000007</v>
      </c>
      <c r="H536" s="9">
        <f>G536*'02_Actual_Revenue'!H536</f>
        <v>42672890.79900001</v>
      </c>
      <c r="I536" s="9">
        <f t="shared" si="25"/>
        <v>34914183.380999997</v>
      </c>
      <c r="J536" s="13">
        <f t="shared" si="26"/>
        <v>0.4499999999999999</v>
      </c>
    </row>
    <row r="537" spans="1:10">
      <c r="A537" s="5">
        <f>'02_Actual_Revenue'!A537</f>
        <v>46054</v>
      </c>
      <c r="B537" s="3" t="str">
        <f>'02_Actual_Revenue'!B537</f>
        <v>P004</v>
      </c>
      <c r="C537" s="3" t="str">
        <f>'02_Actual_Revenue'!C537</f>
        <v>R04</v>
      </c>
      <c r="D537" s="7">
        <f>'02_Actual_Revenue'!D537</f>
        <v>34650</v>
      </c>
      <c r="E537" s="7">
        <f>D537*(1+_xlfn.XLOOKUP("Devices",'01_Assumptions'!$A$4:$A$6,'01_Assumptions'!$B$4:$B$6))</f>
        <v>36729</v>
      </c>
      <c r="F537" s="3">
        <f>'02_Actual_Revenue'!E537*(1+_xlfn.XLOOKUP("Devices",'01_Assumptions'!$A$4:$A$6,'01_Assumptions'!$C$4:$C$6))</f>
        <v>1222.98</v>
      </c>
      <c r="G537" s="9">
        <f t="shared" si="24"/>
        <v>44918832.420000002</v>
      </c>
      <c r="H537" s="9">
        <f>G537*'02_Actual_Revenue'!H537</f>
        <v>24705357.831000004</v>
      </c>
      <c r="I537" s="9">
        <f t="shared" si="25"/>
        <v>20213474.588999998</v>
      </c>
      <c r="J537" s="13">
        <f t="shared" si="26"/>
        <v>0.44999999999999996</v>
      </c>
    </row>
    <row r="538" spans="1:10">
      <c r="A538" s="5">
        <f>'02_Actual_Revenue'!A538</f>
        <v>46054</v>
      </c>
      <c r="B538" s="3" t="str">
        <f>'02_Actual_Revenue'!B538</f>
        <v>P005</v>
      </c>
      <c r="C538" s="3" t="str">
        <f>'02_Actual_Revenue'!C538</f>
        <v>R01</v>
      </c>
      <c r="D538" s="7">
        <f>'02_Actual_Revenue'!D538</f>
        <v>162000</v>
      </c>
      <c r="E538" s="7">
        <f>D538*(1+_xlfn.XLOOKUP("Devices",'01_Assumptions'!$A$4:$A$6,'01_Assumptions'!$B$4:$B$6))</f>
        <v>171720</v>
      </c>
      <c r="F538" s="3">
        <f>'02_Actual_Revenue'!E538*(1+_xlfn.XLOOKUP("Devices",'01_Assumptions'!$A$4:$A$6,'01_Assumptions'!$C$4:$C$6))</f>
        <v>304.98</v>
      </c>
      <c r="G538" s="9">
        <f t="shared" si="24"/>
        <v>52371165.600000001</v>
      </c>
      <c r="H538" s="9">
        <f>G538*'02_Actual_Revenue'!H538</f>
        <v>26185582.800000001</v>
      </c>
      <c r="I538" s="9">
        <f t="shared" si="25"/>
        <v>26185582.800000001</v>
      </c>
      <c r="J538" s="13">
        <f t="shared" si="26"/>
        <v>0.5</v>
      </c>
    </row>
    <row r="539" spans="1:10">
      <c r="A539" s="5">
        <f>'02_Actual_Revenue'!A539</f>
        <v>46054</v>
      </c>
      <c r="B539" s="3" t="str">
        <f>'02_Actual_Revenue'!B539</f>
        <v>P005</v>
      </c>
      <c r="C539" s="3" t="str">
        <f>'02_Actual_Revenue'!C539</f>
        <v>R02</v>
      </c>
      <c r="D539" s="7">
        <f>'02_Actual_Revenue'!D539</f>
        <v>137700</v>
      </c>
      <c r="E539" s="7">
        <f>D539*(1+_xlfn.XLOOKUP("Devices",'01_Assumptions'!$A$4:$A$6,'01_Assumptions'!$B$4:$B$6))</f>
        <v>145962</v>
      </c>
      <c r="F539" s="3">
        <f>'02_Actual_Revenue'!E539*(1+_xlfn.XLOOKUP("Devices",'01_Assumptions'!$A$4:$A$6,'01_Assumptions'!$C$4:$C$6))</f>
        <v>304.98</v>
      </c>
      <c r="G539" s="9">
        <f t="shared" si="24"/>
        <v>44515490.760000005</v>
      </c>
      <c r="H539" s="9">
        <f>G539*'02_Actual_Revenue'!H539</f>
        <v>22257745.380000003</v>
      </c>
      <c r="I539" s="9">
        <f t="shared" si="25"/>
        <v>22257745.380000003</v>
      </c>
      <c r="J539" s="13">
        <f t="shared" si="26"/>
        <v>0.5</v>
      </c>
    </row>
    <row r="540" spans="1:10">
      <c r="A540" s="5">
        <f>'02_Actual_Revenue'!A540</f>
        <v>46054</v>
      </c>
      <c r="B540" s="3" t="str">
        <f>'02_Actual_Revenue'!B540</f>
        <v>P005</v>
      </c>
      <c r="C540" s="3" t="str">
        <f>'02_Actual_Revenue'!C540</f>
        <v>R03</v>
      </c>
      <c r="D540" s="7">
        <f>'02_Actual_Revenue'!D540</f>
        <v>153900</v>
      </c>
      <c r="E540" s="7">
        <f>D540*(1+_xlfn.XLOOKUP("Devices",'01_Assumptions'!$A$4:$A$6,'01_Assumptions'!$B$4:$B$6))</f>
        <v>163134</v>
      </c>
      <c r="F540" s="3">
        <f>'02_Actual_Revenue'!E540*(1+_xlfn.XLOOKUP("Devices",'01_Assumptions'!$A$4:$A$6,'01_Assumptions'!$C$4:$C$6))</f>
        <v>304.98</v>
      </c>
      <c r="G540" s="9">
        <f t="shared" si="24"/>
        <v>49752607.32</v>
      </c>
      <c r="H540" s="9">
        <f>G540*'02_Actual_Revenue'!H540</f>
        <v>24876303.66</v>
      </c>
      <c r="I540" s="9">
        <f t="shared" si="25"/>
        <v>24876303.66</v>
      </c>
      <c r="J540" s="13">
        <f t="shared" si="26"/>
        <v>0.5</v>
      </c>
    </row>
    <row r="541" spans="1:10">
      <c r="A541" s="5">
        <f>'02_Actual_Revenue'!A541</f>
        <v>46054</v>
      </c>
      <c r="B541" s="3" t="str">
        <f>'02_Actual_Revenue'!B541</f>
        <v>P005</v>
      </c>
      <c r="C541" s="3" t="str">
        <f>'02_Actual_Revenue'!C541</f>
        <v>R04</v>
      </c>
      <c r="D541" s="7">
        <f>'02_Actual_Revenue'!D541</f>
        <v>89100</v>
      </c>
      <c r="E541" s="7">
        <f>D541*(1+_xlfn.XLOOKUP("Devices",'01_Assumptions'!$A$4:$A$6,'01_Assumptions'!$B$4:$B$6))</f>
        <v>94446</v>
      </c>
      <c r="F541" s="3">
        <f>'02_Actual_Revenue'!E541*(1+_xlfn.XLOOKUP("Devices",'01_Assumptions'!$A$4:$A$6,'01_Assumptions'!$C$4:$C$6))</f>
        <v>304.98</v>
      </c>
      <c r="G541" s="9">
        <f t="shared" si="24"/>
        <v>28804141.080000002</v>
      </c>
      <c r="H541" s="9">
        <f>G541*'02_Actual_Revenue'!H541</f>
        <v>14402070.540000001</v>
      </c>
      <c r="I541" s="9">
        <f t="shared" si="25"/>
        <v>14402070.540000001</v>
      </c>
      <c r="J541" s="13">
        <f t="shared" si="26"/>
        <v>0.5</v>
      </c>
    </row>
    <row r="542" spans="1:10">
      <c r="A542" s="5">
        <f>'02_Actual_Revenue'!A542</f>
        <v>46054</v>
      </c>
      <c r="B542" s="3" t="str">
        <f>'02_Actual_Revenue'!B542</f>
        <v>P006</v>
      </c>
      <c r="C542" s="3" t="str">
        <f>'02_Actual_Revenue'!C542</f>
        <v>R01</v>
      </c>
      <c r="D542" s="7">
        <f>'02_Actual_Revenue'!D542</f>
        <v>540000</v>
      </c>
      <c r="E542" s="7">
        <f>D542*(1+_xlfn.XLOOKUP("Cloud &amp; Software",'01_Assumptions'!$A$4:$A$6,'01_Assumptions'!$B$4:$B$6))</f>
        <v>594000</v>
      </c>
      <c r="F542" s="3">
        <f>'02_Actual_Revenue'!E542*(1+_xlfn.XLOOKUP("Cloud &amp; Software",'01_Assumptions'!$A$4:$A$6,'01_Assumptions'!$C$4:$C$6))</f>
        <v>40.17</v>
      </c>
      <c r="G542" s="9">
        <f t="shared" si="24"/>
        <v>23860980</v>
      </c>
      <c r="H542" s="9">
        <f>G542*'02_Actual_Revenue'!H542</f>
        <v>5965245</v>
      </c>
      <c r="I542" s="9">
        <f t="shared" si="25"/>
        <v>17895735</v>
      </c>
      <c r="J542" s="13">
        <f t="shared" si="26"/>
        <v>0.75</v>
      </c>
    </row>
    <row r="543" spans="1:10">
      <c r="A543" s="5">
        <f>'02_Actual_Revenue'!A543</f>
        <v>46054</v>
      </c>
      <c r="B543" s="3" t="str">
        <f>'02_Actual_Revenue'!B543</f>
        <v>P006</v>
      </c>
      <c r="C543" s="3" t="str">
        <f>'02_Actual_Revenue'!C543</f>
        <v>R02</v>
      </c>
      <c r="D543" s="7">
        <f>'02_Actual_Revenue'!D543</f>
        <v>459000</v>
      </c>
      <c r="E543" s="7">
        <f>D543*(1+_xlfn.XLOOKUP("Cloud &amp; Software",'01_Assumptions'!$A$4:$A$6,'01_Assumptions'!$B$4:$B$6))</f>
        <v>504900.00000000006</v>
      </c>
      <c r="F543" s="3">
        <f>'02_Actual_Revenue'!E543*(1+_xlfn.XLOOKUP("Cloud &amp; Software",'01_Assumptions'!$A$4:$A$6,'01_Assumptions'!$C$4:$C$6))</f>
        <v>40.17</v>
      </c>
      <c r="G543" s="9">
        <f t="shared" si="24"/>
        <v>20281833.000000004</v>
      </c>
      <c r="H543" s="9">
        <f>G543*'02_Actual_Revenue'!H543</f>
        <v>5070458.2500000009</v>
      </c>
      <c r="I543" s="9">
        <f t="shared" si="25"/>
        <v>15211374.750000004</v>
      </c>
      <c r="J543" s="13">
        <f t="shared" si="26"/>
        <v>0.75</v>
      </c>
    </row>
    <row r="544" spans="1:10">
      <c r="A544" s="5">
        <f>'02_Actual_Revenue'!A544</f>
        <v>46054</v>
      </c>
      <c r="B544" s="3" t="str">
        <f>'02_Actual_Revenue'!B544</f>
        <v>P006</v>
      </c>
      <c r="C544" s="3" t="str">
        <f>'02_Actual_Revenue'!C544</f>
        <v>R03</v>
      </c>
      <c r="D544" s="7">
        <f>'02_Actual_Revenue'!D544</f>
        <v>513000</v>
      </c>
      <c r="E544" s="7">
        <f>D544*(1+_xlfn.XLOOKUP("Cloud &amp; Software",'01_Assumptions'!$A$4:$A$6,'01_Assumptions'!$B$4:$B$6))</f>
        <v>564300</v>
      </c>
      <c r="F544" s="3">
        <f>'02_Actual_Revenue'!E544*(1+_xlfn.XLOOKUP("Cloud &amp; Software",'01_Assumptions'!$A$4:$A$6,'01_Assumptions'!$C$4:$C$6))</f>
        <v>40.17</v>
      </c>
      <c r="G544" s="9">
        <f t="shared" si="24"/>
        <v>22667931</v>
      </c>
      <c r="H544" s="9">
        <f>G544*'02_Actual_Revenue'!H544</f>
        <v>5666982.75</v>
      </c>
      <c r="I544" s="9">
        <f t="shared" si="25"/>
        <v>17000948.25</v>
      </c>
      <c r="J544" s="13">
        <f t="shared" si="26"/>
        <v>0.75</v>
      </c>
    </row>
    <row r="545" spans="1:10">
      <c r="A545" s="5">
        <f>'02_Actual_Revenue'!A545</f>
        <v>46054</v>
      </c>
      <c r="B545" s="3" t="str">
        <f>'02_Actual_Revenue'!B545</f>
        <v>P006</v>
      </c>
      <c r="C545" s="3" t="str">
        <f>'02_Actual_Revenue'!C545</f>
        <v>R04</v>
      </c>
      <c r="D545" s="7">
        <f>'02_Actual_Revenue'!D545</f>
        <v>297000</v>
      </c>
      <c r="E545" s="7">
        <f>D545*(1+_xlfn.XLOOKUP("Cloud &amp; Software",'01_Assumptions'!$A$4:$A$6,'01_Assumptions'!$B$4:$B$6))</f>
        <v>326700</v>
      </c>
      <c r="F545" s="3">
        <f>'02_Actual_Revenue'!E545*(1+_xlfn.XLOOKUP("Cloud &amp; Software",'01_Assumptions'!$A$4:$A$6,'01_Assumptions'!$C$4:$C$6))</f>
        <v>40.17</v>
      </c>
      <c r="G545" s="9">
        <f t="shared" si="24"/>
        <v>13123539</v>
      </c>
      <c r="H545" s="9">
        <f>G545*'02_Actual_Revenue'!H545</f>
        <v>3280884.75</v>
      </c>
      <c r="I545" s="9">
        <f t="shared" si="25"/>
        <v>9842654.25</v>
      </c>
      <c r="J545" s="13">
        <f t="shared" si="26"/>
        <v>0.75</v>
      </c>
    </row>
    <row r="546" spans="1:10">
      <c r="A546" s="5">
        <f>'02_Actual_Revenue'!A546</f>
        <v>46054</v>
      </c>
      <c r="B546" s="3" t="str">
        <f>'02_Actual_Revenue'!B546</f>
        <v>P007</v>
      </c>
      <c r="C546" s="3" t="str">
        <f>'02_Actual_Revenue'!C546</f>
        <v>R01</v>
      </c>
      <c r="D546" s="7">
        <f>'02_Actual_Revenue'!D546</f>
        <v>360000</v>
      </c>
      <c r="E546" s="7">
        <f>D546*(1+_xlfn.XLOOKUP("Cloud &amp; Software",'01_Assumptions'!$A$4:$A$6,'01_Assumptions'!$B$4:$B$6))</f>
        <v>396000.00000000006</v>
      </c>
      <c r="F546" s="3">
        <f>'02_Actual_Revenue'!E546*(1+_xlfn.XLOOKUP("Cloud &amp; Software",'01_Assumptions'!$A$4:$A$6,'01_Assumptions'!$C$4:$C$6))</f>
        <v>24.72</v>
      </c>
      <c r="G546" s="9">
        <f t="shared" si="24"/>
        <v>9789120.0000000019</v>
      </c>
      <c r="H546" s="9">
        <f>G546*'02_Actual_Revenue'!H546</f>
        <v>1957824.0000000005</v>
      </c>
      <c r="I546" s="9">
        <f t="shared" si="25"/>
        <v>7831296.0000000019</v>
      </c>
      <c r="J546" s="13">
        <f t="shared" si="26"/>
        <v>0.8</v>
      </c>
    </row>
    <row r="547" spans="1:10">
      <c r="A547" s="5">
        <f>'02_Actual_Revenue'!A547</f>
        <v>46054</v>
      </c>
      <c r="B547" s="3" t="str">
        <f>'02_Actual_Revenue'!B547</f>
        <v>P007</v>
      </c>
      <c r="C547" s="3" t="str">
        <f>'02_Actual_Revenue'!C547</f>
        <v>R02</v>
      </c>
      <c r="D547" s="7">
        <f>'02_Actual_Revenue'!D547</f>
        <v>306000</v>
      </c>
      <c r="E547" s="7">
        <f>D547*(1+_xlfn.XLOOKUP("Cloud &amp; Software",'01_Assumptions'!$A$4:$A$6,'01_Assumptions'!$B$4:$B$6))</f>
        <v>336600</v>
      </c>
      <c r="F547" s="3">
        <f>'02_Actual_Revenue'!E547*(1+_xlfn.XLOOKUP("Cloud &amp; Software",'01_Assumptions'!$A$4:$A$6,'01_Assumptions'!$C$4:$C$6))</f>
        <v>24.72</v>
      </c>
      <c r="G547" s="9">
        <f t="shared" si="24"/>
        <v>8320752</v>
      </c>
      <c r="H547" s="9">
        <f>G547*'02_Actual_Revenue'!H547</f>
        <v>1664150.4000000001</v>
      </c>
      <c r="I547" s="9">
        <f t="shared" si="25"/>
        <v>6656601.5999999996</v>
      </c>
      <c r="J547" s="13">
        <f t="shared" si="26"/>
        <v>0.79999999999999993</v>
      </c>
    </row>
    <row r="548" spans="1:10">
      <c r="A548" s="5">
        <f>'02_Actual_Revenue'!A548</f>
        <v>46054</v>
      </c>
      <c r="B548" s="3" t="str">
        <f>'02_Actual_Revenue'!B548</f>
        <v>P007</v>
      </c>
      <c r="C548" s="3" t="str">
        <f>'02_Actual_Revenue'!C548</f>
        <v>R03</v>
      </c>
      <c r="D548" s="7">
        <f>'02_Actual_Revenue'!D548</f>
        <v>342000</v>
      </c>
      <c r="E548" s="7">
        <f>D548*(1+_xlfn.XLOOKUP("Cloud &amp; Software",'01_Assumptions'!$A$4:$A$6,'01_Assumptions'!$B$4:$B$6))</f>
        <v>376200.00000000006</v>
      </c>
      <c r="F548" s="3">
        <f>'02_Actual_Revenue'!E548*(1+_xlfn.XLOOKUP("Cloud &amp; Software",'01_Assumptions'!$A$4:$A$6,'01_Assumptions'!$C$4:$C$6))</f>
        <v>24.72</v>
      </c>
      <c r="G548" s="9">
        <f t="shared" si="24"/>
        <v>9299664.0000000019</v>
      </c>
      <c r="H548" s="9">
        <f>G548*'02_Actual_Revenue'!H548</f>
        <v>1859932.8000000005</v>
      </c>
      <c r="I548" s="9">
        <f t="shared" si="25"/>
        <v>7439731.2000000011</v>
      </c>
      <c r="J548" s="13">
        <f t="shared" si="26"/>
        <v>0.79999999999999993</v>
      </c>
    </row>
    <row r="549" spans="1:10">
      <c r="A549" s="5">
        <f>'02_Actual_Revenue'!A549</f>
        <v>46054</v>
      </c>
      <c r="B549" s="3" t="str">
        <f>'02_Actual_Revenue'!B549</f>
        <v>P007</v>
      </c>
      <c r="C549" s="3" t="str">
        <f>'02_Actual_Revenue'!C549</f>
        <v>R04</v>
      </c>
      <c r="D549" s="7">
        <f>'02_Actual_Revenue'!D549</f>
        <v>198000</v>
      </c>
      <c r="E549" s="7">
        <f>D549*(1+_xlfn.XLOOKUP("Cloud &amp; Software",'01_Assumptions'!$A$4:$A$6,'01_Assumptions'!$B$4:$B$6))</f>
        <v>217800.00000000003</v>
      </c>
      <c r="F549" s="3">
        <f>'02_Actual_Revenue'!E549*(1+_xlfn.XLOOKUP("Cloud &amp; Software",'01_Assumptions'!$A$4:$A$6,'01_Assumptions'!$C$4:$C$6))</f>
        <v>24.72</v>
      </c>
      <c r="G549" s="9">
        <f t="shared" si="24"/>
        <v>5384016.0000000009</v>
      </c>
      <c r="H549" s="9">
        <f>G549*'02_Actual_Revenue'!H549</f>
        <v>1076803.2000000002</v>
      </c>
      <c r="I549" s="9">
        <f t="shared" si="25"/>
        <v>4307212.8000000007</v>
      </c>
      <c r="J549" s="13">
        <f t="shared" si="26"/>
        <v>0.8</v>
      </c>
    </row>
    <row r="550" spans="1:10">
      <c r="A550" s="5">
        <f>'02_Actual_Revenue'!A550</f>
        <v>46054</v>
      </c>
      <c r="B550" s="3" t="str">
        <f>'02_Actual_Revenue'!B550</f>
        <v>P008</v>
      </c>
      <c r="C550" s="3" t="str">
        <f>'02_Actual_Revenue'!C550</f>
        <v>R01</v>
      </c>
      <c r="D550" s="7">
        <f>'02_Actual_Revenue'!D550</f>
        <v>1080000</v>
      </c>
      <c r="E550" s="7">
        <f>D550*(1+_xlfn.XLOOKUP("Digital Services",'01_Assumptions'!$A$4:$A$6,'01_Assumptions'!$B$4:$B$6))</f>
        <v>1166400</v>
      </c>
      <c r="F550" s="3">
        <f>'02_Actual_Revenue'!E550*(1+_xlfn.XLOOKUP("Digital Services",'01_Assumptions'!$A$4:$A$6,'01_Assumptions'!$C$4:$C$6))</f>
        <v>12.24</v>
      </c>
      <c r="G550" s="9">
        <f t="shared" si="24"/>
        <v>14276736</v>
      </c>
      <c r="H550" s="9">
        <f>G550*'02_Actual_Revenue'!H550</f>
        <v>4283020.8</v>
      </c>
      <c r="I550" s="9">
        <f t="shared" si="25"/>
        <v>9993715.1999999993</v>
      </c>
      <c r="J550" s="13">
        <f t="shared" si="26"/>
        <v>0.7</v>
      </c>
    </row>
    <row r="551" spans="1:10">
      <c r="A551" s="5">
        <f>'02_Actual_Revenue'!A551</f>
        <v>46054</v>
      </c>
      <c r="B551" s="3" t="str">
        <f>'02_Actual_Revenue'!B551</f>
        <v>P008</v>
      </c>
      <c r="C551" s="3" t="str">
        <f>'02_Actual_Revenue'!C551</f>
        <v>R02</v>
      </c>
      <c r="D551" s="7">
        <f>'02_Actual_Revenue'!D551</f>
        <v>918000</v>
      </c>
      <c r="E551" s="7">
        <f>D551*(1+_xlfn.XLOOKUP("Digital Services",'01_Assumptions'!$A$4:$A$6,'01_Assumptions'!$B$4:$B$6))</f>
        <v>991440.00000000012</v>
      </c>
      <c r="F551" s="3">
        <f>'02_Actual_Revenue'!E551*(1+_xlfn.XLOOKUP("Digital Services",'01_Assumptions'!$A$4:$A$6,'01_Assumptions'!$C$4:$C$6))</f>
        <v>12.24</v>
      </c>
      <c r="G551" s="9">
        <f t="shared" si="24"/>
        <v>12135225.600000001</v>
      </c>
      <c r="H551" s="9">
        <f>G551*'02_Actual_Revenue'!H551</f>
        <v>3640567.68</v>
      </c>
      <c r="I551" s="9">
        <f t="shared" si="25"/>
        <v>8494657.9200000018</v>
      </c>
      <c r="J551" s="13">
        <f t="shared" si="26"/>
        <v>0.70000000000000007</v>
      </c>
    </row>
    <row r="552" spans="1:10">
      <c r="A552" s="5">
        <f>'02_Actual_Revenue'!A552</f>
        <v>46054</v>
      </c>
      <c r="B552" s="3" t="str">
        <f>'02_Actual_Revenue'!B552</f>
        <v>P008</v>
      </c>
      <c r="C552" s="3" t="str">
        <f>'02_Actual_Revenue'!C552</f>
        <v>R03</v>
      </c>
      <c r="D552" s="7">
        <f>'02_Actual_Revenue'!D552</f>
        <v>1026000</v>
      </c>
      <c r="E552" s="7">
        <f>D552*(1+_xlfn.XLOOKUP("Digital Services",'01_Assumptions'!$A$4:$A$6,'01_Assumptions'!$B$4:$B$6))</f>
        <v>1108080</v>
      </c>
      <c r="F552" s="3">
        <f>'02_Actual_Revenue'!E552*(1+_xlfn.XLOOKUP("Digital Services",'01_Assumptions'!$A$4:$A$6,'01_Assumptions'!$C$4:$C$6))</f>
        <v>12.24</v>
      </c>
      <c r="G552" s="9">
        <f t="shared" si="24"/>
        <v>13562899.200000001</v>
      </c>
      <c r="H552" s="9">
        <f>G552*'02_Actual_Revenue'!H552</f>
        <v>4068869.7600000002</v>
      </c>
      <c r="I552" s="9">
        <f t="shared" si="25"/>
        <v>9494029.4400000013</v>
      </c>
      <c r="J552" s="13">
        <f t="shared" si="26"/>
        <v>0.70000000000000007</v>
      </c>
    </row>
    <row r="553" spans="1:10">
      <c r="A553" s="5">
        <f>'02_Actual_Revenue'!A553</f>
        <v>46054</v>
      </c>
      <c r="B553" s="3" t="str">
        <f>'02_Actual_Revenue'!B553</f>
        <v>P008</v>
      </c>
      <c r="C553" s="3" t="str">
        <f>'02_Actual_Revenue'!C553</f>
        <v>R04</v>
      </c>
      <c r="D553" s="7">
        <f>'02_Actual_Revenue'!D553</f>
        <v>594000</v>
      </c>
      <c r="E553" s="7">
        <f>D553*(1+_xlfn.XLOOKUP("Digital Services",'01_Assumptions'!$A$4:$A$6,'01_Assumptions'!$B$4:$B$6))</f>
        <v>641520</v>
      </c>
      <c r="F553" s="3">
        <f>'02_Actual_Revenue'!E553*(1+_xlfn.XLOOKUP("Digital Services",'01_Assumptions'!$A$4:$A$6,'01_Assumptions'!$C$4:$C$6))</f>
        <v>12.24</v>
      </c>
      <c r="G553" s="9">
        <f t="shared" si="24"/>
        <v>7852204.7999999998</v>
      </c>
      <c r="H553" s="9">
        <f>G553*'02_Actual_Revenue'!H553</f>
        <v>2355661.44</v>
      </c>
      <c r="I553" s="9">
        <f t="shared" si="25"/>
        <v>5496543.3599999994</v>
      </c>
      <c r="J553" s="13">
        <f t="shared" si="26"/>
        <v>0.7</v>
      </c>
    </row>
    <row r="554" spans="1:10">
      <c r="A554" s="5">
        <f>'02_Actual_Revenue'!A554</f>
        <v>46054</v>
      </c>
      <c r="B554" s="3" t="str">
        <f>'02_Actual_Revenue'!B554</f>
        <v>P009</v>
      </c>
      <c r="C554" s="3" t="str">
        <f>'02_Actual_Revenue'!C554</f>
        <v>R01</v>
      </c>
      <c r="D554" s="7">
        <f>'02_Actual_Revenue'!D554</f>
        <v>720000</v>
      </c>
      <c r="E554" s="7">
        <f>D554*(1+_xlfn.XLOOKUP("Digital Services",'01_Assumptions'!$A$4:$A$6,'01_Assumptions'!$B$4:$B$6))</f>
        <v>777600</v>
      </c>
      <c r="F554" s="3">
        <f>'02_Actual_Revenue'!E554*(1+_xlfn.XLOOKUP("Digital Services",'01_Assumptions'!$A$4:$A$6,'01_Assumptions'!$C$4:$C$6))</f>
        <v>15.3</v>
      </c>
      <c r="G554" s="9">
        <f t="shared" si="24"/>
        <v>11897280</v>
      </c>
      <c r="H554" s="9">
        <f>G554*'02_Actual_Revenue'!H554</f>
        <v>4164047.9999999995</v>
      </c>
      <c r="I554" s="9">
        <f t="shared" si="25"/>
        <v>7733232</v>
      </c>
      <c r="J554" s="13">
        <f t="shared" si="26"/>
        <v>0.65</v>
      </c>
    </row>
    <row r="555" spans="1:10">
      <c r="A555" s="5">
        <f>'02_Actual_Revenue'!A555</f>
        <v>46054</v>
      </c>
      <c r="B555" s="3" t="str">
        <f>'02_Actual_Revenue'!B555</f>
        <v>P009</v>
      </c>
      <c r="C555" s="3" t="str">
        <f>'02_Actual_Revenue'!C555</f>
        <v>R02</v>
      </c>
      <c r="D555" s="7">
        <f>'02_Actual_Revenue'!D555</f>
        <v>612000</v>
      </c>
      <c r="E555" s="7">
        <f>D555*(1+_xlfn.XLOOKUP("Digital Services",'01_Assumptions'!$A$4:$A$6,'01_Assumptions'!$B$4:$B$6))</f>
        <v>660960</v>
      </c>
      <c r="F555" s="3">
        <f>'02_Actual_Revenue'!E555*(1+_xlfn.XLOOKUP("Digital Services",'01_Assumptions'!$A$4:$A$6,'01_Assumptions'!$C$4:$C$6))</f>
        <v>15.3</v>
      </c>
      <c r="G555" s="9">
        <f t="shared" si="24"/>
        <v>10112688</v>
      </c>
      <c r="H555" s="9">
        <f>G555*'02_Actual_Revenue'!H555</f>
        <v>3539440.8</v>
      </c>
      <c r="I555" s="9">
        <f t="shared" si="25"/>
        <v>6573247.2000000002</v>
      </c>
      <c r="J555" s="13">
        <f t="shared" si="26"/>
        <v>0.65</v>
      </c>
    </row>
    <row r="556" spans="1:10">
      <c r="A556" s="5">
        <f>'02_Actual_Revenue'!A556</f>
        <v>46054</v>
      </c>
      <c r="B556" s="3" t="str">
        <f>'02_Actual_Revenue'!B556</f>
        <v>P009</v>
      </c>
      <c r="C556" s="3" t="str">
        <f>'02_Actual_Revenue'!C556</f>
        <v>R03</v>
      </c>
      <c r="D556" s="7">
        <f>'02_Actual_Revenue'!D556</f>
        <v>684000</v>
      </c>
      <c r="E556" s="7">
        <f>D556*(1+_xlfn.XLOOKUP("Digital Services",'01_Assumptions'!$A$4:$A$6,'01_Assumptions'!$B$4:$B$6))</f>
        <v>738720</v>
      </c>
      <c r="F556" s="3">
        <f>'02_Actual_Revenue'!E556*(1+_xlfn.XLOOKUP("Digital Services",'01_Assumptions'!$A$4:$A$6,'01_Assumptions'!$C$4:$C$6))</f>
        <v>15.3</v>
      </c>
      <c r="G556" s="9">
        <f t="shared" si="24"/>
        <v>11302416</v>
      </c>
      <c r="H556" s="9">
        <f>G556*'02_Actual_Revenue'!H556</f>
        <v>3955845.5999999996</v>
      </c>
      <c r="I556" s="9">
        <f t="shared" si="25"/>
        <v>7346570.4000000004</v>
      </c>
      <c r="J556" s="13">
        <f t="shared" si="26"/>
        <v>0.65</v>
      </c>
    </row>
    <row r="557" spans="1:10">
      <c r="A557" s="5">
        <f>'02_Actual_Revenue'!A557</f>
        <v>46054</v>
      </c>
      <c r="B557" s="3" t="str">
        <f>'02_Actual_Revenue'!B557</f>
        <v>P009</v>
      </c>
      <c r="C557" s="3" t="str">
        <f>'02_Actual_Revenue'!C557</f>
        <v>R04</v>
      </c>
      <c r="D557" s="7">
        <f>'02_Actual_Revenue'!D557</f>
        <v>396000</v>
      </c>
      <c r="E557" s="7">
        <f>D557*(1+_xlfn.XLOOKUP("Digital Services",'01_Assumptions'!$A$4:$A$6,'01_Assumptions'!$B$4:$B$6))</f>
        <v>427680</v>
      </c>
      <c r="F557" s="3">
        <f>'02_Actual_Revenue'!E557*(1+_xlfn.XLOOKUP("Digital Services",'01_Assumptions'!$A$4:$A$6,'01_Assumptions'!$C$4:$C$6))</f>
        <v>15.3</v>
      </c>
      <c r="G557" s="9">
        <f t="shared" si="24"/>
        <v>6543504</v>
      </c>
      <c r="H557" s="9">
        <f>G557*'02_Actual_Revenue'!H557</f>
        <v>2290226.4</v>
      </c>
      <c r="I557" s="9">
        <f t="shared" si="25"/>
        <v>4253277.5999999996</v>
      </c>
      <c r="J557" s="13">
        <f t="shared" si="26"/>
        <v>0.64999999999999991</v>
      </c>
    </row>
    <row r="558" spans="1:10">
      <c r="A558" s="5">
        <f>'02_Actual_Revenue'!A558</f>
        <v>46054</v>
      </c>
      <c r="B558" s="3" t="str">
        <f>'02_Actual_Revenue'!B558</f>
        <v>P010</v>
      </c>
      <c r="C558" s="3" t="str">
        <f>'02_Actual_Revenue'!C558</f>
        <v>R01</v>
      </c>
      <c r="D558" s="7">
        <f>'02_Actual_Revenue'!D558</f>
        <v>810000</v>
      </c>
      <c r="E558" s="7">
        <f>D558*(1+_xlfn.XLOOKUP("Digital Services",'01_Assumptions'!$A$4:$A$6,'01_Assumptions'!$B$4:$B$6))</f>
        <v>874800</v>
      </c>
      <c r="F558" s="3">
        <f>'02_Actual_Revenue'!E558*(1+_xlfn.XLOOKUP("Digital Services",'01_Assumptions'!$A$4:$A$6,'01_Assumptions'!$C$4:$C$6))</f>
        <v>8.16</v>
      </c>
      <c r="G558" s="9">
        <f t="shared" si="24"/>
        <v>7138368</v>
      </c>
      <c r="H558" s="9">
        <f>G558*'02_Actual_Revenue'!H558</f>
        <v>1070755.2</v>
      </c>
      <c r="I558" s="9">
        <f t="shared" si="25"/>
        <v>6067612.7999999998</v>
      </c>
      <c r="J558" s="13">
        <f t="shared" si="26"/>
        <v>0.85</v>
      </c>
    </row>
    <row r="559" spans="1:10">
      <c r="A559" s="5">
        <f>'02_Actual_Revenue'!A559</f>
        <v>46054</v>
      </c>
      <c r="B559" s="3" t="str">
        <f>'02_Actual_Revenue'!B559</f>
        <v>P010</v>
      </c>
      <c r="C559" s="3" t="str">
        <f>'02_Actual_Revenue'!C559</f>
        <v>R02</v>
      </c>
      <c r="D559" s="7">
        <f>'02_Actual_Revenue'!D559</f>
        <v>688500</v>
      </c>
      <c r="E559" s="7">
        <f>D559*(1+_xlfn.XLOOKUP("Digital Services",'01_Assumptions'!$A$4:$A$6,'01_Assumptions'!$B$4:$B$6))</f>
        <v>743580</v>
      </c>
      <c r="F559" s="3">
        <f>'02_Actual_Revenue'!E559*(1+_xlfn.XLOOKUP("Digital Services",'01_Assumptions'!$A$4:$A$6,'01_Assumptions'!$C$4:$C$6))</f>
        <v>8.16</v>
      </c>
      <c r="G559" s="9">
        <f t="shared" si="24"/>
        <v>6067612.7999999998</v>
      </c>
      <c r="H559" s="9">
        <f>G559*'02_Actual_Revenue'!H559</f>
        <v>910141.91999999993</v>
      </c>
      <c r="I559" s="9">
        <f t="shared" si="25"/>
        <v>5157470.88</v>
      </c>
      <c r="J559" s="13">
        <f t="shared" si="26"/>
        <v>0.85</v>
      </c>
    </row>
    <row r="560" spans="1:10">
      <c r="A560" s="5">
        <f>'02_Actual_Revenue'!A560</f>
        <v>46054</v>
      </c>
      <c r="B560" s="3" t="str">
        <f>'02_Actual_Revenue'!B560</f>
        <v>P010</v>
      </c>
      <c r="C560" s="3" t="str">
        <f>'02_Actual_Revenue'!C560</f>
        <v>R03</v>
      </c>
      <c r="D560" s="7">
        <f>'02_Actual_Revenue'!D560</f>
        <v>769500</v>
      </c>
      <c r="E560" s="7">
        <f>D560*(1+_xlfn.XLOOKUP("Digital Services",'01_Assumptions'!$A$4:$A$6,'01_Assumptions'!$B$4:$B$6))</f>
        <v>831060</v>
      </c>
      <c r="F560" s="3">
        <f>'02_Actual_Revenue'!E560*(1+_xlfn.XLOOKUP("Digital Services",'01_Assumptions'!$A$4:$A$6,'01_Assumptions'!$C$4:$C$6))</f>
        <v>8.16</v>
      </c>
      <c r="G560" s="9">
        <f t="shared" si="24"/>
        <v>6781449.6000000006</v>
      </c>
      <c r="H560" s="9">
        <f>G560*'02_Actual_Revenue'!H560</f>
        <v>1017217.4400000001</v>
      </c>
      <c r="I560" s="9">
        <f t="shared" si="25"/>
        <v>5764232.1600000001</v>
      </c>
      <c r="J560" s="13">
        <f t="shared" si="26"/>
        <v>0.85</v>
      </c>
    </row>
    <row r="561" spans="1:10">
      <c r="A561" s="5">
        <f>'02_Actual_Revenue'!A561</f>
        <v>46054</v>
      </c>
      <c r="B561" s="3" t="str">
        <f>'02_Actual_Revenue'!B561</f>
        <v>P010</v>
      </c>
      <c r="C561" s="3" t="str">
        <f>'02_Actual_Revenue'!C561</f>
        <v>R04</v>
      </c>
      <c r="D561" s="7">
        <f>'02_Actual_Revenue'!D561</f>
        <v>445500</v>
      </c>
      <c r="E561" s="7">
        <f>D561*(1+_xlfn.XLOOKUP("Digital Services",'01_Assumptions'!$A$4:$A$6,'01_Assumptions'!$B$4:$B$6))</f>
        <v>481140.00000000006</v>
      </c>
      <c r="F561" s="3">
        <f>'02_Actual_Revenue'!E561*(1+_xlfn.XLOOKUP("Digital Services",'01_Assumptions'!$A$4:$A$6,'01_Assumptions'!$C$4:$C$6))</f>
        <v>8.16</v>
      </c>
      <c r="G561" s="9">
        <f t="shared" si="24"/>
        <v>3926102.4000000004</v>
      </c>
      <c r="H561" s="9">
        <f>G561*'02_Actual_Revenue'!H561</f>
        <v>588915.36</v>
      </c>
      <c r="I561" s="9">
        <f t="shared" si="25"/>
        <v>3337187.0400000005</v>
      </c>
      <c r="J561" s="13">
        <f t="shared" si="26"/>
        <v>0.85000000000000009</v>
      </c>
    </row>
    <row r="562" spans="1:10">
      <c r="A562" s="5">
        <f>'02_Actual_Revenue'!A562</f>
        <v>46082</v>
      </c>
      <c r="B562" s="3" t="str">
        <f>'02_Actual_Revenue'!B562</f>
        <v>P001</v>
      </c>
      <c r="C562" s="3" t="str">
        <f>'02_Actual_Revenue'!C562</f>
        <v>R01</v>
      </c>
      <c r="D562" s="7">
        <f>'02_Actual_Revenue'!D562</f>
        <v>240000</v>
      </c>
      <c r="E562" s="7">
        <f>D562*(1+_xlfn.XLOOKUP("Devices",'01_Assumptions'!$A$4:$A$6,'01_Assumptions'!$B$4:$B$6))</f>
        <v>254400</v>
      </c>
      <c r="F562" s="3">
        <f>'02_Actual_Revenue'!E562*(1+_xlfn.XLOOKUP("Devices",'01_Assumptions'!$A$4:$A$6,'01_Assumptions'!$C$4:$C$6))</f>
        <v>712.98</v>
      </c>
      <c r="G562" s="9">
        <f t="shared" si="24"/>
        <v>181382112</v>
      </c>
      <c r="H562" s="9">
        <f>G562*'02_Actual_Revenue'!H562</f>
        <v>112456909.44</v>
      </c>
      <c r="I562" s="9">
        <f t="shared" si="25"/>
        <v>68925202.560000002</v>
      </c>
      <c r="J562" s="13">
        <f t="shared" si="26"/>
        <v>0.38</v>
      </c>
    </row>
    <row r="563" spans="1:10">
      <c r="A563" s="5">
        <f>'02_Actual_Revenue'!A563</f>
        <v>46082</v>
      </c>
      <c r="B563" s="3" t="str">
        <f>'02_Actual_Revenue'!B563</f>
        <v>P001</v>
      </c>
      <c r="C563" s="3" t="str">
        <f>'02_Actual_Revenue'!C563</f>
        <v>R02</v>
      </c>
      <c r="D563" s="7">
        <f>'02_Actual_Revenue'!D563</f>
        <v>204000</v>
      </c>
      <c r="E563" s="7">
        <f>D563*(1+_xlfn.XLOOKUP("Devices",'01_Assumptions'!$A$4:$A$6,'01_Assumptions'!$B$4:$B$6))</f>
        <v>216240</v>
      </c>
      <c r="F563" s="3">
        <f>'02_Actual_Revenue'!E563*(1+_xlfn.XLOOKUP("Devices",'01_Assumptions'!$A$4:$A$6,'01_Assumptions'!$C$4:$C$6))</f>
        <v>712.98</v>
      </c>
      <c r="G563" s="9">
        <f t="shared" si="24"/>
        <v>154174795.20000002</v>
      </c>
      <c r="H563" s="9">
        <f>G563*'02_Actual_Revenue'!H563</f>
        <v>95588373.024000004</v>
      </c>
      <c r="I563" s="9">
        <f t="shared" si="25"/>
        <v>58586422.176000014</v>
      </c>
      <c r="J563" s="13">
        <f t="shared" si="26"/>
        <v>0.38000000000000006</v>
      </c>
    </row>
    <row r="564" spans="1:10">
      <c r="A564" s="5">
        <f>'02_Actual_Revenue'!A564</f>
        <v>46082</v>
      </c>
      <c r="B564" s="3" t="str">
        <f>'02_Actual_Revenue'!B564</f>
        <v>P001</v>
      </c>
      <c r="C564" s="3" t="str">
        <f>'02_Actual_Revenue'!C564</f>
        <v>R03</v>
      </c>
      <c r="D564" s="7">
        <f>'02_Actual_Revenue'!D564</f>
        <v>228000</v>
      </c>
      <c r="E564" s="7">
        <f>D564*(1+_xlfn.XLOOKUP("Devices",'01_Assumptions'!$A$4:$A$6,'01_Assumptions'!$B$4:$B$6))</f>
        <v>241680</v>
      </c>
      <c r="F564" s="3">
        <f>'02_Actual_Revenue'!E564*(1+_xlfn.XLOOKUP("Devices",'01_Assumptions'!$A$4:$A$6,'01_Assumptions'!$C$4:$C$6))</f>
        <v>712.98</v>
      </c>
      <c r="G564" s="9">
        <f t="shared" si="24"/>
        <v>172313006.40000001</v>
      </c>
      <c r="H564" s="9">
        <f>G564*'02_Actual_Revenue'!H564</f>
        <v>106834063.96800001</v>
      </c>
      <c r="I564" s="9">
        <f t="shared" si="25"/>
        <v>65478942.431999996</v>
      </c>
      <c r="J564" s="13">
        <f t="shared" si="26"/>
        <v>0.37999999999999995</v>
      </c>
    </row>
    <row r="565" spans="1:10">
      <c r="A565" s="5">
        <f>'02_Actual_Revenue'!A565</f>
        <v>46082</v>
      </c>
      <c r="B565" s="3" t="str">
        <f>'02_Actual_Revenue'!B565</f>
        <v>P001</v>
      </c>
      <c r="C565" s="3" t="str">
        <f>'02_Actual_Revenue'!C565</f>
        <v>R04</v>
      </c>
      <c r="D565" s="7">
        <f>'02_Actual_Revenue'!D565</f>
        <v>132000</v>
      </c>
      <c r="E565" s="7">
        <f>D565*(1+_xlfn.XLOOKUP("Devices",'01_Assumptions'!$A$4:$A$6,'01_Assumptions'!$B$4:$B$6))</f>
        <v>139920</v>
      </c>
      <c r="F565" s="3">
        <f>'02_Actual_Revenue'!E565*(1+_xlfn.XLOOKUP("Devices",'01_Assumptions'!$A$4:$A$6,'01_Assumptions'!$C$4:$C$6))</f>
        <v>712.98</v>
      </c>
      <c r="G565" s="9">
        <f t="shared" si="24"/>
        <v>99760161.600000009</v>
      </c>
      <c r="H565" s="9">
        <f>G565*'02_Actual_Revenue'!H565</f>
        <v>61851300.192000002</v>
      </c>
      <c r="I565" s="9">
        <f t="shared" si="25"/>
        <v>37908861.408000007</v>
      </c>
      <c r="J565" s="13">
        <f t="shared" si="26"/>
        <v>0.38000000000000006</v>
      </c>
    </row>
    <row r="566" spans="1:10">
      <c r="A566" s="5">
        <f>'02_Actual_Revenue'!A566</f>
        <v>46082</v>
      </c>
      <c r="B566" s="3" t="str">
        <f>'02_Actual_Revenue'!B566</f>
        <v>P002</v>
      </c>
      <c r="C566" s="3" t="str">
        <f>'02_Actual_Revenue'!C566</f>
        <v>R01</v>
      </c>
      <c r="D566" s="7">
        <f>'02_Actual_Revenue'!D566</f>
        <v>115200</v>
      </c>
      <c r="E566" s="7">
        <f>D566*(1+_xlfn.XLOOKUP("Devices",'01_Assumptions'!$A$4:$A$6,'01_Assumptions'!$B$4:$B$6))</f>
        <v>122112</v>
      </c>
      <c r="F566" s="3">
        <f>'02_Actual_Revenue'!E566*(1+_xlfn.XLOOKUP("Devices",'01_Assumptions'!$A$4:$A$6,'01_Assumptions'!$C$4:$C$6))</f>
        <v>1018.98</v>
      </c>
      <c r="G566" s="9">
        <f t="shared" si="24"/>
        <v>124429685.76000001</v>
      </c>
      <c r="H566" s="9">
        <f>G566*'02_Actual_Revenue'!H566</f>
        <v>72169217.740799993</v>
      </c>
      <c r="I566" s="9">
        <f t="shared" si="25"/>
        <v>52260468.019200012</v>
      </c>
      <c r="J566" s="13">
        <f t="shared" si="26"/>
        <v>0.4200000000000001</v>
      </c>
    </row>
    <row r="567" spans="1:10">
      <c r="A567" s="5">
        <f>'02_Actual_Revenue'!A567</f>
        <v>46082</v>
      </c>
      <c r="B567" s="3" t="str">
        <f>'02_Actual_Revenue'!B567</f>
        <v>P002</v>
      </c>
      <c r="C567" s="3" t="str">
        <f>'02_Actual_Revenue'!C567</f>
        <v>R02</v>
      </c>
      <c r="D567" s="7">
        <f>'02_Actual_Revenue'!D567</f>
        <v>97920</v>
      </c>
      <c r="E567" s="7">
        <f>D567*(1+_xlfn.XLOOKUP("Devices",'01_Assumptions'!$A$4:$A$6,'01_Assumptions'!$B$4:$B$6))</f>
        <v>103795.20000000001</v>
      </c>
      <c r="F567" s="3">
        <f>'02_Actual_Revenue'!E567*(1+_xlfn.XLOOKUP("Devices",'01_Assumptions'!$A$4:$A$6,'01_Assumptions'!$C$4:$C$6))</f>
        <v>1018.98</v>
      </c>
      <c r="G567" s="9">
        <f t="shared" si="24"/>
        <v>105765232.89600001</v>
      </c>
      <c r="H567" s="9">
        <f>G567*'02_Actual_Revenue'!H567</f>
        <v>61343835.079680003</v>
      </c>
      <c r="I567" s="9">
        <f t="shared" si="25"/>
        <v>44421397.81632001</v>
      </c>
      <c r="J567" s="13">
        <f t="shared" si="26"/>
        <v>0.42000000000000004</v>
      </c>
    </row>
    <row r="568" spans="1:10">
      <c r="A568" s="5">
        <f>'02_Actual_Revenue'!A568</f>
        <v>46082</v>
      </c>
      <c r="B568" s="3" t="str">
        <f>'02_Actual_Revenue'!B568</f>
        <v>P002</v>
      </c>
      <c r="C568" s="3" t="str">
        <f>'02_Actual_Revenue'!C568</f>
        <v>R03</v>
      </c>
      <c r="D568" s="7">
        <f>'02_Actual_Revenue'!D568</f>
        <v>109440</v>
      </c>
      <c r="E568" s="7">
        <f>D568*(1+_xlfn.XLOOKUP("Devices",'01_Assumptions'!$A$4:$A$6,'01_Assumptions'!$B$4:$B$6))</f>
        <v>116006.40000000001</v>
      </c>
      <c r="F568" s="3">
        <f>'02_Actual_Revenue'!E568*(1+_xlfn.XLOOKUP("Devices",'01_Assumptions'!$A$4:$A$6,'01_Assumptions'!$C$4:$C$6))</f>
        <v>1018.98</v>
      </c>
      <c r="G568" s="9">
        <f t="shared" si="24"/>
        <v>118208201.47200002</v>
      </c>
      <c r="H568" s="9">
        <f>G568*'02_Actual_Revenue'!H568</f>
        <v>68560756.853760004</v>
      </c>
      <c r="I568" s="9">
        <f t="shared" si="25"/>
        <v>49647444.618240014</v>
      </c>
      <c r="J568" s="13">
        <f t="shared" si="26"/>
        <v>0.42000000000000004</v>
      </c>
    </row>
    <row r="569" spans="1:10">
      <c r="A569" s="5">
        <f>'02_Actual_Revenue'!A569</f>
        <v>46082</v>
      </c>
      <c r="B569" s="3" t="str">
        <f>'02_Actual_Revenue'!B569</f>
        <v>P002</v>
      </c>
      <c r="C569" s="3" t="str">
        <f>'02_Actual_Revenue'!C569</f>
        <v>R04</v>
      </c>
      <c r="D569" s="7">
        <f>'02_Actual_Revenue'!D569</f>
        <v>63360</v>
      </c>
      <c r="E569" s="7">
        <f>D569*(1+_xlfn.XLOOKUP("Devices",'01_Assumptions'!$A$4:$A$6,'01_Assumptions'!$B$4:$B$6))</f>
        <v>67161.600000000006</v>
      </c>
      <c r="F569" s="3">
        <f>'02_Actual_Revenue'!E569*(1+_xlfn.XLOOKUP("Devices",'01_Assumptions'!$A$4:$A$6,'01_Assumptions'!$C$4:$C$6))</f>
        <v>1018.98</v>
      </c>
      <c r="G569" s="9">
        <f t="shared" si="24"/>
        <v>68436327.168000013</v>
      </c>
      <c r="H569" s="9">
        <f>G569*'02_Actual_Revenue'!H569</f>
        <v>39693069.757440016</v>
      </c>
      <c r="I569" s="9">
        <f t="shared" si="25"/>
        <v>28743257.410559997</v>
      </c>
      <c r="J569" s="13">
        <f t="shared" si="26"/>
        <v>0.41999999999999987</v>
      </c>
    </row>
    <row r="570" spans="1:10">
      <c r="A570" s="5">
        <f>'02_Actual_Revenue'!A570</f>
        <v>46082</v>
      </c>
      <c r="B570" s="3" t="str">
        <f>'02_Actual_Revenue'!B570</f>
        <v>P003</v>
      </c>
      <c r="C570" s="3" t="str">
        <f>'02_Actual_Revenue'!C570</f>
        <v>R01</v>
      </c>
      <c r="D570" s="7">
        <f>'02_Actual_Revenue'!D570</f>
        <v>134400</v>
      </c>
      <c r="E570" s="7">
        <f>D570*(1+_xlfn.XLOOKUP("Devices",'01_Assumptions'!$A$4:$A$6,'01_Assumptions'!$B$4:$B$6))</f>
        <v>142464</v>
      </c>
      <c r="F570" s="3">
        <f>'02_Actual_Revenue'!E570*(1+_xlfn.XLOOKUP("Devices",'01_Assumptions'!$A$4:$A$6,'01_Assumptions'!$C$4:$C$6))</f>
        <v>559.98</v>
      </c>
      <c r="G570" s="9">
        <f t="shared" si="24"/>
        <v>79776990.719999999</v>
      </c>
      <c r="H570" s="9">
        <f>G570*'02_Actual_Revenue'!H570</f>
        <v>47866194.431999996</v>
      </c>
      <c r="I570" s="9">
        <f t="shared" si="25"/>
        <v>31910796.288000003</v>
      </c>
      <c r="J570" s="13">
        <f t="shared" si="26"/>
        <v>0.4</v>
      </c>
    </row>
    <row r="571" spans="1:10">
      <c r="A571" s="5">
        <f>'02_Actual_Revenue'!A571</f>
        <v>46082</v>
      </c>
      <c r="B571" s="3" t="str">
        <f>'02_Actual_Revenue'!B571</f>
        <v>P003</v>
      </c>
      <c r="C571" s="3" t="str">
        <f>'02_Actual_Revenue'!C571</f>
        <v>R02</v>
      </c>
      <c r="D571" s="7">
        <f>'02_Actual_Revenue'!D571</f>
        <v>114240</v>
      </c>
      <c r="E571" s="7">
        <f>D571*(1+_xlfn.XLOOKUP("Devices",'01_Assumptions'!$A$4:$A$6,'01_Assumptions'!$B$4:$B$6))</f>
        <v>121094.40000000001</v>
      </c>
      <c r="F571" s="3">
        <f>'02_Actual_Revenue'!E571*(1+_xlfn.XLOOKUP("Devices",'01_Assumptions'!$A$4:$A$6,'01_Assumptions'!$C$4:$C$6))</f>
        <v>559.98</v>
      </c>
      <c r="G571" s="9">
        <f t="shared" si="24"/>
        <v>67810442.112000003</v>
      </c>
      <c r="H571" s="9">
        <f>G571*'02_Actual_Revenue'!H571</f>
        <v>40686265.267200001</v>
      </c>
      <c r="I571" s="9">
        <f t="shared" si="25"/>
        <v>27124176.844800003</v>
      </c>
      <c r="J571" s="13">
        <f t="shared" si="26"/>
        <v>0.4</v>
      </c>
    </row>
    <row r="572" spans="1:10">
      <c r="A572" s="5">
        <f>'02_Actual_Revenue'!A572</f>
        <v>46082</v>
      </c>
      <c r="B572" s="3" t="str">
        <f>'02_Actual_Revenue'!B572</f>
        <v>P003</v>
      </c>
      <c r="C572" s="3" t="str">
        <f>'02_Actual_Revenue'!C572</f>
        <v>R03</v>
      </c>
      <c r="D572" s="7">
        <f>'02_Actual_Revenue'!D572</f>
        <v>127680</v>
      </c>
      <c r="E572" s="7">
        <f>D572*(1+_xlfn.XLOOKUP("Devices",'01_Assumptions'!$A$4:$A$6,'01_Assumptions'!$B$4:$B$6))</f>
        <v>135340.80000000002</v>
      </c>
      <c r="F572" s="3">
        <f>'02_Actual_Revenue'!E572*(1+_xlfn.XLOOKUP("Devices",'01_Assumptions'!$A$4:$A$6,'01_Assumptions'!$C$4:$C$6))</f>
        <v>559.98</v>
      </c>
      <c r="G572" s="9">
        <f t="shared" si="24"/>
        <v>75788141.184000015</v>
      </c>
      <c r="H572" s="9">
        <f>G572*'02_Actual_Revenue'!H572</f>
        <v>45472884.710400008</v>
      </c>
      <c r="I572" s="9">
        <f t="shared" si="25"/>
        <v>30315256.473600008</v>
      </c>
      <c r="J572" s="13">
        <f t="shared" si="26"/>
        <v>0.4</v>
      </c>
    </row>
    <row r="573" spans="1:10">
      <c r="A573" s="5">
        <f>'02_Actual_Revenue'!A573</f>
        <v>46082</v>
      </c>
      <c r="B573" s="3" t="str">
        <f>'02_Actual_Revenue'!B573</f>
        <v>P003</v>
      </c>
      <c r="C573" s="3" t="str">
        <f>'02_Actual_Revenue'!C573</f>
        <v>R04</v>
      </c>
      <c r="D573" s="7">
        <f>'02_Actual_Revenue'!D573</f>
        <v>73920</v>
      </c>
      <c r="E573" s="7">
        <f>D573*(1+_xlfn.XLOOKUP("Devices",'01_Assumptions'!$A$4:$A$6,'01_Assumptions'!$B$4:$B$6))</f>
        <v>78355.199999999997</v>
      </c>
      <c r="F573" s="3">
        <f>'02_Actual_Revenue'!E573*(1+_xlfn.XLOOKUP("Devices",'01_Assumptions'!$A$4:$A$6,'01_Assumptions'!$C$4:$C$6))</f>
        <v>559.98</v>
      </c>
      <c r="G573" s="9">
        <f t="shared" si="24"/>
        <v>43877344.895999998</v>
      </c>
      <c r="H573" s="9">
        <f>G573*'02_Actual_Revenue'!H573</f>
        <v>26326406.937599998</v>
      </c>
      <c r="I573" s="9">
        <f t="shared" si="25"/>
        <v>17550937.9584</v>
      </c>
      <c r="J573" s="13">
        <f t="shared" si="26"/>
        <v>0.4</v>
      </c>
    </row>
    <row r="574" spans="1:10">
      <c r="A574" s="5">
        <f>'02_Actual_Revenue'!A574</f>
        <v>46082</v>
      </c>
      <c r="B574" s="3" t="str">
        <f>'02_Actual_Revenue'!B574</f>
        <v>P004</v>
      </c>
      <c r="C574" s="3" t="str">
        <f>'02_Actual_Revenue'!C574</f>
        <v>R01</v>
      </c>
      <c r="D574" s="7">
        <f>'02_Actual_Revenue'!D574</f>
        <v>67200</v>
      </c>
      <c r="E574" s="7">
        <f>D574*(1+_xlfn.XLOOKUP("Devices",'01_Assumptions'!$A$4:$A$6,'01_Assumptions'!$B$4:$B$6))</f>
        <v>71232</v>
      </c>
      <c r="F574" s="3">
        <f>'02_Actual_Revenue'!E574*(1+_xlfn.XLOOKUP("Devices",'01_Assumptions'!$A$4:$A$6,'01_Assumptions'!$C$4:$C$6))</f>
        <v>1222.98</v>
      </c>
      <c r="G574" s="9">
        <f t="shared" si="24"/>
        <v>87115311.359999999</v>
      </c>
      <c r="H574" s="9">
        <f>G574*'02_Actual_Revenue'!H574</f>
        <v>47913421.248000003</v>
      </c>
      <c r="I574" s="9">
        <f t="shared" si="25"/>
        <v>39201890.111999996</v>
      </c>
      <c r="J574" s="13">
        <f t="shared" si="26"/>
        <v>0.44999999999999996</v>
      </c>
    </row>
    <row r="575" spans="1:10">
      <c r="A575" s="5">
        <f>'02_Actual_Revenue'!A575</f>
        <v>46082</v>
      </c>
      <c r="B575" s="3" t="str">
        <f>'02_Actual_Revenue'!B575</f>
        <v>P004</v>
      </c>
      <c r="C575" s="3" t="str">
        <f>'02_Actual_Revenue'!C575</f>
        <v>R02</v>
      </c>
      <c r="D575" s="7">
        <f>'02_Actual_Revenue'!D575</f>
        <v>57120</v>
      </c>
      <c r="E575" s="7">
        <f>D575*(1+_xlfn.XLOOKUP("Devices",'01_Assumptions'!$A$4:$A$6,'01_Assumptions'!$B$4:$B$6))</f>
        <v>60547.200000000004</v>
      </c>
      <c r="F575" s="3">
        <f>'02_Actual_Revenue'!E575*(1+_xlfn.XLOOKUP("Devices",'01_Assumptions'!$A$4:$A$6,'01_Assumptions'!$C$4:$C$6))</f>
        <v>1222.98</v>
      </c>
      <c r="G575" s="9">
        <f t="shared" si="24"/>
        <v>74048014.656000003</v>
      </c>
      <c r="H575" s="9">
        <f>G575*'02_Actual_Revenue'!H575</f>
        <v>40726408.060800008</v>
      </c>
      <c r="I575" s="9">
        <f t="shared" si="25"/>
        <v>33321606.595199995</v>
      </c>
      <c r="J575" s="13">
        <f t="shared" si="26"/>
        <v>0.4499999999999999</v>
      </c>
    </row>
    <row r="576" spans="1:10">
      <c r="A576" s="5">
        <f>'02_Actual_Revenue'!A576</f>
        <v>46082</v>
      </c>
      <c r="B576" s="3" t="str">
        <f>'02_Actual_Revenue'!B576</f>
        <v>P004</v>
      </c>
      <c r="C576" s="3" t="str">
        <f>'02_Actual_Revenue'!C576</f>
        <v>R03</v>
      </c>
      <c r="D576" s="7">
        <f>'02_Actual_Revenue'!D576</f>
        <v>63840</v>
      </c>
      <c r="E576" s="7">
        <f>D576*(1+_xlfn.XLOOKUP("Devices",'01_Assumptions'!$A$4:$A$6,'01_Assumptions'!$B$4:$B$6))</f>
        <v>67670.400000000009</v>
      </c>
      <c r="F576" s="3">
        <f>'02_Actual_Revenue'!E576*(1+_xlfn.XLOOKUP("Devices",'01_Assumptions'!$A$4:$A$6,'01_Assumptions'!$C$4:$C$6))</f>
        <v>1222.98</v>
      </c>
      <c r="G576" s="9">
        <f t="shared" si="24"/>
        <v>82759545.792000011</v>
      </c>
      <c r="H576" s="9">
        <f>G576*'02_Actual_Revenue'!H576</f>
        <v>45517750.185600013</v>
      </c>
      <c r="I576" s="9">
        <f t="shared" si="25"/>
        <v>37241795.606399998</v>
      </c>
      <c r="J576" s="13">
        <f t="shared" si="26"/>
        <v>0.4499999999999999</v>
      </c>
    </row>
    <row r="577" spans="1:10">
      <c r="A577" s="5">
        <f>'02_Actual_Revenue'!A577</f>
        <v>46082</v>
      </c>
      <c r="B577" s="3" t="str">
        <f>'02_Actual_Revenue'!B577</f>
        <v>P004</v>
      </c>
      <c r="C577" s="3" t="str">
        <f>'02_Actual_Revenue'!C577</f>
        <v>R04</v>
      </c>
      <c r="D577" s="7">
        <f>'02_Actual_Revenue'!D577</f>
        <v>36960</v>
      </c>
      <c r="E577" s="7">
        <f>D577*(1+_xlfn.XLOOKUP("Devices",'01_Assumptions'!$A$4:$A$6,'01_Assumptions'!$B$4:$B$6))</f>
        <v>39177.599999999999</v>
      </c>
      <c r="F577" s="3">
        <f>'02_Actual_Revenue'!E577*(1+_xlfn.XLOOKUP("Devices",'01_Assumptions'!$A$4:$A$6,'01_Assumptions'!$C$4:$C$6))</f>
        <v>1222.98</v>
      </c>
      <c r="G577" s="9">
        <f t="shared" si="24"/>
        <v>47913421.247999996</v>
      </c>
      <c r="H577" s="9">
        <f>G577*'02_Actual_Revenue'!H577</f>
        <v>26352381.6864</v>
      </c>
      <c r="I577" s="9">
        <f t="shared" si="25"/>
        <v>21561039.561599996</v>
      </c>
      <c r="J577" s="13">
        <f t="shared" si="26"/>
        <v>0.44999999999999996</v>
      </c>
    </row>
    <row r="578" spans="1:10">
      <c r="A578" s="5">
        <f>'02_Actual_Revenue'!A578</f>
        <v>46082</v>
      </c>
      <c r="B578" s="3" t="str">
        <f>'02_Actual_Revenue'!B578</f>
        <v>P005</v>
      </c>
      <c r="C578" s="3" t="str">
        <f>'02_Actual_Revenue'!C578</f>
        <v>R01</v>
      </c>
      <c r="D578" s="7">
        <f>'02_Actual_Revenue'!D578</f>
        <v>172800</v>
      </c>
      <c r="E578" s="7">
        <f>D578*(1+_xlfn.XLOOKUP("Devices",'01_Assumptions'!$A$4:$A$6,'01_Assumptions'!$B$4:$B$6))</f>
        <v>183168</v>
      </c>
      <c r="F578" s="3">
        <f>'02_Actual_Revenue'!E578*(1+_xlfn.XLOOKUP("Devices",'01_Assumptions'!$A$4:$A$6,'01_Assumptions'!$C$4:$C$6))</f>
        <v>304.98</v>
      </c>
      <c r="G578" s="9">
        <f t="shared" si="24"/>
        <v>55862576.640000001</v>
      </c>
      <c r="H578" s="9">
        <f>G578*'02_Actual_Revenue'!H578</f>
        <v>27931288.32</v>
      </c>
      <c r="I578" s="9">
        <f t="shared" si="25"/>
        <v>27931288.32</v>
      </c>
      <c r="J578" s="13">
        <f t="shared" si="26"/>
        <v>0.5</v>
      </c>
    </row>
    <row r="579" spans="1:10">
      <c r="A579" s="5">
        <f>'02_Actual_Revenue'!A579</f>
        <v>46082</v>
      </c>
      <c r="B579" s="3" t="str">
        <f>'02_Actual_Revenue'!B579</f>
        <v>P005</v>
      </c>
      <c r="C579" s="3" t="str">
        <f>'02_Actual_Revenue'!C579</f>
        <v>R02</v>
      </c>
      <c r="D579" s="7">
        <f>'02_Actual_Revenue'!D579</f>
        <v>146880</v>
      </c>
      <c r="E579" s="7">
        <f>D579*(1+_xlfn.XLOOKUP("Devices",'01_Assumptions'!$A$4:$A$6,'01_Assumptions'!$B$4:$B$6))</f>
        <v>155692.80000000002</v>
      </c>
      <c r="F579" s="3">
        <f>'02_Actual_Revenue'!E579*(1+_xlfn.XLOOKUP("Devices",'01_Assumptions'!$A$4:$A$6,'01_Assumptions'!$C$4:$C$6))</f>
        <v>304.98</v>
      </c>
      <c r="G579" s="9">
        <f t="shared" ref="G579:G642" si="27">E579*F579</f>
        <v>47483190.144000009</v>
      </c>
      <c r="H579" s="9">
        <f>G579*'02_Actual_Revenue'!H579</f>
        <v>23741595.072000004</v>
      </c>
      <c r="I579" s="9">
        <f t="shared" ref="I579:I642" si="28">G579-H579</f>
        <v>23741595.072000004</v>
      </c>
      <c r="J579" s="13">
        <f t="shared" ref="J579:J642" si="29">I579/G579</f>
        <v>0.5</v>
      </c>
    </row>
    <row r="580" spans="1:10">
      <c r="A580" s="5">
        <f>'02_Actual_Revenue'!A580</f>
        <v>46082</v>
      </c>
      <c r="B580" s="3" t="str">
        <f>'02_Actual_Revenue'!B580</f>
        <v>P005</v>
      </c>
      <c r="C580" s="3" t="str">
        <f>'02_Actual_Revenue'!C580</f>
        <v>R03</v>
      </c>
      <c r="D580" s="7">
        <f>'02_Actual_Revenue'!D580</f>
        <v>164160</v>
      </c>
      <c r="E580" s="7">
        <f>D580*(1+_xlfn.XLOOKUP("Devices",'01_Assumptions'!$A$4:$A$6,'01_Assumptions'!$B$4:$B$6))</f>
        <v>174009.60000000001</v>
      </c>
      <c r="F580" s="3">
        <f>'02_Actual_Revenue'!E580*(1+_xlfn.XLOOKUP("Devices",'01_Assumptions'!$A$4:$A$6,'01_Assumptions'!$C$4:$C$6))</f>
        <v>304.98</v>
      </c>
      <c r="G580" s="9">
        <f t="shared" si="27"/>
        <v>53069447.808000006</v>
      </c>
      <c r="H580" s="9">
        <f>G580*'02_Actual_Revenue'!H580</f>
        <v>26534723.904000003</v>
      </c>
      <c r="I580" s="9">
        <f t="shared" si="28"/>
        <v>26534723.904000003</v>
      </c>
      <c r="J580" s="13">
        <f t="shared" si="29"/>
        <v>0.5</v>
      </c>
    </row>
    <row r="581" spans="1:10">
      <c r="A581" s="5">
        <f>'02_Actual_Revenue'!A581</f>
        <v>46082</v>
      </c>
      <c r="B581" s="3" t="str">
        <f>'02_Actual_Revenue'!B581</f>
        <v>P005</v>
      </c>
      <c r="C581" s="3" t="str">
        <f>'02_Actual_Revenue'!C581</f>
        <v>R04</v>
      </c>
      <c r="D581" s="7">
        <f>'02_Actual_Revenue'!D581</f>
        <v>95040</v>
      </c>
      <c r="E581" s="7">
        <f>D581*(1+_xlfn.XLOOKUP("Devices",'01_Assumptions'!$A$4:$A$6,'01_Assumptions'!$B$4:$B$6))</f>
        <v>100742.40000000001</v>
      </c>
      <c r="F581" s="3">
        <f>'02_Actual_Revenue'!E581*(1+_xlfn.XLOOKUP("Devices",'01_Assumptions'!$A$4:$A$6,'01_Assumptions'!$C$4:$C$6))</f>
        <v>304.98</v>
      </c>
      <c r="G581" s="9">
        <f t="shared" si="27"/>
        <v>30724417.152000006</v>
      </c>
      <c r="H581" s="9">
        <f>G581*'02_Actual_Revenue'!H581</f>
        <v>15362208.576000003</v>
      </c>
      <c r="I581" s="9">
        <f t="shared" si="28"/>
        <v>15362208.576000003</v>
      </c>
      <c r="J581" s="13">
        <f t="shared" si="29"/>
        <v>0.5</v>
      </c>
    </row>
    <row r="582" spans="1:10">
      <c r="A582" s="5">
        <f>'02_Actual_Revenue'!A582</f>
        <v>46082</v>
      </c>
      <c r="B582" s="3" t="str">
        <f>'02_Actual_Revenue'!B582</f>
        <v>P006</v>
      </c>
      <c r="C582" s="3" t="str">
        <f>'02_Actual_Revenue'!C582</f>
        <v>R01</v>
      </c>
      <c r="D582" s="7">
        <f>'02_Actual_Revenue'!D582</f>
        <v>576000</v>
      </c>
      <c r="E582" s="7">
        <f>D582*(1+_xlfn.XLOOKUP("Cloud &amp; Software",'01_Assumptions'!$A$4:$A$6,'01_Assumptions'!$B$4:$B$6))</f>
        <v>633600</v>
      </c>
      <c r="F582" s="3">
        <f>'02_Actual_Revenue'!E582*(1+_xlfn.XLOOKUP("Cloud &amp; Software",'01_Assumptions'!$A$4:$A$6,'01_Assumptions'!$C$4:$C$6))</f>
        <v>40.17</v>
      </c>
      <c r="G582" s="9">
        <f t="shared" si="27"/>
        <v>25451712</v>
      </c>
      <c r="H582" s="9">
        <f>G582*'02_Actual_Revenue'!H582</f>
        <v>6362928</v>
      </c>
      <c r="I582" s="9">
        <f t="shared" si="28"/>
        <v>19088784</v>
      </c>
      <c r="J582" s="13">
        <f t="shared" si="29"/>
        <v>0.75</v>
      </c>
    </row>
    <row r="583" spans="1:10">
      <c r="A583" s="5">
        <f>'02_Actual_Revenue'!A583</f>
        <v>46082</v>
      </c>
      <c r="B583" s="3" t="str">
        <f>'02_Actual_Revenue'!B583</f>
        <v>P006</v>
      </c>
      <c r="C583" s="3" t="str">
        <f>'02_Actual_Revenue'!C583</f>
        <v>R02</v>
      </c>
      <c r="D583" s="7">
        <f>'02_Actual_Revenue'!D583</f>
        <v>489600</v>
      </c>
      <c r="E583" s="7">
        <f>D583*(1+_xlfn.XLOOKUP("Cloud &amp; Software",'01_Assumptions'!$A$4:$A$6,'01_Assumptions'!$B$4:$B$6))</f>
        <v>538560</v>
      </c>
      <c r="F583" s="3">
        <f>'02_Actual_Revenue'!E583*(1+_xlfn.XLOOKUP("Cloud &amp; Software",'01_Assumptions'!$A$4:$A$6,'01_Assumptions'!$C$4:$C$6))</f>
        <v>40.17</v>
      </c>
      <c r="G583" s="9">
        <f t="shared" si="27"/>
        <v>21633955.199999999</v>
      </c>
      <c r="H583" s="9">
        <f>G583*'02_Actual_Revenue'!H583</f>
        <v>5408488.7999999998</v>
      </c>
      <c r="I583" s="9">
        <f t="shared" si="28"/>
        <v>16225466.399999999</v>
      </c>
      <c r="J583" s="13">
        <f t="shared" si="29"/>
        <v>0.75</v>
      </c>
    </row>
    <row r="584" spans="1:10">
      <c r="A584" s="5">
        <f>'02_Actual_Revenue'!A584</f>
        <v>46082</v>
      </c>
      <c r="B584" s="3" t="str">
        <f>'02_Actual_Revenue'!B584</f>
        <v>P006</v>
      </c>
      <c r="C584" s="3" t="str">
        <f>'02_Actual_Revenue'!C584</f>
        <v>R03</v>
      </c>
      <c r="D584" s="7">
        <f>'02_Actual_Revenue'!D584</f>
        <v>547200</v>
      </c>
      <c r="E584" s="7">
        <f>D584*(1+_xlfn.XLOOKUP("Cloud &amp; Software",'01_Assumptions'!$A$4:$A$6,'01_Assumptions'!$B$4:$B$6))</f>
        <v>601920</v>
      </c>
      <c r="F584" s="3">
        <f>'02_Actual_Revenue'!E584*(1+_xlfn.XLOOKUP("Cloud &amp; Software",'01_Assumptions'!$A$4:$A$6,'01_Assumptions'!$C$4:$C$6))</f>
        <v>40.17</v>
      </c>
      <c r="G584" s="9">
        <f t="shared" si="27"/>
        <v>24179126.400000002</v>
      </c>
      <c r="H584" s="9">
        <f>G584*'02_Actual_Revenue'!H584</f>
        <v>6044781.6000000006</v>
      </c>
      <c r="I584" s="9">
        <f t="shared" si="28"/>
        <v>18134344.800000001</v>
      </c>
      <c r="J584" s="13">
        <f t="shared" si="29"/>
        <v>0.75</v>
      </c>
    </row>
    <row r="585" spans="1:10">
      <c r="A585" s="5">
        <f>'02_Actual_Revenue'!A585</f>
        <v>46082</v>
      </c>
      <c r="B585" s="3" t="str">
        <f>'02_Actual_Revenue'!B585</f>
        <v>P006</v>
      </c>
      <c r="C585" s="3" t="str">
        <f>'02_Actual_Revenue'!C585</f>
        <v>R04</v>
      </c>
      <c r="D585" s="7">
        <f>'02_Actual_Revenue'!D585</f>
        <v>316800</v>
      </c>
      <c r="E585" s="7">
        <f>D585*(1+_xlfn.XLOOKUP("Cloud &amp; Software",'01_Assumptions'!$A$4:$A$6,'01_Assumptions'!$B$4:$B$6))</f>
        <v>348480</v>
      </c>
      <c r="F585" s="3">
        <f>'02_Actual_Revenue'!E585*(1+_xlfn.XLOOKUP("Cloud &amp; Software",'01_Assumptions'!$A$4:$A$6,'01_Assumptions'!$C$4:$C$6))</f>
        <v>40.17</v>
      </c>
      <c r="G585" s="9">
        <f t="shared" si="27"/>
        <v>13998441.600000001</v>
      </c>
      <c r="H585" s="9">
        <f>G585*'02_Actual_Revenue'!H585</f>
        <v>3499610.4000000004</v>
      </c>
      <c r="I585" s="9">
        <f t="shared" si="28"/>
        <v>10498831.200000001</v>
      </c>
      <c r="J585" s="13">
        <f t="shared" si="29"/>
        <v>0.75</v>
      </c>
    </row>
    <row r="586" spans="1:10">
      <c r="A586" s="5">
        <f>'02_Actual_Revenue'!A586</f>
        <v>46082</v>
      </c>
      <c r="B586" s="3" t="str">
        <f>'02_Actual_Revenue'!B586</f>
        <v>P007</v>
      </c>
      <c r="C586" s="3" t="str">
        <f>'02_Actual_Revenue'!C586</f>
        <v>R01</v>
      </c>
      <c r="D586" s="7">
        <f>'02_Actual_Revenue'!D586</f>
        <v>384000</v>
      </c>
      <c r="E586" s="7">
        <f>D586*(1+_xlfn.XLOOKUP("Cloud &amp; Software",'01_Assumptions'!$A$4:$A$6,'01_Assumptions'!$B$4:$B$6))</f>
        <v>422400.00000000006</v>
      </c>
      <c r="F586" s="3">
        <f>'02_Actual_Revenue'!E586*(1+_xlfn.XLOOKUP("Cloud &amp; Software",'01_Assumptions'!$A$4:$A$6,'01_Assumptions'!$C$4:$C$6))</f>
        <v>24.72</v>
      </c>
      <c r="G586" s="9">
        <f t="shared" si="27"/>
        <v>10441728.000000002</v>
      </c>
      <c r="H586" s="9">
        <f>G586*'02_Actual_Revenue'!H586</f>
        <v>2088345.6000000006</v>
      </c>
      <c r="I586" s="9">
        <f t="shared" si="28"/>
        <v>8353382.4000000013</v>
      </c>
      <c r="J586" s="13">
        <f t="shared" si="29"/>
        <v>0.79999999999999993</v>
      </c>
    </row>
    <row r="587" spans="1:10">
      <c r="A587" s="5">
        <f>'02_Actual_Revenue'!A587</f>
        <v>46082</v>
      </c>
      <c r="B587" s="3" t="str">
        <f>'02_Actual_Revenue'!B587</f>
        <v>P007</v>
      </c>
      <c r="C587" s="3" t="str">
        <f>'02_Actual_Revenue'!C587</f>
        <v>R02</v>
      </c>
      <c r="D587" s="7">
        <f>'02_Actual_Revenue'!D587</f>
        <v>326400</v>
      </c>
      <c r="E587" s="7">
        <f>D587*(1+_xlfn.XLOOKUP("Cloud &amp; Software",'01_Assumptions'!$A$4:$A$6,'01_Assumptions'!$B$4:$B$6))</f>
        <v>359040</v>
      </c>
      <c r="F587" s="3">
        <f>'02_Actual_Revenue'!E587*(1+_xlfn.XLOOKUP("Cloud &amp; Software",'01_Assumptions'!$A$4:$A$6,'01_Assumptions'!$C$4:$C$6))</f>
        <v>24.72</v>
      </c>
      <c r="G587" s="9">
        <f t="shared" si="27"/>
        <v>8875468.7999999989</v>
      </c>
      <c r="H587" s="9">
        <f>G587*'02_Actual_Revenue'!H587</f>
        <v>1775093.7599999998</v>
      </c>
      <c r="I587" s="9">
        <f t="shared" si="28"/>
        <v>7100375.0399999991</v>
      </c>
      <c r="J587" s="13">
        <f t="shared" si="29"/>
        <v>0.8</v>
      </c>
    </row>
    <row r="588" spans="1:10">
      <c r="A588" s="5">
        <f>'02_Actual_Revenue'!A588</f>
        <v>46082</v>
      </c>
      <c r="B588" s="3" t="str">
        <f>'02_Actual_Revenue'!B588</f>
        <v>P007</v>
      </c>
      <c r="C588" s="3" t="str">
        <f>'02_Actual_Revenue'!C588</f>
        <v>R03</v>
      </c>
      <c r="D588" s="7">
        <f>'02_Actual_Revenue'!D588</f>
        <v>364800</v>
      </c>
      <c r="E588" s="7">
        <f>D588*(1+_xlfn.XLOOKUP("Cloud &amp; Software",'01_Assumptions'!$A$4:$A$6,'01_Assumptions'!$B$4:$B$6))</f>
        <v>401280.00000000006</v>
      </c>
      <c r="F588" s="3">
        <f>'02_Actual_Revenue'!E588*(1+_xlfn.XLOOKUP("Cloud &amp; Software",'01_Assumptions'!$A$4:$A$6,'01_Assumptions'!$C$4:$C$6))</f>
        <v>24.72</v>
      </c>
      <c r="G588" s="9">
        <f t="shared" si="27"/>
        <v>9919641.6000000015</v>
      </c>
      <c r="H588" s="9">
        <f>G588*'02_Actual_Revenue'!H588</f>
        <v>1983928.3200000003</v>
      </c>
      <c r="I588" s="9">
        <f t="shared" si="28"/>
        <v>7935713.2800000012</v>
      </c>
      <c r="J588" s="13">
        <f t="shared" si="29"/>
        <v>0.8</v>
      </c>
    </row>
    <row r="589" spans="1:10">
      <c r="A589" s="5">
        <f>'02_Actual_Revenue'!A589</f>
        <v>46082</v>
      </c>
      <c r="B589" s="3" t="str">
        <f>'02_Actual_Revenue'!B589</f>
        <v>P007</v>
      </c>
      <c r="C589" s="3" t="str">
        <f>'02_Actual_Revenue'!C589</f>
        <v>R04</v>
      </c>
      <c r="D589" s="7">
        <f>'02_Actual_Revenue'!D589</f>
        <v>211200</v>
      </c>
      <c r="E589" s="7">
        <f>D589*(1+_xlfn.XLOOKUP("Cloud &amp; Software",'01_Assumptions'!$A$4:$A$6,'01_Assumptions'!$B$4:$B$6))</f>
        <v>232320.00000000003</v>
      </c>
      <c r="F589" s="3">
        <f>'02_Actual_Revenue'!E589*(1+_xlfn.XLOOKUP("Cloud &amp; Software",'01_Assumptions'!$A$4:$A$6,'01_Assumptions'!$C$4:$C$6))</f>
        <v>24.72</v>
      </c>
      <c r="G589" s="9">
        <f t="shared" si="27"/>
        <v>5742950.4000000004</v>
      </c>
      <c r="H589" s="9">
        <f>G589*'02_Actual_Revenue'!H589</f>
        <v>1148590.0800000001</v>
      </c>
      <c r="I589" s="9">
        <f t="shared" si="28"/>
        <v>4594360.3200000003</v>
      </c>
      <c r="J589" s="13">
        <f t="shared" si="29"/>
        <v>0.8</v>
      </c>
    </row>
    <row r="590" spans="1:10">
      <c r="A590" s="5">
        <f>'02_Actual_Revenue'!A590</f>
        <v>46082</v>
      </c>
      <c r="B590" s="3" t="str">
        <f>'02_Actual_Revenue'!B590</f>
        <v>P008</v>
      </c>
      <c r="C590" s="3" t="str">
        <f>'02_Actual_Revenue'!C590</f>
        <v>R01</v>
      </c>
      <c r="D590" s="7">
        <f>'02_Actual_Revenue'!D590</f>
        <v>1152000</v>
      </c>
      <c r="E590" s="7">
        <f>D590*(1+_xlfn.XLOOKUP("Digital Services",'01_Assumptions'!$A$4:$A$6,'01_Assumptions'!$B$4:$B$6))</f>
        <v>1244160</v>
      </c>
      <c r="F590" s="3">
        <f>'02_Actual_Revenue'!E590*(1+_xlfn.XLOOKUP("Digital Services",'01_Assumptions'!$A$4:$A$6,'01_Assumptions'!$C$4:$C$6))</f>
        <v>12.24</v>
      </c>
      <c r="G590" s="9">
        <f t="shared" si="27"/>
        <v>15228518.4</v>
      </c>
      <c r="H590" s="9">
        <f>G590*'02_Actual_Revenue'!H590</f>
        <v>4568555.5199999996</v>
      </c>
      <c r="I590" s="9">
        <f t="shared" si="28"/>
        <v>10659962.880000001</v>
      </c>
      <c r="J590" s="13">
        <f t="shared" si="29"/>
        <v>0.70000000000000007</v>
      </c>
    </row>
    <row r="591" spans="1:10">
      <c r="A591" s="5">
        <f>'02_Actual_Revenue'!A591</f>
        <v>46082</v>
      </c>
      <c r="B591" s="3" t="str">
        <f>'02_Actual_Revenue'!B591</f>
        <v>P008</v>
      </c>
      <c r="C591" s="3" t="str">
        <f>'02_Actual_Revenue'!C591</f>
        <v>R02</v>
      </c>
      <c r="D591" s="7">
        <f>'02_Actual_Revenue'!D591</f>
        <v>979200</v>
      </c>
      <c r="E591" s="7">
        <f>D591*(1+_xlfn.XLOOKUP("Digital Services",'01_Assumptions'!$A$4:$A$6,'01_Assumptions'!$B$4:$B$6))</f>
        <v>1057536</v>
      </c>
      <c r="F591" s="3">
        <f>'02_Actual_Revenue'!E591*(1+_xlfn.XLOOKUP("Digital Services",'01_Assumptions'!$A$4:$A$6,'01_Assumptions'!$C$4:$C$6))</f>
        <v>12.24</v>
      </c>
      <c r="G591" s="9">
        <f t="shared" si="27"/>
        <v>12944240.640000001</v>
      </c>
      <c r="H591" s="9">
        <f>G591*'02_Actual_Revenue'!H591</f>
        <v>3883272.1919999998</v>
      </c>
      <c r="I591" s="9">
        <f t="shared" si="28"/>
        <v>9060968.4480000008</v>
      </c>
      <c r="J591" s="13">
        <f t="shared" si="29"/>
        <v>0.70000000000000007</v>
      </c>
    </row>
    <row r="592" spans="1:10">
      <c r="A592" s="5">
        <f>'02_Actual_Revenue'!A592</f>
        <v>46082</v>
      </c>
      <c r="B592" s="3" t="str">
        <f>'02_Actual_Revenue'!B592</f>
        <v>P008</v>
      </c>
      <c r="C592" s="3" t="str">
        <f>'02_Actual_Revenue'!C592</f>
        <v>R03</v>
      </c>
      <c r="D592" s="7">
        <f>'02_Actual_Revenue'!D592</f>
        <v>1094400</v>
      </c>
      <c r="E592" s="7">
        <f>D592*(1+_xlfn.XLOOKUP("Digital Services",'01_Assumptions'!$A$4:$A$6,'01_Assumptions'!$B$4:$B$6))</f>
        <v>1181952</v>
      </c>
      <c r="F592" s="3">
        <f>'02_Actual_Revenue'!E592*(1+_xlfn.XLOOKUP("Digital Services",'01_Assumptions'!$A$4:$A$6,'01_Assumptions'!$C$4:$C$6))</f>
        <v>12.24</v>
      </c>
      <c r="G592" s="9">
        <f t="shared" si="27"/>
        <v>14467092.48</v>
      </c>
      <c r="H592" s="9">
        <f>G592*'02_Actual_Revenue'!H592</f>
        <v>4340127.7439999999</v>
      </c>
      <c r="I592" s="9">
        <f t="shared" si="28"/>
        <v>10126964.736000001</v>
      </c>
      <c r="J592" s="13">
        <f t="shared" si="29"/>
        <v>0.70000000000000007</v>
      </c>
    </row>
    <row r="593" spans="1:10">
      <c r="A593" s="5">
        <f>'02_Actual_Revenue'!A593</f>
        <v>46082</v>
      </c>
      <c r="B593" s="3" t="str">
        <f>'02_Actual_Revenue'!B593</f>
        <v>P008</v>
      </c>
      <c r="C593" s="3" t="str">
        <f>'02_Actual_Revenue'!C593</f>
        <v>R04</v>
      </c>
      <c r="D593" s="7">
        <f>'02_Actual_Revenue'!D593</f>
        <v>633600</v>
      </c>
      <c r="E593" s="7">
        <f>D593*(1+_xlfn.XLOOKUP("Digital Services",'01_Assumptions'!$A$4:$A$6,'01_Assumptions'!$B$4:$B$6))</f>
        <v>684288</v>
      </c>
      <c r="F593" s="3">
        <f>'02_Actual_Revenue'!E593*(1+_xlfn.XLOOKUP("Digital Services",'01_Assumptions'!$A$4:$A$6,'01_Assumptions'!$C$4:$C$6))</f>
        <v>12.24</v>
      </c>
      <c r="G593" s="9">
        <f t="shared" si="27"/>
        <v>8375685.1200000001</v>
      </c>
      <c r="H593" s="9">
        <f>G593*'02_Actual_Revenue'!H593</f>
        <v>2512705.5359999998</v>
      </c>
      <c r="I593" s="9">
        <f t="shared" si="28"/>
        <v>5862979.5840000007</v>
      </c>
      <c r="J593" s="13">
        <f t="shared" si="29"/>
        <v>0.70000000000000007</v>
      </c>
    </row>
    <row r="594" spans="1:10">
      <c r="A594" s="5">
        <f>'02_Actual_Revenue'!A594</f>
        <v>46082</v>
      </c>
      <c r="B594" s="3" t="str">
        <f>'02_Actual_Revenue'!B594</f>
        <v>P009</v>
      </c>
      <c r="C594" s="3" t="str">
        <f>'02_Actual_Revenue'!C594</f>
        <v>R01</v>
      </c>
      <c r="D594" s="7">
        <f>'02_Actual_Revenue'!D594</f>
        <v>768000</v>
      </c>
      <c r="E594" s="7">
        <f>D594*(1+_xlfn.XLOOKUP("Digital Services",'01_Assumptions'!$A$4:$A$6,'01_Assumptions'!$B$4:$B$6))</f>
        <v>829440</v>
      </c>
      <c r="F594" s="3">
        <f>'02_Actual_Revenue'!E594*(1+_xlfn.XLOOKUP("Digital Services",'01_Assumptions'!$A$4:$A$6,'01_Assumptions'!$C$4:$C$6))</f>
        <v>15.3</v>
      </c>
      <c r="G594" s="9">
        <f t="shared" si="27"/>
        <v>12690432</v>
      </c>
      <c r="H594" s="9">
        <f>G594*'02_Actual_Revenue'!H594</f>
        <v>4441651.1999999993</v>
      </c>
      <c r="I594" s="9">
        <f t="shared" si="28"/>
        <v>8248780.8000000007</v>
      </c>
      <c r="J594" s="13">
        <f t="shared" si="29"/>
        <v>0.65</v>
      </c>
    </row>
    <row r="595" spans="1:10">
      <c r="A595" s="5">
        <f>'02_Actual_Revenue'!A595</f>
        <v>46082</v>
      </c>
      <c r="B595" s="3" t="str">
        <f>'02_Actual_Revenue'!B595</f>
        <v>P009</v>
      </c>
      <c r="C595" s="3" t="str">
        <f>'02_Actual_Revenue'!C595</f>
        <v>R02</v>
      </c>
      <c r="D595" s="7">
        <f>'02_Actual_Revenue'!D595</f>
        <v>652800</v>
      </c>
      <c r="E595" s="7">
        <f>D595*(1+_xlfn.XLOOKUP("Digital Services",'01_Assumptions'!$A$4:$A$6,'01_Assumptions'!$B$4:$B$6))</f>
        <v>705024</v>
      </c>
      <c r="F595" s="3">
        <f>'02_Actual_Revenue'!E595*(1+_xlfn.XLOOKUP("Digital Services",'01_Assumptions'!$A$4:$A$6,'01_Assumptions'!$C$4:$C$6))</f>
        <v>15.3</v>
      </c>
      <c r="G595" s="9">
        <f t="shared" si="27"/>
        <v>10786867.200000001</v>
      </c>
      <c r="H595" s="9">
        <f>G595*'02_Actual_Revenue'!H595</f>
        <v>3775403.52</v>
      </c>
      <c r="I595" s="9">
        <f t="shared" si="28"/>
        <v>7011463.6800000016</v>
      </c>
      <c r="J595" s="13">
        <f t="shared" si="29"/>
        <v>0.65000000000000013</v>
      </c>
    </row>
    <row r="596" spans="1:10">
      <c r="A596" s="5">
        <f>'02_Actual_Revenue'!A596</f>
        <v>46082</v>
      </c>
      <c r="B596" s="3" t="str">
        <f>'02_Actual_Revenue'!B596</f>
        <v>P009</v>
      </c>
      <c r="C596" s="3" t="str">
        <f>'02_Actual_Revenue'!C596</f>
        <v>R03</v>
      </c>
      <c r="D596" s="7">
        <f>'02_Actual_Revenue'!D596</f>
        <v>729600</v>
      </c>
      <c r="E596" s="7">
        <f>D596*(1+_xlfn.XLOOKUP("Digital Services",'01_Assumptions'!$A$4:$A$6,'01_Assumptions'!$B$4:$B$6))</f>
        <v>787968</v>
      </c>
      <c r="F596" s="3">
        <f>'02_Actual_Revenue'!E596*(1+_xlfn.XLOOKUP("Digital Services",'01_Assumptions'!$A$4:$A$6,'01_Assumptions'!$C$4:$C$6))</f>
        <v>15.3</v>
      </c>
      <c r="G596" s="9">
        <f t="shared" si="27"/>
        <v>12055910.4</v>
      </c>
      <c r="H596" s="9">
        <f>G596*'02_Actual_Revenue'!H596</f>
        <v>4219568.6399999997</v>
      </c>
      <c r="I596" s="9">
        <f t="shared" si="28"/>
        <v>7836341.7600000007</v>
      </c>
      <c r="J596" s="13">
        <f t="shared" si="29"/>
        <v>0.65</v>
      </c>
    </row>
    <row r="597" spans="1:10">
      <c r="A597" s="5">
        <f>'02_Actual_Revenue'!A597</f>
        <v>46082</v>
      </c>
      <c r="B597" s="3" t="str">
        <f>'02_Actual_Revenue'!B597</f>
        <v>P009</v>
      </c>
      <c r="C597" s="3" t="str">
        <f>'02_Actual_Revenue'!C597</f>
        <v>R04</v>
      </c>
      <c r="D597" s="7">
        <f>'02_Actual_Revenue'!D597</f>
        <v>422400</v>
      </c>
      <c r="E597" s="7">
        <f>D597*(1+_xlfn.XLOOKUP("Digital Services",'01_Assumptions'!$A$4:$A$6,'01_Assumptions'!$B$4:$B$6))</f>
        <v>456192.00000000006</v>
      </c>
      <c r="F597" s="3">
        <f>'02_Actual_Revenue'!E597*(1+_xlfn.XLOOKUP("Digital Services",'01_Assumptions'!$A$4:$A$6,'01_Assumptions'!$C$4:$C$6))</f>
        <v>15.3</v>
      </c>
      <c r="G597" s="9">
        <f t="shared" si="27"/>
        <v>6979737.6000000015</v>
      </c>
      <c r="H597" s="9">
        <f>G597*'02_Actual_Revenue'!H597</f>
        <v>2442908.16</v>
      </c>
      <c r="I597" s="9">
        <f t="shared" si="28"/>
        <v>4536829.4400000013</v>
      </c>
      <c r="J597" s="13">
        <f t="shared" si="29"/>
        <v>0.65</v>
      </c>
    </row>
    <row r="598" spans="1:10">
      <c r="A598" s="5">
        <f>'02_Actual_Revenue'!A598</f>
        <v>46082</v>
      </c>
      <c r="B598" s="3" t="str">
        <f>'02_Actual_Revenue'!B598</f>
        <v>P010</v>
      </c>
      <c r="C598" s="3" t="str">
        <f>'02_Actual_Revenue'!C598</f>
        <v>R01</v>
      </c>
      <c r="D598" s="7">
        <f>'02_Actual_Revenue'!D598</f>
        <v>864000</v>
      </c>
      <c r="E598" s="7">
        <f>D598*(1+_xlfn.XLOOKUP("Digital Services",'01_Assumptions'!$A$4:$A$6,'01_Assumptions'!$B$4:$B$6))</f>
        <v>933120.00000000012</v>
      </c>
      <c r="F598" s="3">
        <f>'02_Actual_Revenue'!E598*(1+_xlfn.XLOOKUP("Digital Services",'01_Assumptions'!$A$4:$A$6,'01_Assumptions'!$C$4:$C$6))</f>
        <v>8.16</v>
      </c>
      <c r="G598" s="9">
        <f t="shared" si="27"/>
        <v>7614259.2000000011</v>
      </c>
      <c r="H598" s="9">
        <f>G598*'02_Actual_Revenue'!H598</f>
        <v>1142138.8800000001</v>
      </c>
      <c r="I598" s="9">
        <f t="shared" si="28"/>
        <v>6472120.3200000012</v>
      </c>
      <c r="J598" s="13">
        <f t="shared" si="29"/>
        <v>0.85000000000000009</v>
      </c>
    </row>
    <row r="599" spans="1:10">
      <c r="A599" s="5">
        <f>'02_Actual_Revenue'!A599</f>
        <v>46082</v>
      </c>
      <c r="B599" s="3" t="str">
        <f>'02_Actual_Revenue'!B599</f>
        <v>P010</v>
      </c>
      <c r="C599" s="3" t="str">
        <f>'02_Actual_Revenue'!C599</f>
        <v>R02</v>
      </c>
      <c r="D599" s="7">
        <f>'02_Actual_Revenue'!D599</f>
        <v>734400</v>
      </c>
      <c r="E599" s="7">
        <f>D599*(1+_xlfn.XLOOKUP("Digital Services",'01_Assumptions'!$A$4:$A$6,'01_Assumptions'!$B$4:$B$6))</f>
        <v>793152</v>
      </c>
      <c r="F599" s="3">
        <f>'02_Actual_Revenue'!E599*(1+_xlfn.XLOOKUP("Digital Services",'01_Assumptions'!$A$4:$A$6,'01_Assumptions'!$C$4:$C$6))</f>
        <v>8.16</v>
      </c>
      <c r="G599" s="9">
        <f t="shared" si="27"/>
        <v>6472120.3200000003</v>
      </c>
      <c r="H599" s="9">
        <f>G599*'02_Actual_Revenue'!H599</f>
        <v>970818.04799999995</v>
      </c>
      <c r="I599" s="9">
        <f t="shared" si="28"/>
        <v>5501302.2719999999</v>
      </c>
      <c r="J599" s="13">
        <f t="shared" si="29"/>
        <v>0.85</v>
      </c>
    </row>
    <row r="600" spans="1:10">
      <c r="A600" s="5">
        <f>'02_Actual_Revenue'!A600</f>
        <v>46082</v>
      </c>
      <c r="B600" s="3" t="str">
        <f>'02_Actual_Revenue'!B600</f>
        <v>P010</v>
      </c>
      <c r="C600" s="3" t="str">
        <f>'02_Actual_Revenue'!C600</f>
        <v>R03</v>
      </c>
      <c r="D600" s="7">
        <f>'02_Actual_Revenue'!D600</f>
        <v>820800</v>
      </c>
      <c r="E600" s="7">
        <f>D600*(1+_xlfn.XLOOKUP("Digital Services",'01_Assumptions'!$A$4:$A$6,'01_Assumptions'!$B$4:$B$6))</f>
        <v>886464.00000000012</v>
      </c>
      <c r="F600" s="3">
        <f>'02_Actual_Revenue'!E600*(1+_xlfn.XLOOKUP("Digital Services",'01_Assumptions'!$A$4:$A$6,'01_Assumptions'!$C$4:$C$6))</f>
        <v>8.16</v>
      </c>
      <c r="G600" s="9">
        <f t="shared" si="27"/>
        <v>7233546.2400000012</v>
      </c>
      <c r="H600" s="9">
        <f>G600*'02_Actual_Revenue'!H600</f>
        <v>1085031.9360000002</v>
      </c>
      <c r="I600" s="9">
        <f t="shared" si="28"/>
        <v>6148514.3040000014</v>
      </c>
      <c r="J600" s="13">
        <f t="shared" si="29"/>
        <v>0.85000000000000009</v>
      </c>
    </row>
    <row r="601" spans="1:10">
      <c r="A601" s="5">
        <f>'02_Actual_Revenue'!A601</f>
        <v>46082</v>
      </c>
      <c r="B601" s="3" t="str">
        <f>'02_Actual_Revenue'!B601</f>
        <v>P010</v>
      </c>
      <c r="C601" s="3" t="str">
        <f>'02_Actual_Revenue'!C601</f>
        <v>R04</v>
      </c>
      <c r="D601" s="7">
        <f>'02_Actual_Revenue'!D601</f>
        <v>475200</v>
      </c>
      <c r="E601" s="7">
        <f>D601*(1+_xlfn.XLOOKUP("Digital Services",'01_Assumptions'!$A$4:$A$6,'01_Assumptions'!$B$4:$B$6))</f>
        <v>513216.00000000006</v>
      </c>
      <c r="F601" s="3">
        <f>'02_Actual_Revenue'!E601*(1+_xlfn.XLOOKUP("Digital Services",'01_Assumptions'!$A$4:$A$6,'01_Assumptions'!$C$4:$C$6))</f>
        <v>8.16</v>
      </c>
      <c r="G601" s="9">
        <f t="shared" si="27"/>
        <v>4187842.5600000005</v>
      </c>
      <c r="H601" s="9">
        <f>G601*'02_Actual_Revenue'!H601</f>
        <v>628176.38400000008</v>
      </c>
      <c r="I601" s="9">
        <f t="shared" si="28"/>
        <v>3559666.1760000004</v>
      </c>
      <c r="J601" s="13">
        <f t="shared" si="29"/>
        <v>0.85</v>
      </c>
    </row>
    <row r="602" spans="1:10">
      <c r="A602" s="5">
        <f>'02_Actual_Revenue'!A602</f>
        <v>46113</v>
      </c>
      <c r="B602" s="3" t="str">
        <f>'02_Actual_Revenue'!B602</f>
        <v>P001</v>
      </c>
      <c r="C602" s="3" t="str">
        <f>'02_Actual_Revenue'!C602</f>
        <v>R01</v>
      </c>
      <c r="D602" s="7">
        <f>'02_Actual_Revenue'!D602</f>
        <v>237500</v>
      </c>
      <c r="E602" s="7">
        <f>D602*(1+_xlfn.XLOOKUP("Devices",'01_Assumptions'!$A$4:$A$6,'01_Assumptions'!$B$4:$B$6))</f>
        <v>251750</v>
      </c>
      <c r="F602" s="3">
        <f>'02_Actual_Revenue'!E602*(1+_xlfn.XLOOKUP("Devices",'01_Assumptions'!$A$4:$A$6,'01_Assumptions'!$C$4:$C$6))</f>
        <v>712.98</v>
      </c>
      <c r="G602" s="9">
        <f t="shared" si="27"/>
        <v>179492715</v>
      </c>
      <c r="H602" s="9">
        <f>G602*'02_Actual_Revenue'!H602</f>
        <v>111285483.3</v>
      </c>
      <c r="I602" s="9">
        <f t="shared" si="28"/>
        <v>68207231.700000003</v>
      </c>
      <c r="J602" s="13">
        <f t="shared" si="29"/>
        <v>0.38</v>
      </c>
    </row>
    <row r="603" spans="1:10">
      <c r="A603" s="5">
        <f>'02_Actual_Revenue'!A603</f>
        <v>46113</v>
      </c>
      <c r="B603" s="3" t="str">
        <f>'02_Actual_Revenue'!B603</f>
        <v>P001</v>
      </c>
      <c r="C603" s="3" t="str">
        <f>'02_Actual_Revenue'!C603</f>
        <v>R02</v>
      </c>
      <c r="D603" s="7">
        <f>'02_Actual_Revenue'!D603</f>
        <v>201875</v>
      </c>
      <c r="E603" s="7">
        <f>D603*(1+_xlfn.XLOOKUP("Devices",'01_Assumptions'!$A$4:$A$6,'01_Assumptions'!$B$4:$B$6))</f>
        <v>213987.5</v>
      </c>
      <c r="F603" s="3">
        <f>'02_Actual_Revenue'!E603*(1+_xlfn.XLOOKUP("Devices",'01_Assumptions'!$A$4:$A$6,'01_Assumptions'!$C$4:$C$6))</f>
        <v>712.98</v>
      </c>
      <c r="G603" s="9">
        <f t="shared" si="27"/>
        <v>152568807.75</v>
      </c>
      <c r="H603" s="9">
        <f>G603*'02_Actual_Revenue'!H603</f>
        <v>94592660.804999992</v>
      </c>
      <c r="I603" s="9">
        <f t="shared" si="28"/>
        <v>57976146.945000008</v>
      </c>
      <c r="J603" s="13">
        <f t="shared" si="29"/>
        <v>0.38000000000000006</v>
      </c>
    </row>
    <row r="604" spans="1:10">
      <c r="A604" s="5">
        <f>'02_Actual_Revenue'!A604</f>
        <v>46113</v>
      </c>
      <c r="B604" s="3" t="str">
        <f>'02_Actual_Revenue'!B604</f>
        <v>P001</v>
      </c>
      <c r="C604" s="3" t="str">
        <f>'02_Actual_Revenue'!C604</f>
        <v>R03</v>
      </c>
      <c r="D604" s="7">
        <f>'02_Actual_Revenue'!D604</f>
        <v>225625</v>
      </c>
      <c r="E604" s="7">
        <f>D604*(1+_xlfn.XLOOKUP("Devices",'01_Assumptions'!$A$4:$A$6,'01_Assumptions'!$B$4:$B$6))</f>
        <v>239162.5</v>
      </c>
      <c r="F604" s="3">
        <f>'02_Actual_Revenue'!E604*(1+_xlfn.XLOOKUP("Devices",'01_Assumptions'!$A$4:$A$6,'01_Assumptions'!$C$4:$C$6))</f>
        <v>712.98</v>
      </c>
      <c r="G604" s="9">
        <f t="shared" si="27"/>
        <v>170518079.25</v>
      </c>
      <c r="H604" s="9">
        <f>G604*'02_Actual_Revenue'!H604</f>
        <v>105721209.13500001</v>
      </c>
      <c r="I604" s="9">
        <f t="shared" si="28"/>
        <v>64796870.114999995</v>
      </c>
      <c r="J604" s="13">
        <f t="shared" si="29"/>
        <v>0.37999999999999995</v>
      </c>
    </row>
    <row r="605" spans="1:10">
      <c r="A605" s="5">
        <f>'02_Actual_Revenue'!A605</f>
        <v>46113</v>
      </c>
      <c r="B605" s="3" t="str">
        <f>'02_Actual_Revenue'!B605</f>
        <v>P001</v>
      </c>
      <c r="C605" s="3" t="str">
        <f>'02_Actual_Revenue'!C605</f>
        <v>R04</v>
      </c>
      <c r="D605" s="7">
        <f>'02_Actual_Revenue'!D605</f>
        <v>130625</v>
      </c>
      <c r="E605" s="7">
        <f>D605*(1+_xlfn.XLOOKUP("Devices",'01_Assumptions'!$A$4:$A$6,'01_Assumptions'!$B$4:$B$6))</f>
        <v>138462.5</v>
      </c>
      <c r="F605" s="3">
        <f>'02_Actual_Revenue'!E605*(1+_xlfn.XLOOKUP("Devices",'01_Assumptions'!$A$4:$A$6,'01_Assumptions'!$C$4:$C$6))</f>
        <v>712.98</v>
      </c>
      <c r="G605" s="9">
        <f t="shared" si="27"/>
        <v>98720993.25</v>
      </c>
      <c r="H605" s="9">
        <f>G605*'02_Actual_Revenue'!H605</f>
        <v>61207015.814999998</v>
      </c>
      <c r="I605" s="9">
        <f t="shared" si="28"/>
        <v>37513977.435000002</v>
      </c>
      <c r="J605" s="13">
        <f t="shared" si="29"/>
        <v>0.38</v>
      </c>
    </row>
    <row r="606" spans="1:10">
      <c r="A606" s="5">
        <f>'02_Actual_Revenue'!A606</f>
        <v>46113</v>
      </c>
      <c r="B606" s="3" t="str">
        <f>'02_Actual_Revenue'!B606</f>
        <v>P002</v>
      </c>
      <c r="C606" s="3" t="str">
        <f>'02_Actual_Revenue'!C606</f>
        <v>R01</v>
      </c>
      <c r="D606" s="7">
        <f>'02_Actual_Revenue'!D606</f>
        <v>114000</v>
      </c>
      <c r="E606" s="7">
        <f>D606*(1+_xlfn.XLOOKUP("Devices",'01_Assumptions'!$A$4:$A$6,'01_Assumptions'!$B$4:$B$6))</f>
        <v>120840</v>
      </c>
      <c r="F606" s="3">
        <f>'02_Actual_Revenue'!E606*(1+_xlfn.XLOOKUP("Devices",'01_Assumptions'!$A$4:$A$6,'01_Assumptions'!$C$4:$C$6))</f>
        <v>1018.98</v>
      </c>
      <c r="G606" s="9">
        <f t="shared" si="27"/>
        <v>123133543.2</v>
      </c>
      <c r="H606" s="9">
        <f>G606*'02_Actual_Revenue'!H606</f>
        <v>71417455.055999994</v>
      </c>
      <c r="I606" s="9">
        <f t="shared" si="28"/>
        <v>51716088.144000009</v>
      </c>
      <c r="J606" s="13">
        <f t="shared" si="29"/>
        <v>0.42000000000000004</v>
      </c>
    </row>
    <row r="607" spans="1:10">
      <c r="A607" s="5">
        <f>'02_Actual_Revenue'!A607</f>
        <v>46113</v>
      </c>
      <c r="B607" s="3" t="str">
        <f>'02_Actual_Revenue'!B607</f>
        <v>P002</v>
      </c>
      <c r="C607" s="3" t="str">
        <f>'02_Actual_Revenue'!C607</f>
        <v>R02</v>
      </c>
      <c r="D607" s="7">
        <f>'02_Actual_Revenue'!D607</f>
        <v>96900</v>
      </c>
      <c r="E607" s="7">
        <f>D607*(1+_xlfn.XLOOKUP("Devices",'01_Assumptions'!$A$4:$A$6,'01_Assumptions'!$B$4:$B$6))</f>
        <v>102714</v>
      </c>
      <c r="F607" s="3">
        <f>'02_Actual_Revenue'!E607*(1+_xlfn.XLOOKUP("Devices",'01_Assumptions'!$A$4:$A$6,'01_Assumptions'!$C$4:$C$6))</f>
        <v>1018.98</v>
      </c>
      <c r="G607" s="9">
        <f t="shared" si="27"/>
        <v>104663511.72</v>
      </c>
      <c r="H607" s="9">
        <f>G607*'02_Actual_Revenue'!H607</f>
        <v>60704836.797599994</v>
      </c>
      <c r="I607" s="9">
        <f t="shared" si="28"/>
        <v>43958674.922400005</v>
      </c>
      <c r="J607" s="13">
        <f t="shared" si="29"/>
        <v>0.42000000000000004</v>
      </c>
    </row>
    <row r="608" spans="1:10">
      <c r="A608" s="5">
        <f>'02_Actual_Revenue'!A608</f>
        <v>46113</v>
      </c>
      <c r="B608" s="3" t="str">
        <f>'02_Actual_Revenue'!B608</f>
        <v>P002</v>
      </c>
      <c r="C608" s="3" t="str">
        <f>'02_Actual_Revenue'!C608</f>
        <v>R03</v>
      </c>
      <c r="D608" s="7">
        <f>'02_Actual_Revenue'!D608</f>
        <v>108300</v>
      </c>
      <c r="E608" s="7">
        <f>D608*(1+_xlfn.XLOOKUP("Devices",'01_Assumptions'!$A$4:$A$6,'01_Assumptions'!$B$4:$B$6))</f>
        <v>114798</v>
      </c>
      <c r="F608" s="3">
        <f>'02_Actual_Revenue'!E608*(1+_xlfn.XLOOKUP("Devices",'01_Assumptions'!$A$4:$A$6,'01_Assumptions'!$C$4:$C$6))</f>
        <v>1018.98</v>
      </c>
      <c r="G608" s="9">
        <f t="shared" si="27"/>
        <v>116976866.04000001</v>
      </c>
      <c r="H608" s="9">
        <f>G608*'02_Actual_Revenue'!H608</f>
        <v>67846582.303200006</v>
      </c>
      <c r="I608" s="9">
        <f t="shared" si="28"/>
        <v>49130283.7368</v>
      </c>
      <c r="J608" s="13">
        <f t="shared" si="29"/>
        <v>0.42</v>
      </c>
    </row>
    <row r="609" spans="1:10">
      <c r="A609" s="5">
        <f>'02_Actual_Revenue'!A609</f>
        <v>46113</v>
      </c>
      <c r="B609" s="3" t="str">
        <f>'02_Actual_Revenue'!B609</f>
        <v>P002</v>
      </c>
      <c r="C609" s="3" t="str">
        <f>'02_Actual_Revenue'!C609</f>
        <v>R04</v>
      </c>
      <c r="D609" s="7">
        <f>'02_Actual_Revenue'!D609</f>
        <v>62700</v>
      </c>
      <c r="E609" s="7">
        <f>D609*(1+_xlfn.XLOOKUP("Devices",'01_Assumptions'!$A$4:$A$6,'01_Assumptions'!$B$4:$B$6))</f>
        <v>66462</v>
      </c>
      <c r="F609" s="3">
        <f>'02_Actual_Revenue'!E609*(1+_xlfn.XLOOKUP("Devices",'01_Assumptions'!$A$4:$A$6,'01_Assumptions'!$C$4:$C$6))</f>
        <v>1018.98</v>
      </c>
      <c r="G609" s="9">
        <f t="shared" si="27"/>
        <v>67723448.760000005</v>
      </c>
      <c r="H609" s="9">
        <f>G609*'02_Actual_Revenue'!H609</f>
        <v>39279600.2808</v>
      </c>
      <c r="I609" s="9">
        <f t="shared" si="28"/>
        <v>28443848.479200006</v>
      </c>
      <c r="J609" s="13">
        <f t="shared" si="29"/>
        <v>0.42000000000000004</v>
      </c>
    </row>
    <row r="610" spans="1:10">
      <c r="A610" s="5">
        <f>'02_Actual_Revenue'!A610</f>
        <v>46113</v>
      </c>
      <c r="B610" s="3" t="str">
        <f>'02_Actual_Revenue'!B610</f>
        <v>P003</v>
      </c>
      <c r="C610" s="3" t="str">
        <f>'02_Actual_Revenue'!C610</f>
        <v>R01</v>
      </c>
      <c r="D610" s="7">
        <f>'02_Actual_Revenue'!D610</f>
        <v>133000</v>
      </c>
      <c r="E610" s="7">
        <f>D610*(1+_xlfn.XLOOKUP("Devices",'01_Assumptions'!$A$4:$A$6,'01_Assumptions'!$B$4:$B$6))</f>
        <v>140980</v>
      </c>
      <c r="F610" s="3">
        <f>'02_Actual_Revenue'!E610*(1+_xlfn.XLOOKUP("Devices",'01_Assumptions'!$A$4:$A$6,'01_Assumptions'!$C$4:$C$6))</f>
        <v>559.98</v>
      </c>
      <c r="G610" s="9">
        <f t="shared" si="27"/>
        <v>78945980.400000006</v>
      </c>
      <c r="H610" s="9">
        <f>G610*'02_Actual_Revenue'!H610</f>
        <v>47367588.240000002</v>
      </c>
      <c r="I610" s="9">
        <f t="shared" si="28"/>
        <v>31578392.160000004</v>
      </c>
      <c r="J610" s="13">
        <f t="shared" si="29"/>
        <v>0.4</v>
      </c>
    </row>
    <row r="611" spans="1:10">
      <c r="A611" s="5">
        <f>'02_Actual_Revenue'!A611</f>
        <v>46113</v>
      </c>
      <c r="B611" s="3" t="str">
        <f>'02_Actual_Revenue'!B611</f>
        <v>P003</v>
      </c>
      <c r="C611" s="3" t="str">
        <f>'02_Actual_Revenue'!C611</f>
        <v>R02</v>
      </c>
      <c r="D611" s="7">
        <f>'02_Actual_Revenue'!D611</f>
        <v>113050</v>
      </c>
      <c r="E611" s="7">
        <f>D611*(1+_xlfn.XLOOKUP("Devices",'01_Assumptions'!$A$4:$A$6,'01_Assumptions'!$B$4:$B$6))</f>
        <v>119833</v>
      </c>
      <c r="F611" s="3">
        <f>'02_Actual_Revenue'!E611*(1+_xlfn.XLOOKUP("Devices",'01_Assumptions'!$A$4:$A$6,'01_Assumptions'!$C$4:$C$6))</f>
        <v>559.98</v>
      </c>
      <c r="G611" s="9">
        <f t="shared" si="27"/>
        <v>67104083.340000004</v>
      </c>
      <c r="H611" s="9">
        <f>G611*'02_Actual_Revenue'!H611</f>
        <v>40262450.004000001</v>
      </c>
      <c r="I611" s="9">
        <f t="shared" si="28"/>
        <v>26841633.336000003</v>
      </c>
      <c r="J611" s="13">
        <f t="shared" si="29"/>
        <v>0.4</v>
      </c>
    </row>
    <row r="612" spans="1:10">
      <c r="A612" s="5">
        <f>'02_Actual_Revenue'!A612</f>
        <v>46113</v>
      </c>
      <c r="B612" s="3" t="str">
        <f>'02_Actual_Revenue'!B612</f>
        <v>P003</v>
      </c>
      <c r="C612" s="3" t="str">
        <f>'02_Actual_Revenue'!C612</f>
        <v>R03</v>
      </c>
      <c r="D612" s="7">
        <f>'02_Actual_Revenue'!D612</f>
        <v>126350</v>
      </c>
      <c r="E612" s="7">
        <f>D612*(1+_xlfn.XLOOKUP("Devices",'01_Assumptions'!$A$4:$A$6,'01_Assumptions'!$B$4:$B$6))</f>
        <v>133931</v>
      </c>
      <c r="F612" s="3">
        <f>'02_Actual_Revenue'!E612*(1+_xlfn.XLOOKUP("Devices",'01_Assumptions'!$A$4:$A$6,'01_Assumptions'!$C$4:$C$6))</f>
        <v>559.98</v>
      </c>
      <c r="G612" s="9">
        <f t="shared" si="27"/>
        <v>74998681.379999995</v>
      </c>
      <c r="H612" s="9">
        <f>G612*'02_Actual_Revenue'!H612</f>
        <v>44999208.827999994</v>
      </c>
      <c r="I612" s="9">
        <f t="shared" si="28"/>
        <v>29999472.552000001</v>
      </c>
      <c r="J612" s="13">
        <f t="shared" si="29"/>
        <v>0.4</v>
      </c>
    </row>
    <row r="613" spans="1:10">
      <c r="A613" s="5">
        <f>'02_Actual_Revenue'!A613</f>
        <v>46113</v>
      </c>
      <c r="B613" s="3" t="str">
        <f>'02_Actual_Revenue'!B613</f>
        <v>P003</v>
      </c>
      <c r="C613" s="3" t="str">
        <f>'02_Actual_Revenue'!C613</f>
        <v>R04</v>
      </c>
      <c r="D613" s="7">
        <f>'02_Actual_Revenue'!D613</f>
        <v>73150</v>
      </c>
      <c r="E613" s="7">
        <f>D613*(1+_xlfn.XLOOKUP("Devices",'01_Assumptions'!$A$4:$A$6,'01_Assumptions'!$B$4:$B$6))</f>
        <v>77539</v>
      </c>
      <c r="F613" s="3">
        <f>'02_Actual_Revenue'!E613*(1+_xlfn.XLOOKUP("Devices",'01_Assumptions'!$A$4:$A$6,'01_Assumptions'!$C$4:$C$6))</f>
        <v>559.98</v>
      </c>
      <c r="G613" s="9">
        <f t="shared" si="27"/>
        <v>43420289.219999999</v>
      </c>
      <c r="H613" s="9">
        <f>G613*'02_Actual_Revenue'!H613</f>
        <v>26052173.531999998</v>
      </c>
      <c r="I613" s="9">
        <f t="shared" si="28"/>
        <v>17368115.688000001</v>
      </c>
      <c r="J613" s="13">
        <f t="shared" si="29"/>
        <v>0.4</v>
      </c>
    </row>
    <row r="614" spans="1:10">
      <c r="A614" s="5">
        <f>'02_Actual_Revenue'!A614</f>
        <v>46113</v>
      </c>
      <c r="B614" s="3" t="str">
        <f>'02_Actual_Revenue'!B614</f>
        <v>P004</v>
      </c>
      <c r="C614" s="3" t="str">
        <f>'02_Actual_Revenue'!C614</f>
        <v>R01</v>
      </c>
      <c r="D614" s="7">
        <f>'02_Actual_Revenue'!D614</f>
        <v>66500</v>
      </c>
      <c r="E614" s="7">
        <f>D614*(1+_xlfn.XLOOKUP("Devices",'01_Assumptions'!$A$4:$A$6,'01_Assumptions'!$B$4:$B$6))</f>
        <v>70490</v>
      </c>
      <c r="F614" s="3">
        <f>'02_Actual_Revenue'!E614*(1+_xlfn.XLOOKUP("Devices",'01_Assumptions'!$A$4:$A$6,'01_Assumptions'!$C$4:$C$6))</f>
        <v>1222.98</v>
      </c>
      <c r="G614" s="9">
        <f t="shared" si="27"/>
        <v>86207860.200000003</v>
      </c>
      <c r="H614" s="9">
        <f>G614*'02_Actual_Revenue'!H614</f>
        <v>47414323.110000007</v>
      </c>
      <c r="I614" s="9">
        <f t="shared" si="28"/>
        <v>38793537.089999996</v>
      </c>
      <c r="J614" s="13">
        <f t="shared" si="29"/>
        <v>0.44999999999999996</v>
      </c>
    </row>
    <row r="615" spans="1:10">
      <c r="A615" s="5">
        <f>'02_Actual_Revenue'!A615</f>
        <v>46113</v>
      </c>
      <c r="B615" s="3" t="str">
        <f>'02_Actual_Revenue'!B615</f>
        <v>P004</v>
      </c>
      <c r="C615" s="3" t="str">
        <f>'02_Actual_Revenue'!C615</f>
        <v>R02</v>
      </c>
      <c r="D615" s="7">
        <f>'02_Actual_Revenue'!D615</f>
        <v>56525</v>
      </c>
      <c r="E615" s="7">
        <f>D615*(1+_xlfn.XLOOKUP("Devices",'01_Assumptions'!$A$4:$A$6,'01_Assumptions'!$B$4:$B$6))</f>
        <v>59916.5</v>
      </c>
      <c r="F615" s="3">
        <f>'02_Actual_Revenue'!E615*(1+_xlfn.XLOOKUP("Devices",'01_Assumptions'!$A$4:$A$6,'01_Assumptions'!$C$4:$C$6))</f>
        <v>1222.98</v>
      </c>
      <c r="G615" s="9">
        <f t="shared" si="27"/>
        <v>73276681.170000002</v>
      </c>
      <c r="H615" s="9">
        <f>G615*'02_Actual_Revenue'!H615</f>
        <v>40302174.643500008</v>
      </c>
      <c r="I615" s="9">
        <f t="shared" si="28"/>
        <v>32974506.526499994</v>
      </c>
      <c r="J615" s="13">
        <f t="shared" si="29"/>
        <v>0.4499999999999999</v>
      </c>
    </row>
    <row r="616" spans="1:10">
      <c r="A616" s="5">
        <f>'02_Actual_Revenue'!A616</f>
        <v>46113</v>
      </c>
      <c r="B616" s="3" t="str">
        <f>'02_Actual_Revenue'!B616</f>
        <v>P004</v>
      </c>
      <c r="C616" s="3" t="str">
        <f>'02_Actual_Revenue'!C616</f>
        <v>R03</v>
      </c>
      <c r="D616" s="7">
        <f>'02_Actual_Revenue'!D616</f>
        <v>63175</v>
      </c>
      <c r="E616" s="7">
        <f>D616*(1+_xlfn.XLOOKUP("Devices",'01_Assumptions'!$A$4:$A$6,'01_Assumptions'!$B$4:$B$6))</f>
        <v>66965.5</v>
      </c>
      <c r="F616" s="3">
        <f>'02_Actual_Revenue'!E616*(1+_xlfn.XLOOKUP("Devices",'01_Assumptions'!$A$4:$A$6,'01_Assumptions'!$C$4:$C$6))</f>
        <v>1222.98</v>
      </c>
      <c r="G616" s="9">
        <f t="shared" si="27"/>
        <v>81897467.189999998</v>
      </c>
      <c r="H616" s="9">
        <f>G616*'02_Actual_Revenue'!H616</f>
        <v>45043606.954500005</v>
      </c>
      <c r="I616" s="9">
        <f t="shared" si="28"/>
        <v>36853860.235499993</v>
      </c>
      <c r="J616" s="13">
        <f t="shared" si="29"/>
        <v>0.4499999999999999</v>
      </c>
    </row>
    <row r="617" spans="1:10">
      <c r="A617" s="5">
        <f>'02_Actual_Revenue'!A617</f>
        <v>46113</v>
      </c>
      <c r="B617" s="3" t="str">
        <f>'02_Actual_Revenue'!B617</f>
        <v>P004</v>
      </c>
      <c r="C617" s="3" t="str">
        <f>'02_Actual_Revenue'!C617</f>
        <v>R04</v>
      </c>
      <c r="D617" s="7">
        <f>'02_Actual_Revenue'!D617</f>
        <v>36575</v>
      </c>
      <c r="E617" s="7">
        <f>D617*(1+_xlfn.XLOOKUP("Devices",'01_Assumptions'!$A$4:$A$6,'01_Assumptions'!$B$4:$B$6))</f>
        <v>38769.5</v>
      </c>
      <c r="F617" s="3">
        <f>'02_Actual_Revenue'!E617*(1+_xlfn.XLOOKUP("Devices",'01_Assumptions'!$A$4:$A$6,'01_Assumptions'!$C$4:$C$6))</f>
        <v>1222.98</v>
      </c>
      <c r="G617" s="9">
        <f t="shared" si="27"/>
        <v>47414323.109999999</v>
      </c>
      <c r="H617" s="9">
        <f>G617*'02_Actual_Revenue'!H617</f>
        <v>26077877.710500002</v>
      </c>
      <c r="I617" s="9">
        <f t="shared" si="28"/>
        <v>21336445.399499997</v>
      </c>
      <c r="J617" s="13">
        <f t="shared" si="29"/>
        <v>0.44999999999999996</v>
      </c>
    </row>
    <row r="618" spans="1:10">
      <c r="A618" s="5">
        <f>'02_Actual_Revenue'!A618</f>
        <v>46113</v>
      </c>
      <c r="B618" s="3" t="str">
        <f>'02_Actual_Revenue'!B618</f>
        <v>P005</v>
      </c>
      <c r="C618" s="3" t="str">
        <f>'02_Actual_Revenue'!C618</f>
        <v>R01</v>
      </c>
      <c r="D618" s="7">
        <f>'02_Actual_Revenue'!D618</f>
        <v>171000</v>
      </c>
      <c r="E618" s="7">
        <f>D618*(1+_xlfn.XLOOKUP("Devices",'01_Assumptions'!$A$4:$A$6,'01_Assumptions'!$B$4:$B$6))</f>
        <v>181260</v>
      </c>
      <c r="F618" s="3">
        <f>'02_Actual_Revenue'!E618*(1+_xlfn.XLOOKUP("Devices",'01_Assumptions'!$A$4:$A$6,'01_Assumptions'!$C$4:$C$6))</f>
        <v>304.98</v>
      </c>
      <c r="G618" s="9">
        <f t="shared" si="27"/>
        <v>55280674.800000004</v>
      </c>
      <c r="H618" s="9">
        <f>G618*'02_Actual_Revenue'!H618</f>
        <v>27640337.400000002</v>
      </c>
      <c r="I618" s="9">
        <f t="shared" si="28"/>
        <v>27640337.400000002</v>
      </c>
      <c r="J618" s="13">
        <f t="shared" si="29"/>
        <v>0.5</v>
      </c>
    </row>
    <row r="619" spans="1:10">
      <c r="A619" s="5">
        <f>'02_Actual_Revenue'!A619</f>
        <v>46113</v>
      </c>
      <c r="B619" s="3" t="str">
        <f>'02_Actual_Revenue'!B619</f>
        <v>P005</v>
      </c>
      <c r="C619" s="3" t="str">
        <f>'02_Actual_Revenue'!C619</f>
        <v>R02</v>
      </c>
      <c r="D619" s="7">
        <f>'02_Actual_Revenue'!D619</f>
        <v>145350</v>
      </c>
      <c r="E619" s="7">
        <f>D619*(1+_xlfn.XLOOKUP("Devices",'01_Assumptions'!$A$4:$A$6,'01_Assumptions'!$B$4:$B$6))</f>
        <v>154071</v>
      </c>
      <c r="F619" s="3">
        <f>'02_Actual_Revenue'!E619*(1+_xlfn.XLOOKUP("Devices",'01_Assumptions'!$A$4:$A$6,'01_Assumptions'!$C$4:$C$6))</f>
        <v>304.98</v>
      </c>
      <c r="G619" s="9">
        <f t="shared" si="27"/>
        <v>46988573.580000006</v>
      </c>
      <c r="H619" s="9">
        <f>G619*'02_Actual_Revenue'!H619</f>
        <v>23494286.790000003</v>
      </c>
      <c r="I619" s="9">
        <f t="shared" si="28"/>
        <v>23494286.790000003</v>
      </c>
      <c r="J619" s="13">
        <f t="shared" si="29"/>
        <v>0.5</v>
      </c>
    </row>
    <row r="620" spans="1:10">
      <c r="A620" s="5">
        <f>'02_Actual_Revenue'!A620</f>
        <v>46113</v>
      </c>
      <c r="B620" s="3" t="str">
        <f>'02_Actual_Revenue'!B620</f>
        <v>P005</v>
      </c>
      <c r="C620" s="3" t="str">
        <f>'02_Actual_Revenue'!C620</f>
        <v>R03</v>
      </c>
      <c r="D620" s="7">
        <f>'02_Actual_Revenue'!D620</f>
        <v>162450</v>
      </c>
      <c r="E620" s="7">
        <f>D620*(1+_xlfn.XLOOKUP("Devices",'01_Assumptions'!$A$4:$A$6,'01_Assumptions'!$B$4:$B$6))</f>
        <v>172197</v>
      </c>
      <c r="F620" s="3">
        <f>'02_Actual_Revenue'!E620*(1+_xlfn.XLOOKUP("Devices",'01_Assumptions'!$A$4:$A$6,'01_Assumptions'!$C$4:$C$6))</f>
        <v>304.98</v>
      </c>
      <c r="G620" s="9">
        <f t="shared" si="27"/>
        <v>52516641.060000002</v>
      </c>
      <c r="H620" s="9">
        <f>G620*'02_Actual_Revenue'!H620</f>
        <v>26258320.530000001</v>
      </c>
      <c r="I620" s="9">
        <f t="shared" si="28"/>
        <v>26258320.530000001</v>
      </c>
      <c r="J620" s="13">
        <f t="shared" si="29"/>
        <v>0.5</v>
      </c>
    </row>
    <row r="621" spans="1:10">
      <c r="A621" s="5">
        <f>'02_Actual_Revenue'!A621</f>
        <v>46113</v>
      </c>
      <c r="B621" s="3" t="str">
        <f>'02_Actual_Revenue'!B621</f>
        <v>P005</v>
      </c>
      <c r="C621" s="3" t="str">
        <f>'02_Actual_Revenue'!C621</f>
        <v>R04</v>
      </c>
      <c r="D621" s="7">
        <f>'02_Actual_Revenue'!D621</f>
        <v>94050</v>
      </c>
      <c r="E621" s="7">
        <f>D621*(1+_xlfn.XLOOKUP("Devices",'01_Assumptions'!$A$4:$A$6,'01_Assumptions'!$B$4:$B$6))</f>
        <v>99693</v>
      </c>
      <c r="F621" s="3">
        <f>'02_Actual_Revenue'!E621*(1+_xlfn.XLOOKUP("Devices",'01_Assumptions'!$A$4:$A$6,'01_Assumptions'!$C$4:$C$6))</f>
        <v>304.98</v>
      </c>
      <c r="G621" s="9">
        <f t="shared" si="27"/>
        <v>30404371.140000001</v>
      </c>
      <c r="H621" s="9">
        <f>G621*'02_Actual_Revenue'!H621</f>
        <v>15202185.57</v>
      </c>
      <c r="I621" s="9">
        <f t="shared" si="28"/>
        <v>15202185.57</v>
      </c>
      <c r="J621" s="13">
        <f t="shared" si="29"/>
        <v>0.5</v>
      </c>
    </row>
    <row r="622" spans="1:10">
      <c r="A622" s="5">
        <f>'02_Actual_Revenue'!A622</f>
        <v>46113</v>
      </c>
      <c r="B622" s="3" t="str">
        <f>'02_Actual_Revenue'!B622</f>
        <v>P006</v>
      </c>
      <c r="C622" s="3" t="str">
        <f>'02_Actual_Revenue'!C622</f>
        <v>R01</v>
      </c>
      <c r="D622" s="7">
        <f>'02_Actual_Revenue'!D622</f>
        <v>570000</v>
      </c>
      <c r="E622" s="7">
        <f>D622*(1+_xlfn.XLOOKUP("Cloud &amp; Software",'01_Assumptions'!$A$4:$A$6,'01_Assumptions'!$B$4:$B$6))</f>
        <v>627000</v>
      </c>
      <c r="F622" s="3">
        <f>'02_Actual_Revenue'!E622*(1+_xlfn.XLOOKUP("Cloud &amp; Software",'01_Assumptions'!$A$4:$A$6,'01_Assumptions'!$C$4:$C$6))</f>
        <v>40.17</v>
      </c>
      <c r="G622" s="9">
        <f t="shared" si="27"/>
        <v>25186590</v>
      </c>
      <c r="H622" s="9">
        <f>G622*'02_Actual_Revenue'!H622</f>
        <v>6296647.5</v>
      </c>
      <c r="I622" s="9">
        <f t="shared" si="28"/>
        <v>18889942.5</v>
      </c>
      <c r="J622" s="13">
        <f t="shared" si="29"/>
        <v>0.75</v>
      </c>
    </row>
    <row r="623" spans="1:10">
      <c r="A623" s="5">
        <f>'02_Actual_Revenue'!A623</f>
        <v>46113</v>
      </c>
      <c r="B623" s="3" t="str">
        <f>'02_Actual_Revenue'!B623</f>
        <v>P006</v>
      </c>
      <c r="C623" s="3" t="str">
        <f>'02_Actual_Revenue'!C623</f>
        <v>R02</v>
      </c>
      <c r="D623" s="7">
        <f>'02_Actual_Revenue'!D623</f>
        <v>484500</v>
      </c>
      <c r="E623" s="7">
        <f>D623*(1+_xlfn.XLOOKUP("Cloud &amp; Software",'01_Assumptions'!$A$4:$A$6,'01_Assumptions'!$B$4:$B$6))</f>
        <v>532950</v>
      </c>
      <c r="F623" s="3">
        <f>'02_Actual_Revenue'!E623*(1+_xlfn.XLOOKUP("Cloud &amp; Software",'01_Assumptions'!$A$4:$A$6,'01_Assumptions'!$C$4:$C$6))</f>
        <v>40.17</v>
      </c>
      <c r="G623" s="9">
        <f t="shared" si="27"/>
        <v>21408601.5</v>
      </c>
      <c r="H623" s="9">
        <f>G623*'02_Actual_Revenue'!H623</f>
        <v>5352150.375</v>
      </c>
      <c r="I623" s="9">
        <f t="shared" si="28"/>
        <v>16056451.125</v>
      </c>
      <c r="J623" s="13">
        <f t="shared" si="29"/>
        <v>0.75</v>
      </c>
    </row>
    <row r="624" spans="1:10">
      <c r="A624" s="5">
        <f>'02_Actual_Revenue'!A624</f>
        <v>46113</v>
      </c>
      <c r="B624" s="3" t="str">
        <f>'02_Actual_Revenue'!B624</f>
        <v>P006</v>
      </c>
      <c r="C624" s="3" t="str">
        <f>'02_Actual_Revenue'!C624</f>
        <v>R03</v>
      </c>
      <c r="D624" s="7">
        <f>'02_Actual_Revenue'!D624</f>
        <v>541500</v>
      </c>
      <c r="E624" s="7">
        <f>D624*(1+_xlfn.XLOOKUP("Cloud &amp; Software",'01_Assumptions'!$A$4:$A$6,'01_Assumptions'!$B$4:$B$6))</f>
        <v>595650</v>
      </c>
      <c r="F624" s="3">
        <f>'02_Actual_Revenue'!E624*(1+_xlfn.XLOOKUP("Cloud &amp; Software",'01_Assumptions'!$A$4:$A$6,'01_Assumptions'!$C$4:$C$6))</f>
        <v>40.17</v>
      </c>
      <c r="G624" s="9">
        <f t="shared" si="27"/>
        <v>23927260.5</v>
      </c>
      <c r="H624" s="9">
        <f>G624*'02_Actual_Revenue'!H624</f>
        <v>5981815.125</v>
      </c>
      <c r="I624" s="9">
        <f t="shared" si="28"/>
        <v>17945445.375</v>
      </c>
      <c r="J624" s="13">
        <f t="shared" si="29"/>
        <v>0.75</v>
      </c>
    </row>
    <row r="625" spans="1:10">
      <c r="A625" s="5">
        <f>'02_Actual_Revenue'!A625</f>
        <v>46113</v>
      </c>
      <c r="B625" s="3" t="str">
        <f>'02_Actual_Revenue'!B625</f>
        <v>P006</v>
      </c>
      <c r="C625" s="3" t="str">
        <f>'02_Actual_Revenue'!C625</f>
        <v>R04</v>
      </c>
      <c r="D625" s="7">
        <f>'02_Actual_Revenue'!D625</f>
        <v>313500</v>
      </c>
      <c r="E625" s="7">
        <f>D625*(1+_xlfn.XLOOKUP("Cloud &amp; Software",'01_Assumptions'!$A$4:$A$6,'01_Assumptions'!$B$4:$B$6))</f>
        <v>344850</v>
      </c>
      <c r="F625" s="3">
        <f>'02_Actual_Revenue'!E625*(1+_xlfn.XLOOKUP("Cloud &amp; Software",'01_Assumptions'!$A$4:$A$6,'01_Assumptions'!$C$4:$C$6))</f>
        <v>40.17</v>
      </c>
      <c r="G625" s="9">
        <f t="shared" si="27"/>
        <v>13852624.5</v>
      </c>
      <c r="H625" s="9">
        <f>G625*'02_Actual_Revenue'!H625</f>
        <v>3463156.125</v>
      </c>
      <c r="I625" s="9">
        <f t="shared" si="28"/>
        <v>10389468.375</v>
      </c>
      <c r="J625" s="13">
        <f t="shared" si="29"/>
        <v>0.75</v>
      </c>
    </row>
    <row r="626" spans="1:10">
      <c r="A626" s="5">
        <f>'02_Actual_Revenue'!A626</f>
        <v>46113</v>
      </c>
      <c r="B626" s="3" t="str">
        <f>'02_Actual_Revenue'!B626</f>
        <v>P007</v>
      </c>
      <c r="C626" s="3" t="str">
        <f>'02_Actual_Revenue'!C626</f>
        <v>R01</v>
      </c>
      <c r="D626" s="7">
        <f>'02_Actual_Revenue'!D626</f>
        <v>380000</v>
      </c>
      <c r="E626" s="7">
        <f>D626*(1+_xlfn.XLOOKUP("Cloud &amp; Software",'01_Assumptions'!$A$4:$A$6,'01_Assumptions'!$B$4:$B$6))</f>
        <v>418000.00000000006</v>
      </c>
      <c r="F626" s="3">
        <f>'02_Actual_Revenue'!E626*(1+_xlfn.XLOOKUP("Cloud &amp; Software",'01_Assumptions'!$A$4:$A$6,'01_Assumptions'!$C$4:$C$6))</f>
        <v>24.72</v>
      </c>
      <c r="G626" s="9">
        <f t="shared" si="27"/>
        <v>10332960.000000002</v>
      </c>
      <c r="H626" s="9">
        <f>G626*'02_Actual_Revenue'!H626</f>
        <v>2066592.0000000005</v>
      </c>
      <c r="I626" s="9">
        <f t="shared" si="28"/>
        <v>8266368.0000000019</v>
      </c>
      <c r="J626" s="13">
        <f t="shared" si="29"/>
        <v>0.8</v>
      </c>
    </row>
    <row r="627" spans="1:10">
      <c r="A627" s="5">
        <f>'02_Actual_Revenue'!A627</f>
        <v>46113</v>
      </c>
      <c r="B627" s="3" t="str">
        <f>'02_Actual_Revenue'!B627</f>
        <v>P007</v>
      </c>
      <c r="C627" s="3" t="str">
        <f>'02_Actual_Revenue'!C627</f>
        <v>R02</v>
      </c>
      <c r="D627" s="7">
        <f>'02_Actual_Revenue'!D627</f>
        <v>323000</v>
      </c>
      <c r="E627" s="7">
        <f>D627*(1+_xlfn.XLOOKUP("Cloud &amp; Software",'01_Assumptions'!$A$4:$A$6,'01_Assumptions'!$B$4:$B$6))</f>
        <v>355300</v>
      </c>
      <c r="F627" s="3">
        <f>'02_Actual_Revenue'!E627*(1+_xlfn.XLOOKUP("Cloud &amp; Software",'01_Assumptions'!$A$4:$A$6,'01_Assumptions'!$C$4:$C$6))</f>
        <v>24.72</v>
      </c>
      <c r="G627" s="9">
        <f t="shared" si="27"/>
        <v>8783016</v>
      </c>
      <c r="H627" s="9">
        <f>G627*'02_Actual_Revenue'!H627</f>
        <v>1756603.2000000002</v>
      </c>
      <c r="I627" s="9">
        <f t="shared" si="28"/>
        <v>7026412.7999999998</v>
      </c>
      <c r="J627" s="13">
        <f t="shared" si="29"/>
        <v>0.79999999999999993</v>
      </c>
    </row>
    <row r="628" spans="1:10">
      <c r="A628" s="5">
        <f>'02_Actual_Revenue'!A628</f>
        <v>46113</v>
      </c>
      <c r="B628" s="3" t="str">
        <f>'02_Actual_Revenue'!B628</f>
        <v>P007</v>
      </c>
      <c r="C628" s="3" t="str">
        <f>'02_Actual_Revenue'!C628</f>
        <v>R03</v>
      </c>
      <c r="D628" s="7">
        <f>'02_Actual_Revenue'!D628</f>
        <v>361000</v>
      </c>
      <c r="E628" s="7">
        <f>D628*(1+_xlfn.XLOOKUP("Cloud &amp; Software",'01_Assumptions'!$A$4:$A$6,'01_Assumptions'!$B$4:$B$6))</f>
        <v>397100.00000000006</v>
      </c>
      <c r="F628" s="3">
        <f>'02_Actual_Revenue'!E628*(1+_xlfn.XLOOKUP("Cloud &amp; Software",'01_Assumptions'!$A$4:$A$6,'01_Assumptions'!$C$4:$C$6))</f>
        <v>24.72</v>
      </c>
      <c r="G628" s="9">
        <f t="shared" si="27"/>
        <v>9816312.0000000019</v>
      </c>
      <c r="H628" s="9">
        <f>G628*'02_Actual_Revenue'!H628</f>
        <v>1963262.4000000004</v>
      </c>
      <c r="I628" s="9">
        <f t="shared" si="28"/>
        <v>7853049.6000000015</v>
      </c>
      <c r="J628" s="13">
        <f t="shared" si="29"/>
        <v>0.8</v>
      </c>
    </row>
    <row r="629" spans="1:10">
      <c r="A629" s="5">
        <f>'02_Actual_Revenue'!A629</f>
        <v>46113</v>
      </c>
      <c r="B629" s="3" t="str">
        <f>'02_Actual_Revenue'!B629</f>
        <v>P007</v>
      </c>
      <c r="C629" s="3" t="str">
        <f>'02_Actual_Revenue'!C629</f>
        <v>R04</v>
      </c>
      <c r="D629" s="7">
        <f>'02_Actual_Revenue'!D629</f>
        <v>209000</v>
      </c>
      <c r="E629" s="7">
        <f>D629*(1+_xlfn.XLOOKUP("Cloud &amp; Software",'01_Assumptions'!$A$4:$A$6,'01_Assumptions'!$B$4:$B$6))</f>
        <v>229900.00000000003</v>
      </c>
      <c r="F629" s="3">
        <f>'02_Actual_Revenue'!E629*(1+_xlfn.XLOOKUP("Cloud &amp; Software",'01_Assumptions'!$A$4:$A$6,'01_Assumptions'!$C$4:$C$6))</f>
        <v>24.72</v>
      </c>
      <c r="G629" s="9">
        <f t="shared" si="27"/>
        <v>5683128</v>
      </c>
      <c r="H629" s="9">
        <f>G629*'02_Actual_Revenue'!H629</f>
        <v>1136625.6000000001</v>
      </c>
      <c r="I629" s="9">
        <f t="shared" si="28"/>
        <v>4546502.4000000004</v>
      </c>
      <c r="J629" s="13">
        <f t="shared" si="29"/>
        <v>0.8</v>
      </c>
    </row>
    <row r="630" spans="1:10">
      <c r="A630" s="5">
        <f>'02_Actual_Revenue'!A630</f>
        <v>46113</v>
      </c>
      <c r="B630" s="3" t="str">
        <f>'02_Actual_Revenue'!B630</f>
        <v>P008</v>
      </c>
      <c r="C630" s="3" t="str">
        <f>'02_Actual_Revenue'!C630</f>
        <v>R01</v>
      </c>
      <c r="D630" s="7">
        <f>'02_Actual_Revenue'!D630</f>
        <v>1140000</v>
      </c>
      <c r="E630" s="7">
        <f>D630*(1+_xlfn.XLOOKUP("Digital Services",'01_Assumptions'!$A$4:$A$6,'01_Assumptions'!$B$4:$B$6))</f>
        <v>1231200</v>
      </c>
      <c r="F630" s="3">
        <f>'02_Actual_Revenue'!E630*(1+_xlfn.XLOOKUP("Digital Services",'01_Assumptions'!$A$4:$A$6,'01_Assumptions'!$C$4:$C$6))</f>
        <v>12.24</v>
      </c>
      <c r="G630" s="9">
        <f t="shared" si="27"/>
        <v>15069888</v>
      </c>
      <c r="H630" s="9">
        <f>G630*'02_Actual_Revenue'!H630</f>
        <v>4520966.3999999994</v>
      </c>
      <c r="I630" s="9">
        <f t="shared" si="28"/>
        <v>10548921.600000001</v>
      </c>
      <c r="J630" s="13">
        <f t="shared" si="29"/>
        <v>0.70000000000000007</v>
      </c>
    </row>
    <row r="631" spans="1:10">
      <c r="A631" s="5">
        <f>'02_Actual_Revenue'!A631</f>
        <v>46113</v>
      </c>
      <c r="B631" s="3" t="str">
        <f>'02_Actual_Revenue'!B631</f>
        <v>P008</v>
      </c>
      <c r="C631" s="3" t="str">
        <f>'02_Actual_Revenue'!C631</f>
        <v>R02</v>
      </c>
      <c r="D631" s="7">
        <f>'02_Actual_Revenue'!D631</f>
        <v>969000</v>
      </c>
      <c r="E631" s="7">
        <f>D631*(1+_xlfn.XLOOKUP("Digital Services",'01_Assumptions'!$A$4:$A$6,'01_Assumptions'!$B$4:$B$6))</f>
        <v>1046520.0000000001</v>
      </c>
      <c r="F631" s="3">
        <f>'02_Actual_Revenue'!E631*(1+_xlfn.XLOOKUP("Digital Services",'01_Assumptions'!$A$4:$A$6,'01_Assumptions'!$C$4:$C$6))</f>
        <v>12.24</v>
      </c>
      <c r="G631" s="9">
        <f t="shared" si="27"/>
        <v>12809404.800000001</v>
      </c>
      <c r="H631" s="9">
        <f>G631*'02_Actual_Revenue'!H631</f>
        <v>3842821.44</v>
      </c>
      <c r="I631" s="9">
        <f t="shared" si="28"/>
        <v>8966583.3600000013</v>
      </c>
      <c r="J631" s="13">
        <f t="shared" si="29"/>
        <v>0.70000000000000007</v>
      </c>
    </row>
    <row r="632" spans="1:10">
      <c r="A632" s="5">
        <f>'02_Actual_Revenue'!A632</f>
        <v>46113</v>
      </c>
      <c r="B632" s="3" t="str">
        <f>'02_Actual_Revenue'!B632</f>
        <v>P008</v>
      </c>
      <c r="C632" s="3" t="str">
        <f>'02_Actual_Revenue'!C632</f>
        <v>R03</v>
      </c>
      <c r="D632" s="7">
        <f>'02_Actual_Revenue'!D632</f>
        <v>1083000</v>
      </c>
      <c r="E632" s="7">
        <f>D632*(1+_xlfn.XLOOKUP("Digital Services",'01_Assumptions'!$A$4:$A$6,'01_Assumptions'!$B$4:$B$6))</f>
        <v>1169640</v>
      </c>
      <c r="F632" s="3">
        <f>'02_Actual_Revenue'!E632*(1+_xlfn.XLOOKUP("Digital Services",'01_Assumptions'!$A$4:$A$6,'01_Assumptions'!$C$4:$C$6))</f>
        <v>12.24</v>
      </c>
      <c r="G632" s="9">
        <f t="shared" si="27"/>
        <v>14316393.6</v>
      </c>
      <c r="H632" s="9">
        <f>G632*'02_Actual_Revenue'!H632</f>
        <v>4294918.08</v>
      </c>
      <c r="I632" s="9">
        <f t="shared" si="28"/>
        <v>10021475.52</v>
      </c>
      <c r="J632" s="13">
        <f t="shared" si="29"/>
        <v>0.7</v>
      </c>
    </row>
    <row r="633" spans="1:10">
      <c r="A633" s="5">
        <f>'02_Actual_Revenue'!A633</f>
        <v>46113</v>
      </c>
      <c r="B633" s="3" t="str">
        <f>'02_Actual_Revenue'!B633</f>
        <v>P008</v>
      </c>
      <c r="C633" s="3" t="str">
        <f>'02_Actual_Revenue'!C633</f>
        <v>R04</v>
      </c>
      <c r="D633" s="7">
        <f>'02_Actual_Revenue'!D633</f>
        <v>627000</v>
      </c>
      <c r="E633" s="7">
        <f>D633*(1+_xlfn.XLOOKUP("Digital Services",'01_Assumptions'!$A$4:$A$6,'01_Assumptions'!$B$4:$B$6))</f>
        <v>677160</v>
      </c>
      <c r="F633" s="3">
        <f>'02_Actual_Revenue'!E633*(1+_xlfn.XLOOKUP("Digital Services",'01_Assumptions'!$A$4:$A$6,'01_Assumptions'!$C$4:$C$6))</f>
        <v>12.24</v>
      </c>
      <c r="G633" s="9">
        <f t="shared" si="27"/>
        <v>8288438.4000000004</v>
      </c>
      <c r="H633" s="9">
        <f>G633*'02_Actual_Revenue'!H633</f>
        <v>2486531.52</v>
      </c>
      <c r="I633" s="9">
        <f t="shared" si="28"/>
        <v>5801906.8800000008</v>
      </c>
      <c r="J633" s="13">
        <f t="shared" si="29"/>
        <v>0.70000000000000007</v>
      </c>
    </row>
    <row r="634" spans="1:10">
      <c r="A634" s="5">
        <f>'02_Actual_Revenue'!A634</f>
        <v>46113</v>
      </c>
      <c r="B634" s="3" t="str">
        <f>'02_Actual_Revenue'!B634</f>
        <v>P009</v>
      </c>
      <c r="C634" s="3" t="str">
        <f>'02_Actual_Revenue'!C634</f>
        <v>R01</v>
      </c>
      <c r="D634" s="7">
        <f>'02_Actual_Revenue'!D634</f>
        <v>760000</v>
      </c>
      <c r="E634" s="7">
        <f>D634*(1+_xlfn.XLOOKUP("Digital Services",'01_Assumptions'!$A$4:$A$6,'01_Assumptions'!$B$4:$B$6))</f>
        <v>820800</v>
      </c>
      <c r="F634" s="3">
        <f>'02_Actual_Revenue'!E634*(1+_xlfn.XLOOKUP("Digital Services",'01_Assumptions'!$A$4:$A$6,'01_Assumptions'!$C$4:$C$6))</f>
        <v>15.3</v>
      </c>
      <c r="G634" s="9">
        <f t="shared" si="27"/>
        <v>12558240</v>
      </c>
      <c r="H634" s="9">
        <f>G634*'02_Actual_Revenue'!H634</f>
        <v>4395384</v>
      </c>
      <c r="I634" s="9">
        <f t="shared" si="28"/>
        <v>8162856</v>
      </c>
      <c r="J634" s="13">
        <f t="shared" si="29"/>
        <v>0.65</v>
      </c>
    </row>
    <row r="635" spans="1:10">
      <c r="A635" s="5">
        <f>'02_Actual_Revenue'!A635</f>
        <v>46113</v>
      </c>
      <c r="B635" s="3" t="str">
        <f>'02_Actual_Revenue'!B635</f>
        <v>P009</v>
      </c>
      <c r="C635" s="3" t="str">
        <f>'02_Actual_Revenue'!C635</f>
        <v>R02</v>
      </c>
      <c r="D635" s="7">
        <f>'02_Actual_Revenue'!D635</f>
        <v>646000</v>
      </c>
      <c r="E635" s="7">
        <f>D635*(1+_xlfn.XLOOKUP("Digital Services",'01_Assumptions'!$A$4:$A$6,'01_Assumptions'!$B$4:$B$6))</f>
        <v>697680</v>
      </c>
      <c r="F635" s="3">
        <f>'02_Actual_Revenue'!E635*(1+_xlfn.XLOOKUP("Digital Services",'01_Assumptions'!$A$4:$A$6,'01_Assumptions'!$C$4:$C$6))</f>
        <v>15.3</v>
      </c>
      <c r="G635" s="9">
        <f t="shared" si="27"/>
        <v>10674504</v>
      </c>
      <c r="H635" s="9">
        <f>G635*'02_Actual_Revenue'!H635</f>
        <v>3736076.4</v>
      </c>
      <c r="I635" s="9">
        <f t="shared" si="28"/>
        <v>6938427.5999999996</v>
      </c>
      <c r="J635" s="13">
        <f t="shared" si="29"/>
        <v>0.64999999999999991</v>
      </c>
    </row>
    <row r="636" spans="1:10">
      <c r="A636" s="5">
        <f>'02_Actual_Revenue'!A636</f>
        <v>46113</v>
      </c>
      <c r="B636" s="3" t="str">
        <f>'02_Actual_Revenue'!B636</f>
        <v>P009</v>
      </c>
      <c r="C636" s="3" t="str">
        <f>'02_Actual_Revenue'!C636</f>
        <v>R03</v>
      </c>
      <c r="D636" s="7">
        <f>'02_Actual_Revenue'!D636</f>
        <v>722000</v>
      </c>
      <c r="E636" s="7">
        <f>D636*(1+_xlfn.XLOOKUP("Digital Services",'01_Assumptions'!$A$4:$A$6,'01_Assumptions'!$B$4:$B$6))</f>
        <v>779760</v>
      </c>
      <c r="F636" s="3">
        <f>'02_Actual_Revenue'!E636*(1+_xlfn.XLOOKUP("Digital Services",'01_Assumptions'!$A$4:$A$6,'01_Assumptions'!$C$4:$C$6))</f>
        <v>15.3</v>
      </c>
      <c r="G636" s="9">
        <f t="shared" si="27"/>
        <v>11930328</v>
      </c>
      <c r="H636" s="9">
        <f>G636*'02_Actual_Revenue'!H636</f>
        <v>4175614.8</v>
      </c>
      <c r="I636" s="9">
        <f t="shared" si="28"/>
        <v>7754713.2000000002</v>
      </c>
      <c r="J636" s="13">
        <f t="shared" si="29"/>
        <v>0.65</v>
      </c>
    </row>
    <row r="637" spans="1:10">
      <c r="A637" s="5">
        <f>'02_Actual_Revenue'!A637</f>
        <v>46113</v>
      </c>
      <c r="B637" s="3" t="str">
        <f>'02_Actual_Revenue'!B637</f>
        <v>P009</v>
      </c>
      <c r="C637" s="3" t="str">
        <f>'02_Actual_Revenue'!C637</f>
        <v>R04</v>
      </c>
      <c r="D637" s="7">
        <f>'02_Actual_Revenue'!D637</f>
        <v>418000</v>
      </c>
      <c r="E637" s="7">
        <f>D637*(1+_xlfn.XLOOKUP("Digital Services",'01_Assumptions'!$A$4:$A$6,'01_Assumptions'!$B$4:$B$6))</f>
        <v>451440.00000000006</v>
      </c>
      <c r="F637" s="3">
        <f>'02_Actual_Revenue'!E637*(1+_xlfn.XLOOKUP("Digital Services",'01_Assumptions'!$A$4:$A$6,'01_Assumptions'!$C$4:$C$6))</f>
        <v>15.3</v>
      </c>
      <c r="G637" s="9">
        <f t="shared" si="27"/>
        <v>6907032.0000000009</v>
      </c>
      <c r="H637" s="9">
        <f>G637*'02_Actual_Revenue'!H637</f>
        <v>2417461.2000000002</v>
      </c>
      <c r="I637" s="9">
        <f t="shared" si="28"/>
        <v>4489570.8000000007</v>
      </c>
      <c r="J637" s="13">
        <f t="shared" si="29"/>
        <v>0.65</v>
      </c>
    </row>
    <row r="638" spans="1:10">
      <c r="A638" s="5">
        <f>'02_Actual_Revenue'!A638</f>
        <v>46113</v>
      </c>
      <c r="B638" s="3" t="str">
        <f>'02_Actual_Revenue'!B638</f>
        <v>P010</v>
      </c>
      <c r="C638" s="3" t="str">
        <f>'02_Actual_Revenue'!C638</f>
        <v>R01</v>
      </c>
      <c r="D638" s="7">
        <f>'02_Actual_Revenue'!D638</f>
        <v>855000</v>
      </c>
      <c r="E638" s="7">
        <f>D638*(1+_xlfn.XLOOKUP("Digital Services",'01_Assumptions'!$A$4:$A$6,'01_Assumptions'!$B$4:$B$6))</f>
        <v>923400.00000000012</v>
      </c>
      <c r="F638" s="3">
        <f>'02_Actual_Revenue'!E638*(1+_xlfn.XLOOKUP("Digital Services",'01_Assumptions'!$A$4:$A$6,'01_Assumptions'!$C$4:$C$6))</f>
        <v>8.16</v>
      </c>
      <c r="G638" s="9">
        <f t="shared" si="27"/>
        <v>7534944.0000000009</v>
      </c>
      <c r="H638" s="9">
        <f>G638*'02_Actual_Revenue'!H638</f>
        <v>1130241.6000000001</v>
      </c>
      <c r="I638" s="9">
        <f t="shared" si="28"/>
        <v>6404702.4000000004</v>
      </c>
      <c r="J638" s="13">
        <f t="shared" si="29"/>
        <v>0.85</v>
      </c>
    </row>
    <row r="639" spans="1:10">
      <c r="A639" s="5">
        <f>'02_Actual_Revenue'!A639</f>
        <v>46113</v>
      </c>
      <c r="B639" s="3" t="str">
        <f>'02_Actual_Revenue'!B639</f>
        <v>P010</v>
      </c>
      <c r="C639" s="3" t="str">
        <f>'02_Actual_Revenue'!C639</f>
        <v>R02</v>
      </c>
      <c r="D639" s="7">
        <f>'02_Actual_Revenue'!D639</f>
        <v>726750</v>
      </c>
      <c r="E639" s="7">
        <f>D639*(1+_xlfn.XLOOKUP("Digital Services",'01_Assumptions'!$A$4:$A$6,'01_Assumptions'!$B$4:$B$6))</f>
        <v>784890</v>
      </c>
      <c r="F639" s="3">
        <f>'02_Actual_Revenue'!E639*(1+_xlfn.XLOOKUP("Digital Services",'01_Assumptions'!$A$4:$A$6,'01_Assumptions'!$C$4:$C$6))</f>
        <v>8.16</v>
      </c>
      <c r="G639" s="9">
        <f t="shared" si="27"/>
        <v>6404702.4000000004</v>
      </c>
      <c r="H639" s="9">
        <f>G639*'02_Actual_Revenue'!H639</f>
        <v>960705.36</v>
      </c>
      <c r="I639" s="9">
        <f t="shared" si="28"/>
        <v>5443997.04</v>
      </c>
      <c r="J639" s="13">
        <f t="shared" si="29"/>
        <v>0.85</v>
      </c>
    </row>
    <row r="640" spans="1:10">
      <c r="A640" s="5">
        <f>'02_Actual_Revenue'!A640</f>
        <v>46113</v>
      </c>
      <c r="B640" s="3" t="str">
        <f>'02_Actual_Revenue'!B640</f>
        <v>P010</v>
      </c>
      <c r="C640" s="3" t="str">
        <f>'02_Actual_Revenue'!C640</f>
        <v>R03</v>
      </c>
      <c r="D640" s="7">
        <f>'02_Actual_Revenue'!D640</f>
        <v>812250</v>
      </c>
      <c r="E640" s="7">
        <f>D640*(1+_xlfn.XLOOKUP("Digital Services",'01_Assumptions'!$A$4:$A$6,'01_Assumptions'!$B$4:$B$6))</f>
        <v>877230</v>
      </c>
      <c r="F640" s="3">
        <f>'02_Actual_Revenue'!E640*(1+_xlfn.XLOOKUP("Digital Services",'01_Assumptions'!$A$4:$A$6,'01_Assumptions'!$C$4:$C$6))</f>
        <v>8.16</v>
      </c>
      <c r="G640" s="9">
        <f t="shared" si="27"/>
        <v>7158196.7999999998</v>
      </c>
      <c r="H640" s="9">
        <f>G640*'02_Actual_Revenue'!H640</f>
        <v>1073729.52</v>
      </c>
      <c r="I640" s="9">
        <f t="shared" si="28"/>
        <v>6084467.2799999993</v>
      </c>
      <c r="J640" s="13">
        <f t="shared" si="29"/>
        <v>0.85</v>
      </c>
    </row>
    <row r="641" spans="1:10">
      <c r="A641" s="5">
        <f>'02_Actual_Revenue'!A641</f>
        <v>46113</v>
      </c>
      <c r="B641" s="3" t="str">
        <f>'02_Actual_Revenue'!B641</f>
        <v>P010</v>
      </c>
      <c r="C641" s="3" t="str">
        <f>'02_Actual_Revenue'!C641</f>
        <v>R04</v>
      </c>
      <c r="D641" s="7">
        <f>'02_Actual_Revenue'!D641</f>
        <v>470250</v>
      </c>
      <c r="E641" s="7">
        <f>D641*(1+_xlfn.XLOOKUP("Digital Services",'01_Assumptions'!$A$4:$A$6,'01_Assumptions'!$B$4:$B$6))</f>
        <v>507870.00000000006</v>
      </c>
      <c r="F641" s="3">
        <f>'02_Actual_Revenue'!E641*(1+_xlfn.XLOOKUP("Digital Services",'01_Assumptions'!$A$4:$A$6,'01_Assumptions'!$C$4:$C$6))</f>
        <v>8.16</v>
      </c>
      <c r="G641" s="9">
        <f t="shared" si="27"/>
        <v>4144219.2000000007</v>
      </c>
      <c r="H641" s="9">
        <f>G641*'02_Actual_Revenue'!H641</f>
        <v>621632.88000000012</v>
      </c>
      <c r="I641" s="9">
        <f t="shared" si="28"/>
        <v>3522586.3200000003</v>
      </c>
      <c r="J641" s="13">
        <f t="shared" si="29"/>
        <v>0.85</v>
      </c>
    </row>
    <row r="642" spans="1:10">
      <c r="A642" s="5">
        <f>'02_Actual_Revenue'!A642</f>
        <v>46143</v>
      </c>
      <c r="B642" s="3" t="str">
        <f>'02_Actual_Revenue'!B642</f>
        <v>P001</v>
      </c>
      <c r="C642" s="3" t="str">
        <f>'02_Actual_Revenue'!C642</f>
        <v>R01</v>
      </c>
      <c r="D642" s="7">
        <f>'02_Actual_Revenue'!D642</f>
        <v>250000</v>
      </c>
      <c r="E642" s="7">
        <f>D642*(1+_xlfn.XLOOKUP("Devices",'01_Assumptions'!$A$4:$A$6,'01_Assumptions'!$B$4:$B$6))</f>
        <v>265000</v>
      </c>
      <c r="F642" s="3">
        <f>'02_Actual_Revenue'!E642*(1+_xlfn.XLOOKUP("Devices",'01_Assumptions'!$A$4:$A$6,'01_Assumptions'!$C$4:$C$6))</f>
        <v>712.98</v>
      </c>
      <c r="G642" s="9">
        <f t="shared" si="27"/>
        <v>188939700</v>
      </c>
      <c r="H642" s="9">
        <f>G642*'02_Actual_Revenue'!H642</f>
        <v>117142614</v>
      </c>
      <c r="I642" s="9">
        <f t="shared" si="28"/>
        <v>71797086</v>
      </c>
      <c r="J642" s="13">
        <f t="shared" si="29"/>
        <v>0.38</v>
      </c>
    </row>
    <row r="643" spans="1:10">
      <c r="A643" s="5">
        <f>'02_Actual_Revenue'!A643</f>
        <v>46143</v>
      </c>
      <c r="B643" s="3" t="str">
        <f>'02_Actual_Revenue'!B643</f>
        <v>P001</v>
      </c>
      <c r="C643" s="3" t="str">
        <f>'02_Actual_Revenue'!C643</f>
        <v>R02</v>
      </c>
      <c r="D643" s="7">
        <f>'02_Actual_Revenue'!D643</f>
        <v>212500</v>
      </c>
      <c r="E643" s="7">
        <f>D643*(1+_xlfn.XLOOKUP("Devices",'01_Assumptions'!$A$4:$A$6,'01_Assumptions'!$B$4:$B$6))</f>
        <v>225250</v>
      </c>
      <c r="F643" s="3">
        <f>'02_Actual_Revenue'!E643*(1+_xlfn.XLOOKUP("Devices",'01_Assumptions'!$A$4:$A$6,'01_Assumptions'!$C$4:$C$6))</f>
        <v>712.98</v>
      </c>
      <c r="G643" s="9">
        <f t="shared" ref="G643:G706" si="30">E643*F643</f>
        <v>160598745</v>
      </c>
      <c r="H643" s="9">
        <f>G643*'02_Actual_Revenue'!H643</f>
        <v>99571221.900000006</v>
      </c>
      <c r="I643" s="9">
        <f t="shared" ref="I643:I706" si="31">G643-H643</f>
        <v>61027523.099999994</v>
      </c>
      <c r="J643" s="13">
        <f t="shared" ref="J643:J706" si="32">I643/G643</f>
        <v>0.37999999999999995</v>
      </c>
    </row>
    <row r="644" spans="1:10">
      <c r="A644" s="5">
        <f>'02_Actual_Revenue'!A644</f>
        <v>46143</v>
      </c>
      <c r="B644" s="3" t="str">
        <f>'02_Actual_Revenue'!B644</f>
        <v>P001</v>
      </c>
      <c r="C644" s="3" t="str">
        <f>'02_Actual_Revenue'!C644</f>
        <v>R03</v>
      </c>
      <c r="D644" s="7">
        <f>'02_Actual_Revenue'!D644</f>
        <v>237500</v>
      </c>
      <c r="E644" s="7">
        <f>D644*(1+_xlfn.XLOOKUP("Devices",'01_Assumptions'!$A$4:$A$6,'01_Assumptions'!$B$4:$B$6))</f>
        <v>251750</v>
      </c>
      <c r="F644" s="3">
        <f>'02_Actual_Revenue'!E644*(1+_xlfn.XLOOKUP("Devices",'01_Assumptions'!$A$4:$A$6,'01_Assumptions'!$C$4:$C$6))</f>
        <v>712.98</v>
      </c>
      <c r="G644" s="9">
        <f t="shared" si="30"/>
        <v>179492715</v>
      </c>
      <c r="H644" s="9">
        <f>G644*'02_Actual_Revenue'!H644</f>
        <v>111285483.3</v>
      </c>
      <c r="I644" s="9">
        <f t="shared" si="31"/>
        <v>68207231.700000003</v>
      </c>
      <c r="J644" s="13">
        <f t="shared" si="32"/>
        <v>0.38</v>
      </c>
    </row>
    <row r="645" spans="1:10">
      <c r="A645" s="5">
        <f>'02_Actual_Revenue'!A645</f>
        <v>46143</v>
      </c>
      <c r="B645" s="3" t="str">
        <f>'02_Actual_Revenue'!B645</f>
        <v>P001</v>
      </c>
      <c r="C645" s="3" t="str">
        <f>'02_Actual_Revenue'!C645</f>
        <v>R04</v>
      </c>
      <c r="D645" s="7">
        <f>'02_Actual_Revenue'!D645</f>
        <v>137500</v>
      </c>
      <c r="E645" s="7">
        <f>D645*(1+_xlfn.XLOOKUP("Devices",'01_Assumptions'!$A$4:$A$6,'01_Assumptions'!$B$4:$B$6))</f>
        <v>145750</v>
      </c>
      <c r="F645" s="3">
        <f>'02_Actual_Revenue'!E645*(1+_xlfn.XLOOKUP("Devices",'01_Assumptions'!$A$4:$A$6,'01_Assumptions'!$C$4:$C$6))</f>
        <v>712.98</v>
      </c>
      <c r="G645" s="9">
        <f t="shared" si="30"/>
        <v>103916835</v>
      </c>
      <c r="H645" s="9">
        <f>G645*'02_Actual_Revenue'!H645</f>
        <v>64428437.700000003</v>
      </c>
      <c r="I645" s="9">
        <f t="shared" si="31"/>
        <v>39488397.299999997</v>
      </c>
      <c r="J645" s="13">
        <f t="shared" si="32"/>
        <v>0.37999999999999995</v>
      </c>
    </row>
    <row r="646" spans="1:10">
      <c r="A646" s="5">
        <f>'02_Actual_Revenue'!A646</f>
        <v>46143</v>
      </c>
      <c r="B646" s="3" t="str">
        <f>'02_Actual_Revenue'!B646</f>
        <v>P002</v>
      </c>
      <c r="C646" s="3" t="str">
        <f>'02_Actual_Revenue'!C646</f>
        <v>R01</v>
      </c>
      <c r="D646" s="7">
        <f>'02_Actual_Revenue'!D646</f>
        <v>120000</v>
      </c>
      <c r="E646" s="7">
        <f>D646*(1+_xlfn.XLOOKUP("Devices",'01_Assumptions'!$A$4:$A$6,'01_Assumptions'!$B$4:$B$6))</f>
        <v>127200</v>
      </c>
      <c r="F646" s="3">
        <f>'02_Actual_Revenue'!E646*(1+_xlfn.XLOOKUP("Devices",'01_Assumptions'!$A$4:$A$6,'01_Assumptions'!$C$4:$C$6))</f>
        <v>1018.98</v>
      </c>
      <c r="G646" s="9">
        <f t="shared" si="30"/>
        <v>129614256</v>
      </c>
      <c r="H646" s="9">
        <f>G646*'02_Actual_Revenue'!H646</f>
        <v>75176268.479999989</v>
      </c>
      <c r="I646" s="9">
        <f t="shared" si="31"/>
        <v>54437987.520000011</v>
      </c>
      <c r="J646" s="13">
        <f t="shared" si="32"/>
        <v>0.4200000000000001</v>
      </c>
    </row>
    <row r="647" spans="1:10">
      <c r="A647" s="5">
        <f>'02_Actual_Revenue'!A647</f>
        <v>46143</v>
      </c>
      <c r="B647" s="3" t="str">
        <f>'02_Actual_Revenue'!B647</f>
        <v>P002</v>
      </c>
      <c r="C647" s="3" t="str">
        <f>'02_Actual_Revenue'!C647</f>
        <v>R02</v>
      </c>
      <c r="D647" s="7">
        <f>'02_Actual_Revenue'!D647</f>
        <v>102000</v>
      </c>
      <c r="E647" s="7">
        <f>D647*(1+_xlfn.XLOOKUP("Devices",'01_Assumptions'!$A$4:$A$6,'01_Assumptions'!$B$4:$B$6))</f>
        <v>108120</v>
      </c>
      <c r="F647" s="3">
        <f>'02_Actual_Revenue'!E647*(1+_xlfn.XLOOKUP("Devices",'01_Assumptions'!$A$4:$A$6,'01_Assumptions'!$C$4:$C$6))</f>
        <v>1018.98</v>
      </c>
      <c r="G647" s="9">
        <f t="shared" si="30"/>
        <v>110172117.60000001</v>
      </c>
      <c r="H647" s="9">
        <f>G647*'02_Actual_Revenue'!H647</f>
        <v>63899828.208000004</v>
      </c>
      <c r="I647" s="9">
        <f t="shared" si="31"/>
        <v>46272289.392000005</v>
      </c>
      <c r="J647" s="13">
        <f t="shared" si="32"/>
        <v>0.42</v>
      </c>
    </row>
    <row r="648" spans="1:10">
      <c r="A648" s="5">
        <f>'02_Actual_Revenue'!A648</f>
        <v>46143</v>
      </c>
      <c r="B648" s="3" t="str">
        <f>'02_Actual_Revenue'!B648</f>
        <v>P002</v>
      </c>
      <c r="C648" s="3" t="str">
        <f>'02_Actual_Revenue'!C648</f>
        <v>R03</v>
      </c>
      <c r="D648" s="7">
        <f>'02_Actual_Revenue'!D648</f>
        <v>114000</v>
      </c>
      <c r="E648" s="7">
        <f>D648*(1+_xlfn.XLOOKUP("Devices",'01_Assumptions'!$A$4:$A$6,'01_Assumptions'!$B$4:$B$6))</f>
        <v>120840</v>
      </c>
      <c r="F648" s="3">
        <f>'02_Actual_Revenue'!E648*(1+_xlfn.XLOOKUP("Devices",'01_Assumptions'!$A$4:$A$6,'01_Assumptions'!$C$4:$C$6))</f>
        <v>1018.98</v>
      </c>
      <c r="G648" s="9">
        <f t="shared" si="30"/>
        <v>123133543.2</v>
      </c>
      <c r="H648" s="9">
        <f>G648*'02_Actual_Revenue'!H648</f>
        <v>71417455.055999994</v>
      </c>
      <c r="I648" s="9">
        <f t="shared" si="31"/>
        <v>51716088.144000009</v>
      </c>
      <c r="J648" s="13">
        <f t="shared" si="32"/>
        <v>0.42000000000000004</v>
      </c>
    </row>
    <row r="649" spans="1:10">
      <c r="A649" s="5">
        <f>'02_Actual_Revenue'!A649</f>
        <v>46143</v>
      </c>
      <c r="B649" s="3" t="str">
        <f>'02_Actual_Revenue'!B649</f>
        <v>P002</v>
      </c>
      <c r="C649" s="3" t="str">
        <f>'02_Actual_Revenue'!C649</f>
        <v>R04</v>
      </c>
      <c r="D649" s="7">
        <f>'02_Actual_Revenue'!D649</f>
        <v>66000</v>
      </c>
      <c r="E649" s="7">
        <f>D649*(1+_xlfn.XLOOKUP("Devices",'01_Assumptions'!$A$4:$A$6,'01_Assumptions'!$B$4:$B$6))</f>
        <v>69960</v>
      </c>
      <c r="F649" s="3">
        <f>'02_Actual_Revenue'!E649*(1+_xlfn.XLOOKUP("Devices",'01_Assumptions'!$A$4:$A$6,'01_Assumptions'!$C$4:$C$6))</f>
        <v>1018.98</v>
      </c>
      <c r="G649" s="9">
        <f t="shared" si="30"/>
        <v>71287840.799999997</v>
      </c>
      <c r="H649" s="9">
        <f>G649*'02_Actual_Revenue'!H649</f>
        <v>41346947.663999997</v>
      </c>
      <c r="I649" s="9">
        <f t="shared" si="31"/>
        <v>29940893.136</v>
      </c>
      <c r="J649" s="13">
        <f t="shared" si="32"/>
        <v>0.42000000000000004</v>
      </c>
    </row>
    <row r="650" spans="1:10">
      <c r="A650" s="5">
        <f>'02_Actual_Revenue'!A650</f>
        <v>46143</v>
      </c>
      <c r="B650" s="3" t="str">
        <f>'02_Actual_Revenue'!B650</f>
        <v>P003</v>
      </c>
      <c r="C650" s="3" t="str">
        <f>'02_Actual_Revenue'!C650</f>
        <v>R01</v>
      </c>
      <c r="D650" s="7">
        <f>'02_Actual_Revenue'!D650</f>
        <v>140000</v>
      </c>
      <c r="E650" s="7">
        <f>D650*(1+_xlfn.XLOOKUP("Devices",'01_Assumptions'!$A$4:$A$6,'01_Assumptions'!$B$4:$B$6))</f>
        <v>148400</v>
      </c>
      <c r="F650" s="3">
        <f>'02_Actual_Revenue'!E650*(1+_xlfn.XLOOKUP("Devices",'01_Assumptions'!$A$4:$A$6,'01_Assumptions'!$C$4:$C$6))</f>
        <v>559.98</v>
      </c>
      <c r="G650" s="9">
        <f t="shared" si="30"/>
        <v>83101032</v>
      </c>
      <c r="H650" s="9">
        <f>G650*'02_Actual_Revenue'!H650</f>
        <v>49860619.199999996</v>
      </c>
      <c r="I650" s="9">
        <f t="shared" si="31"/>
        <v>33240412.800000004</v>
      </c>
      <c r="J650" s="13">
        <f t="shared" si="32"/>
        <v>0.40000000000000008</v>
      </c>
    </row>
    <row r="651" spans="1:10">
      <c r="A651" s="5">
        <f>'02_Actual_Revenue'!A651</f>
        <v>46143</v>
      </c>
      <c r="B651" s="3" t="str">
        <f>'02_Actual_Revenue'!B651</f>
        <v>P003</v>
      </c>
      <c r="C651" s="3" t="str">
        <f>'02_Actual_Revenue'!C651</f>
        <v>R02</v>
      </c>
      <c r="D651" s="7">
        <f>'02_Actual_Revenue'!D651</f>
        <v>119000</v>
      </c>
      <c r="E651" s="7">
        <f>D651*(1+_xlfn.XLOOKUP("Devices",'01_Assumptions'!$A$4:$A$6,'01_Assumptions'!$B$4:$B$6))</f>
        <v>126140</v>
      </c>
      <c r="F651" s="3">
        <f>'02_Actual_Revenue'!E651*(1+_xlfn.XLOOKUP("Devices",'01_Assumptions'!$A$4:$A$6,'01_Assumptions'!$C$4:$C$6))</f>
        <v>559.98</v>
      </c>
      <c r="G651" s="9">
        <f t="shared" si="30"/>
        <v>70635877.200000003</v>
      </c>
      <c r="H651" s="9">
        <f>G651*'02_Actual_Revenue'!H651</f>
        <v>42381526.32</v>
      </c>
      <c r="I651" s="9">
        <f t="shared" si="31"/>
        <v>28254350.880000003</v>
      </c>
      <c r="J651" s="13">
        <f t="shared" si="32"/>
        <v>0.4</v>
      </c>
    </row>
    <row r="652" spans="1:10">
      <c r="A652" s="5">
        <f>'02_Actual_Revenue'!A652</f>
        <v>46143</v>
      </c>
      <c r="B652" s="3" t="str">
        <f>'02_Actual_Revenue'!B652</f>
        <v>P003</v>
      </c>
      <c r="C652" s="3" t="str">
        <f>'02_Actual_Revenue'!C652</f>
        <v>R03</v>
      </c>
      <c r="D652" s="7">
        <f>'02_Actual_Revenue'!D652</f>
        <v>133000</v>
      </c>
      <c r="E652" s="7">
        <f>D652*(1+_xlfn.XLOOKUP("Devices",'01_Assumptions'!$A$4:$A$6,'01_Assumptions'!$B$4:$B$6))</f>
        <v>140980</v>
      </c>
      <c r="F652" s="3">
        <f>'02_Actual_Revenue'!E652*(1+_xlfn.XLOOKUP("Devices",'01_Assumptions'!$A$4:$A$6,'01_Assumptions'!$C$4:$C$6))</f>
        <v>559.98</v>
      </c>
      <c r="G652" s="9">
        <f t="shared" si="30"/>
        <v>78945980.400000006</v>
      </c>
      <c r="H652" s="9">
        <f>G652*'02_Actual_Revenue'!H652</f>
        <v>47367588.240000002</v>
      </c>
      <c r="I652" s="9">
        <f t="shared" si="31"/>
        <v>31578392.160000004</v>
      </c>
      <c r="J652" s="13">
        <f t="shared" si="32"/>
        <v>0.4</v>
      </c>
    </row>
    <row r="653" spans="1:10">
      <c r="A653" s="5">
        <f>'02_Actual_Revenue'!A653</f>
        <v>46143</v>
      </c>
      <c r="B653" s="3" t="str">
        <f>'02_Actual_Revenue'!B653</f>
        <v>P003</v>
      </c>
      <c r="C653" s="3" t="str">
        <f>'02_Actual_Revenue'!C653</f>
        <v>R04</v>
      </c>
      <c r="D653" s="7">
        <f>'02_Actual_Revenue'!D653</f>
        <v>77000</v>
      </c>
      <c r="E653" s="7">
        <f>D653*(1+_xlfn.XLOOKUP("Devices",'01_Assumptions'!$A$4:$A$6,'01_Assumptions'!$B$4:$B$6))</f>
        <v>81620</v>
      </c>
      <c r="F653" s="3">
        <f>'02_Actual_Revenue'!E653*(1+_xlfn.XLOOKUP("Devices",'01_Assumptions'!$A$4:$A$6,'01_Assumptions'!$C$4:$C$6))</f>
        <v>559.98</v>
      </c>
      <c r="G653" s="9">
        <f t="shared" si="30"/>
        <v>45705567.600000001</v>
      </c>
      <c r="H653" s="9">
        <f>G653*'02_Actual_Revenue'!H653</f>
        <v>27423340.559999999</v>
      </c>
      <c r="I653" s="9">
        <f t="shared" si="31"/>
        <v>18282227.040000003</v>
      </c>
      <c r="J653" s="13">
        <f t="shared" si="32"/>
        <v>0.4</v>
      </c>
    </row>
    <row r="654" spans="1:10">
      <c r="A654" s="5">
        <f>'02_Actual_Revenue'!A654</f>
        <v>46143</v>
      </c>
      <c r="B654" s="3" t="str">
        <f>'02_Actual_Revenue'!B654</f>
        <v>P004</v>
      </c>
      <c r="C654" s="3" t="str">
        <f>'02_Actual_Revenue'!C654</f>
        <v>R01</v>
      </c>
      <c r="D654" s="7">
        <f>'02_Actual_Revenue'!D654</f>
        <v>70000</v>
      </c>
      <c r="E654" s="7">
        <f>D654*(1+_xlfn.XLOOKUP("Devices",'01_Assumptions'!$A$4:$A$6,'01_Assumptions'!$B$4:$B$6))</f>
        <v>74200</v>
      </c>
      <c r="F654" s="3">
        <f>'02_Actual_Revenue'!E654*(1+_xlfn.XLOOKUP("Devices",'01_Assumptions'!$A$4:$A$6,'01_Assumptions'!$C$4:$C$6))</f>
        <v>1222.98</v>
      </c>
      <c r="G654" s="9">
        <f t="shared" si="30"/>
        <v>90745116</v>
      </c>
      <c r="H654" s="9">
        <f>G654*'02_Actual_Revenue'!H654</f>
        <v>49909813.800000004</v>
      </c>
      <c r="I654" s="9">
        <f t="shared" si="31"/>
        <v>40835302.199999996</v>
      </c>
      <c r="J654" s="13">
        <f t="shared" si="32"/>
        <v>0.44999999999999996</v>
      </c>
    </row>
    <row r="655" spans="1:10">
      <c r="A655" s="5">
        <f>'02_Actual_Revenue'!A655</f>
        <v>46143</v>
      </c>
      <c r="B655" s="3" t="str">
        <f>'02_Actual_Revenue'!B655</f>
        <v>P004</v>
      </c>
      <c r="C655" s="3" t="str">
        <f>'02_Actual_Revenue'!C655</f>
        <v>R02</v>
      </c>
      <c r="D655" s="7">
        <f>'02_Actual_Revenue'!D655</f>
        <v>59500</v>
      </c>
      <c r="E655" s="7">
        <f>D655*(1+_xlfn.XLOOKUP("Devices",'01_Assumptions'!$A$4:$A$6,'01_Assumptions'!$B$4:$B$6))</f>
        <v>63070</v>
      </c>
      <c r="F655" s="3">
        <f>'02_Actual_Revenue'!E655*(1+_xlfn.XLOOKUP("Devices",'01_Assumptions'!$A$4:$A$6,'01_Assumptions'!$C$4:$C$6))</f>
        <v>1222.98</v>
      </c>
      <c r="G655" s="9">
        <f t="shared" si="30"/>
        <v>77133348.599999994</v>
      </c>
      <c r="H655" s="9">
        <f>G655*'02_Actual_Revenue'!H655</f>
        <v>42423341.729999997</v>
      </c>
      <c r="I655" s="9">
        <f t="shared" si="31"/>
        <v>34710006.869999997</v>
      </c>
      <c r="J655" s="13">
        <f t="shared" si="32"/>
        <v>0.45</v>
      </c>
    </row>
    <row r="656" spans="1:10">
      <c r="A656" s="5">
        <f>'02_Actual_Revenue'!A656</f>
        <v>46143</v>
      </c>
      <c r="B656" s="3" t="str">
        <f>'02_Actual_Revenue'!B656</f>
        <v>P004</v>
      </c>
      <c r="C656" s="3" t="str">
        <f>'02_Actual_Revenue'!C656</f>
        <v>R03</v>
      </c>
      <c r="D656" s="7">
        <f>'02_Actual_Revenue'!D656</f>
        <v>66500</v>
      </c>
      <c r="E656" s="7">
        <f>D656*(1+_xlfn.XLOOKUP("Devices",'01_Assumptions'!$A$4:$A$6,'01_Assumptions'!$B$4:$B$6))</f>
        <v>70490</v>
      </c>
      <c r="F656" s="3">
        <f>'02_Actual_Revenue'!E656*(1+_xlfn.XLOOKUP("Devices",'01_Assumptions'!$A$4:$A$6,'01_Assumptions'!$C$4:$C$6))</f>
        <v>1222.98</v>
      </c>
      <c r="G656" s="9">
        <f t="shared" si="30"/>
        <v>86207860.200000003</v>
      </c>
      <c r="H656" s="9">
        <f>G656*'02_Actual_Revenue'!H656</f>
        <v>47414323.110000007</v>
      </c>
      <c r="I656" s="9">
        <f t="shared" si="31"/>
        <v>38793537.089999996</v>
      </c>
      <c r="J656" s="13">
        <f t="shared" si="32"/>
        <v>0.44999999999999996</v>
      </c>
    </row>
    <row r="657" spans="1:10">
      <c r="A657" s="5">
        <f>'02_Actual_Revenue'!A657</f>
        <v>46143</v>
      </c>
      <c r="B657" s="3" t="str">
        <f>'02_Actual_Revenue'!B657</f>
        <v>P004</v>
      </c>
      <c r="C657" s="3" t="str">
        <f>'02_Actual_Revenue'!C657</f>
        <v>R04</v>
      </c>
      <c r="D657" s="7">
        <f>'02_Actual_Revenue'!D657</f>
        <v>38500</v>
      </c>
      <c r="E657" s="7">
        <f>D657*(1+_xlfn.XLOOKUP("Devices",'01_Assumptions'!$A$4:$A$6,'01_Assumptions'!$B$4:$B$6))</f>
        <v>40810</v>
      </c>
      <c r="F657" s="3">
        <f>'02_Actual_Revenue'!E657*(1+_xlfn.XLOOKUP("Devices",'01_Assumptions'!$A$4:$A$6,'01_Assumptions'!$C$4:$C$6))</f>
        <v>1222.98</v>
      </c>
      <c r="G657" s="9">
        <f t="shared" si="30"/>
        <v>49909813.799999997</v>
      </c>
      <c r="H657" s="9">
        <f>G657*'02_Actual_Revenue'!H657</f>
        <v>27450397.59</v>
      </c>
      <c r="I657" s="9">
        <f t="shared" si="31"/>
        <v>22459416.209999997</v>
      </c>
      <c r="J657" s="13">
        <f t="shared" si="32"/>
        <v>0.44999999999999996</v>
      </c>
    </row>
    <row r="658" spans="1:10">
      <c r="A658" s="5">
        <f>'02_Actual_Revenue'!A658</f>
        <v>46143</v>
      </c>
      <c r="B658" s="3" t="str">
        <f>'02_Actual_Revenue'!B658</f>
        <v>P005</v>
      </c>
      <c r="C658" s="3" t="str">
        <f>'02_Actual_Revenue'!C658</f>
        <v>R01</v>
      </c>
      <c r="D658" s="7">
        <f>'02_Actual_Revenue'!D658</f>
        <v>180000</v>
      </c>
      <c r="E658" s="7">
        <f>D658*(1+_xlfn.XLOOKUP("Devices",'01_Assumptions'!$A$4:$A$6,'01_Assumptions'!$B$4:$B$6))</f>
        <v>190800</v>
      </c>
      <c r="F658" s="3">
        <f>'02_Actual_Revenue'!E658*(1+_xlfn.XLOOKUP("Devices",'01_Assumptions'!$A$4:$A$6,'01_Assumptions'!$C$4:$C$6))</f>
        <v>304.98</v>
      </c>
      <c r="G658" s="9">
        <f t="shared" si="30"/>
        <v>58190184</v>
      </c>
      <c r="H658" s="9">
        <f>G658*'02_Actual_Revenue'!H658</f>
        <v>29095092</v>
      </c>
      <c r="I658" s="9">
        <f t="shared" si="31"/>
        <v>29095092</v>
      </c>
      <c r="J658" s="13">
        <f t="shared" si="32"/>
        <v>0.5</v>
      </c>
    </row>
    <row r="659" spans="1:10">
      <c r="A659" s="5">
        <f>'02_Actual_Revenue'!A659</f>
        <v>46143</v>
      </c>
      <c r="B659" s="3" t="str">
        <f>'02_Actual_Revenue'!B659</f>
        <v>P005</v>
      </c>
      <c r="C659" s="3" t="str">
        <f>'02_Actual_Revenue'!C659</f>
        <v>R02</v>
      </c>
      <c r="D659" s="7">
        <f>'02_Actual_Revenue'!D659</f>
        <v>153000</v>
      </c>
      <c r="E659" s="7">
        <f>D659*(1+_xlfn.XLOOKUP("Devices",'01_Assumptions'!$A$4:$A$6,'01_Assumptions'!$B$4:$B$6))</f>
        <v>162180</v>
      </c>
      <c r="F659" s="3">
        <f>'02_Actual_Revenue'!E659*(1+_xlfn.XLOOKUP("Devices",'01_Assumptions'!$A$4:$A$6,'01_Assumptions'!$C$4:$C$6))</f>
        <v>304.98</v>
      </c>
      <c r="G659" s="9">
        <f t="shared" si="30"/>
        <v>49461656.400000006</v>
      </c>
      <c r="H659" s="9">
        <f>G659*'02_Actual_Revenue'!H659</f>
        <v>24730828.200000003</v>
      </c>
      <c r="I659" s="9">
        <f t="shared" si="31"/>
        <v>24730828.200000003</v>
      </c>
      <c r="J659" s="13">
        <f t="shared" si="32"/>
        <v>0.5</v>
      </c>
    </row>
    <row r="660" spans="1:10">
      <c r="A660" s="5">
        <f>'02_Actual_Revenue'!A660</f>
        <v>46143</v>
      </c>
      <c r="B660" s="3" t="str">
        <f>'02_Actual_Revenue'!B660</f>
        <v>P005</v>
      </c>
      <c r="C660" s="3" t="str">
        <f>'02_Actual_Revenue'!C660</f>
        <v>R03</v>
      </c>
      <c r="D660" s="7">
        <f>'02_Actual_Revenue'!D660</f>
        <v>171000</v>
      </c>
      <c r="E660" s="7">
        <f>D660*(1+_xlfn.XLOOKUP("Devices",'01_Assumptions'!$A$4:$A$6,'01_Assumptions'!$B$4:$B$6))</f>
        <v>181260</v>
      </c>
      <c r="F660" s="3">
        <f>'02_Actual_Revenue'!E660*(1+_xlfn.XLOOKUP("Devices",'01_Assumptions'!$A$4:$A$6,'01_Assumptions'!$C$4:$C$6))</f>
        <v>304.98</v>
      </c>
      <c r="G660" s="9">
        <f t="shared" si="30"/>
        <v>55280674.800000004</v>
      </c>
      <c r="H660" s="9">
        <f>G660*'02_Actual_Revenue'!H660</f>
        <v>27640337.400000002</v>
      </c>
      <c r="I660" s="9">
        <f t="shared" si="31"/>
        <v>27640337.400000002</v>
      </c>
      <c r="J660" s="13">
        <f t="shared" si="32"/>
        <v>0.5</v>
      </c>
    </row>
    <row r="661" spans="1:10">
      <c r="A661" s="5">
        <f>'02_Actual_Revenue'!A661</f>
        <v>46143</v>
      </c>
      <c r="B661" s="3" t="str">
        <f>'02_Actual_Revenue'!B661</f>
        <v>P005</v>
      </c>
      <c r="C661" s="3" t="str">
        <f>'02_Actual_Revenue'!C661</f>
        <v>R04</v>
      </c>
      <c r="D661" s="7">
        <f>'02_Actual_Revenue'!D661</f>
        <v>99000</v>
      </c>
      <c r="E661" s="7">
        <f>D661*(1+_xlfn.XLOOKUP("Devices",'01_Assumptions'!$A$4:$A$6,'01_Assumptions'!$B$4:$B$6))</f>
        <v>104940</v>
      </c>
      <c r="F661" s="3">
        <f>'02_Actual_Revenue'!E661*(1+_xlfn.XLOOKUP("Devices",'01_Assumptions'!$A$4:$A$6,'01_Assumptions'!$C$4:$C$6))</f>
        <v>304.98</v>
      </c>
      <c r="G661" s="9">
        <f t="shared" si="30"/>
        <v>32004601.200000003</v>
      </c>
      <c r="H661" s="9">
        <f>G661*'02_Actual_Revenue'!H661</f>
        <v>16002300.600000001</v>
      </c>
      <c r="I661" s="9">
        <f t="shared" si="31"/>
        <v>16002300.600000001</v>
      </c>
      <c r="J661" s="13">
        <f t="shared" si="32"/>
        <v>0.5</v>
      </c>
    </row>
    <row r="662" spans="1:10">
      <c r="A662" s="5">
        <f>'02_Actual_Revenue'!A662</f>
        <v>46143</v>
      </c>
      <c r="B662" s="3" t="str">
        <f>'02_Actual_Revenue'!B662</f>
        <v>P006</v>
      </c>
      <c r="C662" s="3" t="str">
        <f>'02_Actual_Revenue'!C662</f>
        <v>R01</v>
      </c>
      <c r="D662" s="7">
        <f>'02_Actual_Revenue'!D662</f>
        <v>600000</v>
      </c>
      <c r="E662" s="7">
        <f>D662*(1+_xlfn.XLOOKUP("Cloud &amp; Software",'01_Assumptions'!$A$4:$A$6,'01_Assumptions'!$B$4:$B$6))</f>
        <v>660000</v>
      </c>
      <c r="F662" s="3">
        <f>'02_Actual_Revenue'!E662*(1+_xlfn.XLOOKUP("Cloud &amp; Software",'01_Assumptions'!$A$4:$A$6,'01_Assumptions'!$C$4:$C$6))</f>
        <v>40.17</v>
      </c>
      <c r="G662" s="9">
        <f t="shared" si="30"/>
        <v>26512200</v>
      </c>
      <c r="H662" s="9">
        <f>G662*'02_Actual_Revenue'!H662</f>
        <v>6628050</v>
      </c>
      <c r="I662" s="9">
        <f t="shared" si="31"/>
        <v>19884150</v>
      </c>
      <c r="J662" s="13">
        <f t="shared" si="32"/>
        <v>0.75</v>
      </c>
    </row>
    <row r="663" spans="1:10">
      <c r="A663" s="5">
        <f>'02_Actual_Revenue'!A663</f>
        <v>46143</v>
      </c>
      <c r="B663" s="3" t="str">
        <f>'02_Actual_Revenue'!B663</f>
        <v>P006</v>
      </c>
      <c r="C663" s="3" t="str">
        <f>'02_Actual_Revenue'!C663</f>
        <v>R02</v>
      </c>
      <c r="D663" s="7">
        <f>'02_Actual_Revenue'!D663</f>
        <v>510000</v>
      </c>
      <c r="E663" s="7">
        <f>D663*(1+_xlfn.XLOOKUP("Cloud &amp; Software",'01_Assumptions'!$A$4:$A$6,'01_Assumptions'!$B$4:$B$6))</f>
        <v>561000</v>
      </c>
      <c r="F663" s="3">
        <f>'02_Actual_Revenue'!E663*(1+_xlfn.XLOOKUP("Cloud &amp; Software",'01_Assumptions'!$A$4:$A$6,'01_Assumptions'!$C$4:$C$6))</f>
        <v>40.17</v>
      </c>
      <c r="G663" s="9">
        <f t="shared" si="30"/>
        <v>22535370</v>
      </c>
      <c r="H663" s="9">
        <f>G663*'02_Actual_Revenue'!H663</f>
        <v>5633842.5</v>
      </c>
      <c r="I663" s="9">
        <f t="shared" si="31"/>
        <v>16901527.5</v>
      </c>
      <c r="J663" s="13">
        <f t="shared" si="32"/>
        <v>0.75</v>
      </c>
    </row>
    <row r="664" spans="1:10">
      <c r="A664" s="5">
        <f>'02_Actual_Revenue'!A664</f>
        <v>46143</v>
      </c>
      <c r="B664" s="3" t="str">
        <f>'02_Actual_Revenue'!B664</f>
        <v>P006</v>
      </c>
      <c r="C664" s="3" t="str">
        <f>'02_Actual_Revenue'!C664</f>
        <v>R03</v>
      </c>
      <c r="D664" s="7">
        <f>'02_Actual_Revenue'!D664</f>
        <v>570000</v>
      </c>
      <c r="E664" s="7">
        <f>D664*(1+_xlfn.XLOOKUP("Cloud &amp; Software",'01_Assumptions'!$A$4:$A$6,'01_Assumptions'!$B$4:$B$6))</f>
        <v>627000</v>
      </c>
      <c r="F664" s="3">
        <f>'02_Actual_Revenue'!E664*(1+_xlfn.XLOOKUP("Cloud &amp; Software",'01_Assumptions'!$A$4:$A$6,'01_Assumptions'!$C$4:$C$6))</f>
        <v>40.17</v>
      </c>
      <c r="G664" s="9">
        <f t="shared" si="30"/>
        <v>25186590</v>
      </c>
      <c r="H664" s="9">
        <f>G664*'02_Actual_Revenue'!H664</f>
        <v>6296647.5</v>
      </c>
      <c r="I664" s="9">
        <f t="shared" si="31"/>
        <v>18889942.5</v>
      </c>
      <c r="J664" s="13">
        <f t="shared" si="32"/>
        <v>0.75</v>
      </c>
    </row>
    <row r="665" spans="1:10">
      <c r="A665" s="5">
        <f>'02_Actual_Revenue'!A665</f>
        <v>46143</v>
      </c>
      <c r="B665" s="3" t="str">
        <f>'02_Actual_Revenue'!B665</f>
        <v>P006</v>
      </c>
      <c r="C665" s="3" t="str">
        <f>'02_Actual_Revenue'!C665</f>
        <v>R04</v>
      </c>
      <c r="D665" s="7">
        <f>'02_Actual_Revenue'!D665</f>
        <v>330000</v>
      </c>
      <c r="E665" s="7">
        <f>D665*(1+_xlfn.XLOOKUP("Cloud &amp; Software",'01_Assumptions'!$A$4:$A$6,'01_Assumptions'!$B$4:$B$6))</f>
        <v>363000.00000000006</v>
      </c>
      <c r="F665" s="3">
        <f>'02_Actual_Revenue'!E665*(1+_xlfn.XLOOKUP("Cloud &amp; Software",'01_Assumptions'!$A$4:$A$6,'01_Assumptions'!$C$4:$C$6))</f>
        <v>40.17</v>
      </c>
      <c r="G665" s="9">
        <f t="shared" si="30"/>
        <v>14581710.000000004</v>
      </c>
      <c r="H665" s="9">
        <f>G665*'02_Actual_Revenue'!H665</f>
        <v>3645427.5000000009</v>
      </c>
      <c r="I665" s="9">
        <f t="shared" si="31"/>
        <v>10936282.500000004</v>
      </c>
      <c r="J665" s="13">
        <f t="shared" si="32"/>
        <v>0.75000000000000011</v>
      </c>
    </row>
    <row r="666" spans="1:10">
      <c r="A666" s="5">
        <f>'02_Actual_Revenue'!A666</f>
        <v>46143</v>
      </c>
      <c r="B666" s="3" t="str">
        <f>'02_Actual_Revenue'!B666</f>
        <v>P007</v>
      </c>
      <c r="C666" s="3" t="str">
        <f>'02_Actual_Revenue'!C666</f>
        <v>R01</v>
      </c>
      <c r="D666" s="7">
        <f>'02_Actual_Revenue'!D666</f>
        <v>400000</v>
      </c>
      <c r="E666" s="7">
        <f>D666*(1+_xlfn.XLOOKUP("Cloud &amp; Software",'01_Assumptions'!$A$4:$A$6,'01_Assumptions'!$B$4:$B$6))</f>
        <v>440000.00000000006</v>
      </c>
      <c r="F666" s="3">
        <f>'02_Actual_Revenue'!E666*(1+_xlfn.XLOOKUP("Cloud &amp; Software",'01_Assumptions'!$A$4:$A$6,'01_Assumptions'!$C$4:$C$6))</f>
        <v>24.72</v>
      </c>
      <c r="G666" s="9">
        <f t="shared" si="30"/>
        <v>10876800.000000002</v>
      </c>
      <c r="H666" s="9">
        <f>G666*'02_Actual_Revenue'!H666</f>
        <v>2175360.0000000005</v>
      </c>
      <c r="I666" s="9">
        <f t="shared" si="31"/>
        <v>8701440.0000000019</v>
      </c>
      <c r="J666" s="13">
        <f t="shared" si="32"/>
        <v>0.8</v>
      </c>
    </row>
    <row r="667" spans="1:10">
      <c r="A667" s="5">
        <f>'02_Actual_Revenue'!A667</f>
        <v>46143</v>
      </c>
      <c r="B667" s="3" t="str">
        <f>'02_Actual_Revenue'!B667</f>
        <v>P007</v>
      </c>
      <c r="C667" s="3" t="str">
        <f>'02_Actual_Revenue'!C667</f>
        <v>R02</v>
      </c>
      <c r="D667" s="7">
        <f>'02_Actual_Revenue'!D667</f>
        <v>340000</v>
      </c>
      <c r="E667" s="7">
        <f>D667*(1+_xlfn.XLOOKUP("Cloud &amp; Software",'01_Assumptions'!$A$4:$A$6,'01_Assumptions'!$B$4:$B$6))</f>
        <v>374000.00000000006</v>
      </c>
      <c r="F667" s="3">
        <f>'02_Actual_Revenue'!E667*(1+_xlfn.XLOOKUP("Cloud &amp; Software",'01_Assumptions'!$A$4:$A$6,'01_Assumptions'!$C$4:$C$6))</f>
        <v>24.72</v>
      </c>
      <c r="G667" s="9">
        <f t="shared" si="30"/>
        <v>9245280.0000000019</v>
      </c>
      <c r="H667" s="9">
        <f>G667*'02_Actual_Revenue'!H667</f>
        <v>1849056.0000000005</v>
      </c>
      <c r="I667" s="9">
        <f t="shared" si="31"/>
        <v>7396224.0000000019</v>
      </c>
      <c r="J667" s="13">
        <f t="shared" si="32"/>
        <v>0.8</v>
      </c>
    </row>
    <row r="668" spans="1:10">
      <c r="A668" s="5">
        <f>'02_Actual_Revenue'!A668</f>
        <v>46143</v>
      </c>
      <c r="B668" s="3" t="str">
        <f>'02_Actual_Revenue'!B668</f>
        <v>P007</v>
      </c>
      <c r="C668" s="3" t="str">
        <f>'02_Actual_Revenue'!C668</f>
        <v>R03</v>
      </c>
      <c r="D668" s="7">
        <f>'02_Actual_Revenue'!D668</f>
        <v>380000</v>
      </c>
      <c r="E668" s="7">
        <f>D668*(1+_xlfn.XLOOKUP("Cloud &amp; Software",'01_Assumptions'!$A$4:$A$6,'01_Assumptions'!$B$4:$B$6))</f>
        <v>418000.00000000006</v>
      </c>
      <c r="F668" s="3">
        <f>'02_Actual_Revenue'!E668*(1+_xlfn.XLOOKUP("Cloud &amp; Software",'01_Assumptions'!$A$4:$A$6,'01_Assumptions'!$C$4:$C$6))</f>
        <v>24.72</v>
      </c>
      <c r="G668" s="9">
        <f t="shared" si="30"/>
        <v>10332960.000000002</v>
      </c>
      <c r="H668" s="9">
        <f>G668*'02_Actual_Revenue'!H668</f>
        <v>2066592.0000000005</v>
      </c>
      <c r="I668" s="9">
        <f t="shared" si="31"/>
        <v>8266368.0000000019</v>
      </c>
      <c r="J668" s="13">
        <f t="shared" si="32"/>
        <v>0.8</v>
      </c>
    </row>
    <row r="669" spans="1:10">
      <c r="A669" s="5">
        <f>'02_Actual_Revenue'!A669</f>
        <v>46143</v>
      </c>
      <c r="B669" s="3" t="str">
        <f>'02_Actual_Revenue'!B669</f>
        <v>P007</v>
      </c>
      <c r="C669" s="3" t="str">
        <f>'02_Actual_Revenue'!C669</f>
        <v>R04</v>
      </c>
      <c r="D669" s="7">
        <f>'02_Actual_Revenue'!D669</f>
        <v>220000</v>
      </c>
      <c r="E669" s="7">
        <f>D669*(1+_xlfn.XLOOKUP("Cloud &amp; Software",'01_Assumptions'!$A$4:$A$6,'01_Assumptions'!$B$4:$B$6))</f>
        <v>242000.00000000003</v>
      </c>
      <c r="F669" s="3">
        <f>'02_Actual_Revenue'!E669*(1+_xlfn.XLOOKUP("Cloud &amp; Software",'01_Assumptions'!$A$4:$A$6,'01_Assumptions'!$C$4:$C$6))</f>
        <v>24.72</v>
      </c>
      <c r="G669" s="9">
        <f t="shared" si="30"/>
        <v>5982240</v>
      </c>
      <c r="H669" s="9">
        <f>G669*'02_Actual_Revenue'!H669</f>
        <v>1196448</v>
      </c>
      <c r="I669" s="9">
        <f t="shared" si="31"/>
        <v>4785792</v>
      </c>
      <c r="J669" s="13">
        <f t="shared" si="32"/>
        <v>0.8</v>
      </c>
    </row>
    <row r="670" spans="1:10">
      <c r="A670" s="5">
        <f>'02_Actual_Revenue'!A670</f>
        <v>46143</v>
      </c>
      <c r="B670" s="3" t="str">
        <f>'02_Actual_Revenue'!B670</f>
        <v>P008</v>
      </c>
      <c r="C670" s="3" t="str">
        <f>'02_Actual_Revenue'!C670</f>
        <v>R01</v>
      </c>
      <c r="D670" s="7">
        <f>'02_Actual_Revenue'!D670</f>
        <v>1200000</v>
      </c>
      <c r="E670" s="7">
        <f>D670*(1+_xlfn.XLOOKUP("Digital Services",'01_Assumptions'!$A$4:$A$6,'01_Assumptions'!$B$4:$B$6))</f>
        <v>1296000</v>
      </c>
      <c r="F670" s="3">
        <f>'02_Actual_Revenue'!E670*(1+_xlfn.XLOOKUP("Digital Services",'01_Assumptions'!$A$4:$A$6,'01_Assumptions'!$C$4:$C$6))</f>
        <v>12.24</v>
      </c>
      <c r="G670" s="9">
        <f t="shared" si="30"/>
        <v>15863040</v>
      </c>
      <c r="H670" s="9">
        <f>G670*'02_Actual_Revenue'!H670</f>
        <v>4758912</v>
      </c>
      <c r="I670" s="9">
        <f t="shared" si="31"/>
        <v>11104128</v>
      </c>
      <c r="J670" s="13">
        <f t="shared" si="32"/>
        <v>0.7</v>
      </c>
    </row>
    <row r="671" spans="1:10">
      <c r="A671" s="5">
        <f>'02_Actual_Revenue'!A671</f>
        <v>46143</v>
      </c>
      <c r="B671" s="3" t="str">
        <f>'02_Actual_Revenue'!B671</f>
        <v>P008</v>
      </c>
      <c r="C671" s="3" t="str">
        <f>'02_Actual_Revenue'!C671</f>
        <v>R02</v>
      </c>
      <c r="D671" s="7">
        <f>'02_Actual_Revenue'!D671</f>
        <v>1020000</v>
      </c>
      <c r="E671" s="7">
        <f>D671*(1+_xlfn.XLOOKUP("Digital Services",'01_Assumptions'!$A$4:$A$6,'01_Assumptions'!$B$4:$B$6))</f>
        <v>1101600</v>
      </c>
      <c r="F671" s="3">
        <f>'02_Actual_Revenue'!E671*(1+_xlfn.XLOOKUP("Digital Services",'01_Assumptions'!$A$4:$A$6,'01_Assumptions'!$C$4:$C$6))</f>
        <v>12.24</v>
      </c>
      <c r="G671" s="9">
        <f t="shared" si="30"/>
        <v>13483584</v>
      </c>
      <c r="H671" s="9">
        <f>G671*'02_Actual_Revenue'!H671</f>
        <v>4045075.1999999997</v>
      </c>
      <c r="I671" s="9">
        <f t="shared" si="31"/>
        <v>9438508.8000000007</v>
      </c>
      <c r="J671" s="13">
        <f t="shared" si="32"/>
        <v>0.70000000000000007</v>
      </c>
    </row>
    <row r="672" spans="1:10">
      <c r="A672" s="5">
        <f>'02_Actual_Revenue'!A672</f>
        <v>46143</v>
      </c>
      <c r="B672" s="3" t="str">
        <f>'02_Actual_Revenue'!B672</f>
        <v>P008</v>
      </c>
      <c r="C672" s="3" t="str">
        <f>'02_Actual_Revenue'!C672</f>
        <v>R03</v>
      </c>
      <c r="D672" s="7">
        <f>'02_Actual_Revenue'!D672</f>
        <v>1140000</v>
      </c>
      <c r="E672" s="7">
        <f>D672*(1+_xlfn.XLOOKUP("Digital Services",'01_Assumptions'!$A$4:$A$6,'01_Assumptions'!$B$4:$B$6))</f>
        <v>1231200</v>
      </c>
      <c r="F672" s="3">
        <f>'02_Actual_Revenue'!E672*(1+_xlfn.XLOOKUP("Digital Services",'01_Assumptions'!$A$4:$A$6,'01_Assumptions'!$C$4:$C$6))</f>
        <v>12.24</v>
      </c>
      <c r="G672" s="9">
        <f t="shared" si="30"/>
        <v>15069888</v>
      </c>
      <c r="H672" s="9">
        <f>G672*'02_Actual_Revenue'!H672</f>
        <v>4520966.3999999994</v>
      </c>
      <c r="I672" s="9">
        <f t="shared" si="31"/>
        <v>10548921.600000001</v>
      </c>
      <c r="J672" s="13">
        <f t="shared" si="32"/>
        <v>0.70000000000000007</v>
      </c>
    </row>
    <row r="673" spans="1:10">
      <c r="A673" s="5">
        <f>'02_Actual_Revenue'!A673</f>
        <v>46143</v>
      </c>
      <c r="B673" s="3" t="str">
        <f>'02_Actual_Revenue'!B673</f>
        <v>P008</v>
      </c>
      <c r="C673" s="3" t="str">
        <f>'02_Actual_Revenue'!C673</f>
        <v>R04</v>
      </c>
      <c r="D673" s="7">
        <f>'02_Actual_Revenue'!D673</f>
        <v>660000</v>
      </c>
      <c r="E673" s="7">
        <f>D673*(1+_xlfn.XLOOKUP("Digital Services",'01_Assumptions'!$A$4:$A$6,'01_Assumptions'!$B$4:$B$6))</f>
        <v>712800</v>
      </c>
      <c r="F673" s="3">
        <f>'02_Actual_Revenue'!E673*(1+_xlfn.XLOOKUP("Digital Services",'01_Assumptions'!$A$4:$A$6,'01_Assumptions'!$C$4:$C$6))</f>
        <v>12.24</v>
      </c>
      <c r="G673" s="9">
        <f t="shared" si="30"/>
        <v>8724672</v>
      </c>
      <c r="H673" s="9">
        <f>G673*'02_Actual_Revenue'!H673</f>
        <v>2617401.6</v>
      </c>
      <c r="I673" s="9">
        <f t="shared" si="31"/>
        <v>6107270.4000000004</v>
      </c>
      <c r="J673" s="13">
        <f t="shared" si="32"/>
        <v>0.70000000000000007</v>
      </c>
    </row>
    <row r="674" spans="1:10">
      <c r="A674" s="5">
        <f>'02_Actual_Revenue'!A674</f>
        <v>46143</v>
      </c>
      <c r="B674" s="3" t="str">
        <f>'02_Actual_Revenue'!B674</f>
        <v>P009</v>
      </c>
      <c r="C674" s="3" t="str">
        <f>'02_Actual_Revenue'!C674</f>
        <v>R01</v>
      </c>
      <c r="D674" s="7">
        <f>'02_Actual_Revenue'!D674</f>
        <v>800000</v>
      </c>
      <c r="E674" s="7">
        <f>D674*(1+_xlfn.XLOOKUP("Digital Services",'01_Assumptions'!$A$4:$A$6,'01_Assumptions'!$B$4:$B$6))</f>
        <v>864000</v>
      </c>
      <c r="F674" s="3">
        <f>'02_Actual_Revenue'!E674*(1+_xlfn.XLOOKUP("Digital Services",'01_Assumptions'!$A$4:$A$6,'01_Assumptions'!$C$4:$C$6))</f>
        <v>15.3</v>
      </c>
      <c r="G674" s="9">
        <f t="shared" si="30"/>
        <v>13219200</v>
      </c>
      <c r="H674" s="9">
        <f>G674*'02_Actual_Revenue'!H674</f>
        <v>4626720</v>
      </c>
      <c r="I674" s="9">
        <f t="shared" si="31"/>
        <v>8592480</v>
      </c>
      <c r="J674" s="13">
        <f t="shared" si="32"/>
        <v>0.65</v>
      </c>
    </row>
    <row r="675" spans="1:10">
      <c r="A675" s="5">
        <f>'02_Actual_Revenue'!A675</f>
        <v>46143</v>
      </c>
      <c r="B675" s="3" t="str">
        <f>'02_Actual_Revenue'!B675</f>
        <v>P009</v>
      </c>
      <c r="C675" s="3" t="str">
        <f>'02_Actual_Revenue'!C675</f>
        <v>R02</v>
      </c>
      <c r="D675" s="7">
        <f>'02_Actual_Revenue'!D675</f>
        <v>680000</v>
      </c>
      <c r="E675" s="7">
        <f>D675*(1+_xlfn.XLOOKUP("Digital Services",'01_Assumptions'!$A$4:$A$6,'01_Assumptions'!$B$4:$B$6))</f>
        <v>734400</v>
      </c>
      <c r="F675" s="3">
        <f>'02_Actual_Revenue'!E675*(1+_xlfn.XLOOKUP("Digital Services",'01_Assumptions'!$A$4:$A$6,'01_Assumptions'!$C$4:$C$6))</f>
        <v>15.3</v>
      </c>
      <c r="G675" s="9">
        <f t="shared" si="30"/>
        <v>11236320</v>
      </c>
      <c r="H675" s="9">
        <f>G675*'02_Actual_Revenue'!H675</f>
        <v>3932711.9999999995</v>
      </c>
      <c r="I675" s="9">
        <f t="shared" si="31"/>
        <v>7303608</v>
      </c>
      <c r="J675" s="13">
        <f t="shared" si="32"/>
        <v>0.65</v>
      </c>
    </row>
    <row r="676" spans="1:10">
      <c r="A676" s="5">
        <f>'02_Actual_Revenue'!A676</f>
        <v>46143</v>
      </c>
      <c r="B676" s="3" t="str">
        <f>'02_Actual_Revenue'!B676</f>
        <v>P009</v>
      </c>
      <c r="C676" s="3" t="str">
        <f>'02_Actual_Revenue'!C676</f>
        <v>R03</v>
      </c>
      <c r="D676" s="7">
        <f>'02_Actual_Revenue'!D676</f>
        <v>760000</v>
      </c>
      <c r="E676" s="7">
        <f>D676*(1+_xlfn.XLOOKUP("Digital Services",'01_Assumptions'!$A$4:$A$6,'01_Assumptions'!$B$4:$B$6))</f>
        <v>820800</v>
      </c>
      <c r="F676" s="3">
        <f>'02_Actual_Revenue'!E676*(1+_xlfn.XLOOKUP("Digital Services",'01_Assumptions'!$A$4:$A$6,'01_Assumptions'!$C$4:$C$6))</f>
        <v>15.3</v>
      </c>
      <c r="G676" s="9">
        <f t="shared" si="30"/>
        <v>12558240</v>
      </c>
      <c r="H676" s="9">
        <f>G676*'02_Actual_Revenue'!H676</f>
        <v>4395384</v>
      </c>
      <c r="I676" s="9">
        <f t="shared" si="31"/>
        <v>8162856</v>
      </c>
      <c r="J676" s="13">
        <f t="shared" si="32"/>
        <v>0.65</v>
      </c>
    </row>
    <row r="677" spans="1:10">
      <c r="A677" s="5">
        <f>'02_Actual_Revenue'!A677</f>
        <v>46143</v>
      </c>
      <c r="B677" s="3" t="str">
        <f>'02_Actual_Revenue'!B677</f>
        <v>P009</v>
      </c>
      <c r="C677" s="3" t="str">
        <f>'02_Actual_Revenue'!C677</f>
        <v>R04</v>
      </c>
      <c r="D677" s="7">
        <f>'02_Actual_Revenue'!D677</f>
        <v>440000</v>
      </c>
      <c r="E677" s="7">
        <f>D677*(1+_xlfn.XLOOKUP("Digital Services",'01_Assumptions'!$A$4:$A$6,'01_Assumptions'!$B$4:$B$6))</f>
        <v>475200.00000000006</v>
      </c>
      <c r="F677" s="3">
        <f>'02_Actual_Revenue'!E677*(1+_xlfn.XLOOKUP("Digital Services",'01_Assumptions'!$A$4:$A$6,'01_Assumptions'!$C$4:$C$6))</f>
        <v>15.3</v>
      </c>
      <c r="G677" s="9">
        <f t="shared" si="30"/>
        <v>7270560.0000000009</v>
      </c>
      <c r="H677" s="9">
        <f>G677*'02_Actual_Revenue'!H677</f>
        <v>2544696</v>
      </c>
      <c r="I677" s="9">
        <f t="shared" si="31"/>
        <v>4725864.0000000009</v>
      </c>
      <c r="J677" s="13">
        <f t="shared" si="32"/>
        <v>0.65</v>
      </c>
    </row>
    <row r="678" spans="1:10">
      <c r="A678" s="5">
        <f>'02_Actual_Revenue'!A678</f>
        <v>46143</v>
      </c>
      <c r="B678" s="3" t="str">
        <f>'02_Actual_Revenue'!B678</f>
        <v>P010</v>
      </c>
      <c r="C678" s="3" t="str">
        <f>'02_Actual_Revenue'!C678</f>
        <v>R01</v>
      </c>
      <c r="D678" s="7">
        <f>'02_Actual_Revenue'!D678</f>
        <v>900000</v>
      </c>
      <c r="E678" s="7">
        <f>D678*(1+_xlfn.XLOOKUP("Digital Services",'01_Assumptions'!$A$4:$A$6,'01_Assumptions'!$B$4:$B$6))</f>
        <v>972000.00000000012</v>
      </c>
      <c r="F678" s="3">
        <f>'02_Actual_Revenue'!E678*(1+_xlfn.XLOOKUP("Digital Services",'01_Assumptions'!$A$4:$A$6,'01_Assumptions'!$C$4:$C$6))</f>
        <v>8.16</v>
      </c>
      <c r="G678" s="9">
        <f t="shared" si="30"/>
        <v>7931520.0000000009</v>
      </c>
      <c r="H678" s="9">
        <f>G678*'02_Actual_Revenue'!H678</f>
        <v>1189728</v>
      </c>
      <c r="I678" s="9">
        <f t="shared" si="31"/>
        <v>6741792.0000000009</v>
      </c>
      <c r="J678" s="13">
        <f t="shared" si="32"/>
        <v>0.85</v>
      </c>
    </row>
    <row r="679" spans="1:10">
      <c r="A679" s="5">
        <f>'02_Actual_Revenue'!A679</f>
        <v>46143</v>
      </c>
      <c r="B679" s="3" t="str">
        <f>'02_Actual_Revenue'!B679</f>
        <v>P010</v>
      </c>
      <c r="C679" s="3" t="str">
        <f>'02_Actual_Revenue'!C679</f>
        <v>R02</v>
      </c>
      <c r="D679" s="7">
        <f>'02_Actual_Revenue'!D679</f>
        <v>765000</v>
      </c>
      <c r="E679" s="7">
        <f>D679*(1+_xlfn.XLOOKUP("Digital Services",'01_Assumptions'!$A$4:$A$6,'01_Assumptions'!$B$4:$B$6))</f>
        <v>826200</v>
      </c>
      <c r="F679" s="3">
        <f>'02_Actual_Revenue'!E679*(1+_xlfn.XLOOKUP("Digital Services",'01_Assumptions'!$A$4:$A$6,'01_Assumptions'!$C$4:$C$6))</f>
        <v>8.16</v>
      </c>
      <c r="G679" s="9">
        <f t="shared" si="30"/>
        <v>6741792</v>
      </c>
      <c r="H679" s="9">
        <f>G679*'02_Actual_Revenue'!H679</f>
        <v>1011268.7999999999</v>
      </c>
      <c r="I679" s="9">
        <f t="shared" si="31"/>
        <v>5730523.2000000002</v>
      </c>
      <c r="J679" s="13">
        <f t="shared" si="32"/>
        <v>0.85</v>
      </c>
    </row>
    <row r="680" spans="1:10">
      <c r="A680" s="5">
        <f>'02_Actual_Revenue'!A680</f>
        <v>46143</v>
      </c>
      <c r="B680" s="3" t="str">
        <f>'02_Actual_Revenue'!B680</f>
        <v>P010</v>
      </c>
      <c r="C680" s="3" t="str">
        <f>'02_Actual_Revenue'!C680</f>
        <v>R03</v>
      </c>
      <c r="D680" s="7">
        <f>'02_Actual_Revenue'!D680</f>
        <v>855000</v>
      </c>
      <c r="E680" s="7">
        <f>D680*(1+_xlfn.XLOOKUP("Digital Services",'01_Assumptions'!$A$4:$A$6,'01_Assumptions'!$B$4:$B$6))</f>
        <v>923400.00000000012</v>
      </c>
      <c r="F680" s="3">
        <f>'02_Actual_Revenue'!E680*(1+_xlfn.XLOOKUP("Digital Services",'01_Assumptions'!$A$4:$A$6,'01_Assumptions'!$C$4:$C$6))</f>
        <v>8.16</v>
      </c>
      <c r="G680" s="9">
        <f t="shared" si="30"/>
        <v>7534944.0000000009</v>
      </c>
      <c r="H680" s="9">
        <f>G680*'02_Actual_Revenue'!H680</f>
        <v>1130241.6000000001</v>
      </c>
      <c r="I680" s="9">
        <f t="shared" si="31"/>
        <v>6404702.4000000004</v>
      </c>
      <c r="J680" s="13">
        <f t="shared" si="32"/>
        <v>0.85</v>
      </c>
    </row>
    <row r="681" spans="1:10">
      <c r="A681" s="5">
        <f>'02_Actual_Revenue'!A681</f>
        <v>46143</v>
      </c>
      <c r="B681" s="3" t="str">
        <f>'02_Actual_Revenue'!B681</f>
        <v>P010</v>
      </c>
      <c r="C681" s="3" t="str">
        <f>'02_Actual_Revenue'!C681</f>
        <v>R04</v>
      </c>
      <c r="D681" s="7">
        <f>'02_Actual_Revenue'!D681</f>
        <v>495000</v>
      </c>
      <c r="E681" s="7">
        <f>D681*(1+_xlfn.XLOOKUP("Digital Services",'01_Assumptions'!$A$4:$A$6,'01_Assumptions'!$B$4:$B$6))</f>
        <v>534600</v>
      </c>
      <c r="F681" s="3">
        <f>'02_Actual_Revenue'!E681*(1+_xlfn.XLOOKUP("Digital Services",'01_Assumptions'!$A$4:$A$6,'01_Assumptions'!$C$4:$C$6))</f>
        <v>8.16</v>
      </c>
      <c r="G681" s="9">
        <f t="shared" si="30"/>
        <v>4362336</v>
      </c>
      <c r="H681" s="9">
        <f>G681*'02_Actual_Revenue'!H681</f>
        <v>654350.4</v>
      </c>
      <c r="I681" s="9">
        <f t="shared" si="31"/>
        <v>3707985.6</v>
      </c>
      <c r="J681" s="13">
        <f t="shared" si="32"/>
        <v>0.85</v>
      </c>
    </row>
    <row r="682" spans="1:10">
      <c r="A682" s="5">
        <f>'02_Actual_Revenue'!A682</f>
        <v>46174</v>
      </c>
      <c r="B682" s="3" t="str">
        <f>'02_Actual_Revenue'!B682</f>
        <v>P001</v>
      </c>
      <c r="C682" s="3" t="str">
        <f>'02_Actual_Revenue'!C682</f>
        <v>R01</v>
      </c>
      <c r="D682" s="7">
        <f>'02_Actual_Revenue'!D682</f>
        <v>255000</v>
      </c>
      <c r="E682" s="7">
        <f>D682*(1+_xlfn.XLOOKUP("Devices",'01_Assumptions'!$A$4:$A$6,'01_Assumptions'!$B$4:$B$6))</f>
        <v>270300</v>
      </c>
      <c r="F682" s="3">
        <f>'02_Actual_Revenue'!E682*(1+_xlfn.XLOOKUP("Devices",'01_Assumptions'!$A$4:$A$6,'01_Assumptions'!$C$4:$C$6))</f>
        <v>712.98</v>
      </c>
      <c r="G682" s="9">
        <f t="shared" si="30"/>
        <v>192718494</v>
      </c>
      <c r="H682" s="9">
        <f>G682*'02_Actual_Revenue'!H682</f>
        <v>119485466.28</v>
      </c>
      <c r="I682" s="9">
        <f t="shared" si="31"/>
        <v>73233027.719999999</v>
      </c>
      <c r="J682" s="13">
        <f t="shared" si="32"/>
        <v>0.38</v>
      </c>
    </row>
    <row r="683" spans="1:10">
      <c r="A683" s="5">
        <f>'02_Actual_Revenue'!A683</f>
        <v>46174</v>
      </c>
      <c r="B683" s="3" t="str">
        <f>'02_Actual_Revenue'!B683</f>
        <v>P001</v>
      </c>
      <c r="C683" s="3" t="str">
        <f>'02_Actual_Revenue'!C683</f>
        <v>R02</v>
      </c>
      <c r="D683" s="7">
        <f>'02_Actual_Revenue'!D683</f>
        <v>216750</v>
      </c>
      <c r="E683" s="7">
        <f>D683*(1+_xlfn.XLOOKUP("Devices",'01_Assumptions'!$A$4:$A$6,'01_Assumptions'!$B$4:$B$6))</f>
        <v>229755</v>
      </c>
      <c r="F683" s="3">
        <f>'02_Actual_Revenue'!E683*(1+_xlfn.XLOOKUP("Devices",'01_Assumptions'!$A$4:$A$6,'01_Assumptions'!$C$4:$C$6))</f>
        <v>712.98</v>
      </c>
      <c r="G683" s="9">
        <f t="shared" si="30"/>
        <v>163810719.90000001</v>
      </c>
      <c r="H683" s="9">
        <f>G683*'02_Actual_Revenue'!H683</f>
        <v>101562646.338</v>
      </c>
      <c r="I683" s="9">
        <f t="shared" si="31"/>
        <v>62248073.562000006</v>
      </c>
      <c r="J683" s="13">
        <f t="shared" si="32"/>
        <v>0.38</v>
      </c>
    </row>
    <row r="684" spans="1:10">
      <c r="A684" s="5">
        <f>'02_Actual_Revenue'!A684</f>
        <v>46174</v>
      </c>
      <c r="B684" s="3" t="str">
        <f>'02_Actual_Revenue'!B684</f>
        <v>P001</v>
      </c>
      <c r="C684" s="3" t="str">
        <f>'02_Actual_Revenue'!C684</f>
        <v>R03</v>
      </c>
      <c r="D684" s="7">
        <f>'02_Actual_Revenue'!D684</f>
        <v>242250</v>
      </c>
      <c r="E684" s="7">
        <f>D684*(1+_xlfn.XLOOKUP("Devices",'01_Assumptions'!$A$4:$A$6,'01_Assumptions'!$B$4:$B$6))</f>
        <v>256785</v>
      </c>
      <c r="F684" s="3">
        <f>'02_Actual_Revenue'!E684*(1+_xlfn.XLOOKUP("Devices",'01_Assumptions'!$A$4:$A$6,'01_Assumptions'!$C$4:$C$6))</f>
        <v>712.98</v>
      </c>
      <c r="G684" s="9">
        <f t="shared" si="30"/>
        <v>183082569.30000001</v>
      </c>
      <c r="H684" s="9">
        <f>G684*'02_Actual_Revenue'!H684</f>
        <v>113511192.96600001</v>
      </c>
      <c r="I684" s="9">
        <f t="shared" si="31"/>
        <v>69571376.334000006</v>
      </c>
      <c r="J684" s="13">
        <f t="shared" si="32"/>
        <v>0.38</v>
      </c>
    </row>
    <row r="685" spans="1:10">
      <c r="A685" s="5">
        <f>'02_Actual_Revenue'!A685</f>
        <v>46174</v>
      </c>
      <c r="B685" s="3" t="str">
        <f>'02_Actual_Revenue'!B685</f>
        <v>P001</v>
      </c>
      <c r="C685" s="3" t="str">
        <f>'02_Actual_Revenue'!C685</f>
        <v>R04</v>
      </c>
      <c r="D685" s="7">
        <f>'02_Actual_Revenue'!D685</f>
        <v>140250</v>
      </c>
      <c r="E685" s="7">
        <f>D685*(1+_xlfn.XLOOKUP("Devices",'01_Assumptions'!$A$4:$A$6,'01_Assumptions'!$B$4:$B$6))</f>
        <v>148665</v>
      </c>
      <c r="F685" s="3">
        <f>'02_Actual_Revenue'!E685*(1+_xlfn.XLOOKUP("Devices",'01_Assumptions'!$A$4:$A$6,'01_Assumptions'!$C$4:$C$6))</f>
        <v>712.98</v>
      </c>
      <c r="G685" s="9">
        <f t="shared" si="30"/>
        <v>105995171.7</v>
      </c>
      <c r="H685" s="9">
        <f>G685*'02_Actual_Revenue'!H685</f>
        <v>65717006.454000004</v>
      </c>
      <c r="I685" s="9">
        <f t="shared" si="31"/>
        <v>40278165.245999999</v>
      </c>
      <c r="J685" s="13">
        <f t="shared" si="32"/>
        <v>0.38</v>
      </c>
    </row>
    <row r="686" spans="1:10">
      <c r="A686" s="5">
        <f>'02_Actual_Revenue'!A686</f>
        <v>46174</v>
      </c>
      <c r="B686" s="3" t="str">
        <f>'02_Actual_Revenue'!B686</f>
        <v>P002</v>
      </c>
      <c r="C686" s="3" t="str">
        <f>'02_Actual_Revenue'!C686</f>
        <v>R01</v>
      </c>
      <c r="D686" s="7">
        <f>'02_Actual_Revenue'!D686</f>
        <v>122400</v>
      </c>
      <c r="E686" s="7">
        <f>D686*(1+_xlfn.XLOOKUP("Devices",'01_Assumptions'!$A$4:$A$6,'01_Assumptions'!$B$4:$B$6))</f>
        <v>129744</v>
      </c>
      <c r="F686" s="3">
        <f>'02_Actual_Revenue'!E686*(1+_xlfn.XLOOKUP("Devices",'01_Assumptions'!$A$4:$A$6,'01_Assumptions'!$C$4:$C$6))</f>
        <v>1018.98</v>
      </c>
      <c r="G686" s="9">
        <f t="shared" si="30"/>
        <v>132206541.12</v>
      </c>
      <c r="H686" s="9">
        <f>G686*'02_Actual_Revenue'!H686</f>
        <v>76679793.849600002</v>
      </c>
      <c r="I686" s="9">
        <f t="shared" si="31"/>
        <v>55526747.270400003</v>
      </c>
      <c r="J686" s="13">
        <f t="shared" si="32"/>
        <v>0.42</v>
      </c>
    </row>
    <row r="687" spans="1:10">
      <c r="A687" s="5">
        <f>'02_Actual_Revenue'!A687</f>
        <v>46174</v>
      </c>
      <c r="B687" s="3" t="str">
        <f>'02_Actual_Revenue'!B687</f>
        <v>P002</v>
      </c>
      <c r="C687" s="3" t="str">
        <f>'02_Actual_Revenue'!C687</f>
        <v>R02</v>
      </c>
      <c r="D687" s="7">
        <f>'02_Actual_Revenue'!D687</f>
        <v>104040</v>
      </c>
      <c r="E687" s="7">
        <f>D687*(1+_xlfn.XLOOKUP("Devices",'01_Assumptions'!$A$4:$A$6,'01_Assumptions'!$B$4:$B$6))</f>
        <v>110282.40000000001</v>
      </c>
      <c r="F687" s="3">
        <f>'02_Actual_Revenue'!E687*(1+_xlfn.XLOOKUP("Devices",'01_Assumptions'!$A$4:$A$6,'01_Assumptions'!$C$4:$C$6))</f>
        <v>1018.98</v>
      </c>
      <c r="G687" s="9">
        <f t="shared" si="30"/>
        <v>112375559.95200001</v>
      </c>
      <c r="H687" s="9">
        <f>G687*'02_Actual_Revenue'!H687</f>
        <v>65177824.772160001</v>
      </c>
      <c r="I687" s="9">
        <f t="shared" si="31"/>
        <v>47197735.179840006</v>
      </c>
      <c r="J687" s="13">
        <f t="shared" si="32"/>
        <v>0.42000000000000004</v>
      </c>
    </row>
    <row r="688" spans="1:10">
      <c r="A688" s="5">
        <f>'02_Actual_Revenue'!A688</f>
        <v>46174</v>
      </c>
      <c r="B688" s="3" t="str">
        <f>'02_Actual_Revenue'!B688</f>
        <v>P002</v>
      </c>
      <c r="C688" s="3" t="str">
        <f>'02_Actual_Revenue'!C688</f>
        <v>R03</v>
      </c>
      <c r="D688" s="7">
        <f>'02_Actual_Revenue'!D688</f>
        <v>116280</v>
      </c>
      <c r="E688" s="7">
        <f>D688*(1+_xlfn.XLOOKUP("Devices",'01_Assumptions'!$A$4:$A$6,'01_Assumptions'!$B$4:$B$6))</f>
        <v>123256.8</v>
      </c>
      <c r="F688" s="3">
        <f>'02_Actual_Revenue'!E688*(1+_xlfn.XLOOKUP("Devices",'01_Assumptions'!$A$4:$A$6,'01_Assumptions'!$C$4:$C$6))</f>
        <v>1018.98</v>
      </c>
      <c r="G688" s="9">
        <f t="shared" si="30"/>
        <v>125596214.06400001</v>
      </c>
      <c r="H688" s="9">
        <f>G688*'02_Actual_Revenue'!H688</f>
        <v>72845804.157120004</v>
      </c>
      <c r="I688" s="9">
        <f t="shared" si="31"/>
        <v>52750409.906880006</v>
      </c>
      <c r="J688" s="13">
        <f t="shared" si="32"/>
        <v>0.42000000000000004</v>
      </c>
    </row>
    <row r="689" spans="1:10">
      <c r="A689" s="5">
        <f>'02_Actual_Revenue'!A689</f>
        <v>46174</v>
      </c>
      <c r="B689" s="3" t="str">
        <f>'02_Actual_Revenue'!B689</f>
        <v>P002</v>
      </c>
      <c r="C689" s="3" t="str">
        <f>'02_Actual_Revenue'!C689</f>
        <v>R04</v>
      </c>
      <c r="D689" s="7">
        <f>'02_Actual_Revenue'!D689</f>
        <v>67320</v>
      </c>
      <c r="E689" s="7">
        <f>D689*(1+_xlfn.XLOOKUP("Devices",'01_Assumptions'!$A$4:$A$6,'01_Assumptions'!$B$4:$B$6))</f>
        <v>71359.199999999997</v>
      </c>
      <c r="F689" s="3">
        <f>'02_Actual_Revenue'!E689*(1+_xlfn.XLOOKUP("Devices",'01_Assumptions'!$A$4:$A$6,'01_Assumptions'!$C$4:$C$6))</f>
        <v>1018.98</v>
      </c>
      <c r="G689" s="9">
        <f t="shared" si="30"/>
        <v>72713597.615999997</v>
      </c>
      <c r="H689" s="9">
        <f>G689*'02_Actual_Revenue'!H689</f>
        <v>42173886.617279992</v>
      </c>
      <c r="I689" s="9">
        <f t="shared" si="31"/>
        <v>30539710.998720005</v>
      </c>
      <c r="J689" s="13">
        <f t="shared" si="32"/>
        <v>0.4200000000000001</v>
      </c>
    </row>
    <row r="690" spans="1:10">
      <c r="A690" s="5">
        <f>'02_Actual_Revenue'!A690</f>
        <v>46174</v>
      </c>
      <c r="B690" s="3" t="str">
        <f>'02_Actual_Revenue'!B690</f>
        <v>P003</v>
      </c>
      <c r="C690" s="3" t="str">
        <f>'02_Actual_Revenue'!C690</f>
        <v>R01</v>
      </c>
      <c r="D690" s="7">
        <f>'02_Actual_Revenue'!D690</f>
        <v>142800</v>
      </c>
      <c r="E690" s="7">
        <f>D690*(1+_xlfn.XLOOKUP("Devices",'01_Assumptions'!$A$4:$A$6,'01_Assumptions'!$B$4:$B$6))</f>
        <v>151368</v>
      </c>
      <c r="F690" s="3">
        <f>'02_Actual_Revenue'!E690*(1+_xlfn.XLOOKUP("Devices",'01_Assumptions'!$A$4:$A$6,'01_Assumptions'!$C$4:$C$6))</f>
        <v>559.98</v>
      </c>
      <c r="G690" s="9">
        <f t="shared" si="30"/>
        <v>84763052.640000001</v>
      </c>
      <c r="H690" s="9">
        <f>G690*'02_Actual_Revenue'!H690</f>
        <v>50857831.583999999</v>
      </c>
      <c r="I690" s="9">
        <f t="shared" si="31"/>
        <v>33905221.056000002</v>
      </c>
      <c r="J690" s="13">
        <f t="shared" si="32"/>
        <v>0.4</v>
      </c>
    </row>
    <row r="691" spans="1:10">
      <c r="A691" s="5">
        <f>'02_Actual_Revenue'!A691</f>
        <v>46174</v>
      </c>
      <c r="B691" s="3" t="str">
        <f>'02_Actual_Revenue'!B691</f>
        <v>P003</v>
      </c>
      <c r="C691" s="3" t="str">
        <f>'02_Actual_Revenue'!C691</f>
        <v>R02</v>
      </c>
      <c r="D691" s="7">
        <f>'02_Actual_Revenue'!D691</f>
        <v>121380</v>
      </c>
      <c r="E691" s="7">
        <f>D691*(1+_xlfn.XLOOKUP("Devices",'01_Assumptions'!$A$4:$A$6,'01_Assumptions'!$B$4:$B$6))</f>
        <v>128662.8</v>
      </c>
      <c r="F691" s="3">
        <f>'02_Actual_Revenue'!E691*(1+_xlfn.XLOOKUP("Devices",'01_Assumptions'!$A$4:$A$6,'01_Assumptions'!$C$4:$C$6))</f>
        <v>559.98</v>
      </c>
      <c r="G691" s="9">
        <f t="shared" si="30"/>
        <v>72048594.744000003</v>
      </c>
      <c r="H691" s="9">
        <f>G691*'02_Actual_Revenue'!H691</f>
        <v>43229156.8464</v>
      </c>
      <c r="I691" s="9">
        <f t="shared" si="31"/>
        <v>28819437.897600003</v>
      </c>
      <c r="J691" s="13">
        <f t="shared" si="32"/>
        <v>0.4</v>
      </c>
    </row>
    <row r="692" spans="1:10">
      <c r="A692" s="5">
        <f>'02_Actual_Revenue'!A692</f>
        <v>46174</v>
      </c>
      <c r="B692" s="3" t="str">
        <f>'02_Actual_Revenue'!B692</f>
        <v>P003</v>
      </c>
      <c r="C692" s="3" t="str">
        <f>'02_Actual_Revenue'!C692</f>
        <v>R03</v>
      </c>
      <c r="D692" s="7">
        <f>'02_Actual_Revenue'!D692</f>
        <v>135660</v>
      </c>
      <c r="E692" s="7">
        <f>D692*(1+_xlfn.XLOOKUP("Devices",'01_Assumptions'!$A$4:$A$6,'01_Assumptions'!$B$4:$B$6))</f>
        <v>143799.6</v>
      </c>
      <c r="F692" s="3">
        <f>'02_Actual_Revenue'!E692*(1+_xlfn.XLOOKUP("Devices",'01_Assumptions'!$A$4:$A$6,'01_Assumptions'!$C$4:$C$6))</f>
        <v>559.98</v>
      </c>
      <c r="G692" s="9">
        <f t="shared" si="30"/>
        <v>80524900.008000001</v>
      </c>
      <c r="H692" s="9">
        <f>G692*'02_Actual_Revenue'!H692</f>
        <v>48314940.004799999</v>
      </c>
      <c r="I692" s="9">
        <f t="shared" si="31"/>
        <v>32209960.003200002</v>
      </c>
      <c r="J692" s="13">
        <f t="shared" si="32"/>
        <v>0.4</v>
      </c>
    </row>
    <row r="693" spans="1:10">
      <c r="A693" s="5">
        <f>'02_Actual_Revenue'!A693</f>
        <v>46174</v>
      </c>
      <c r="B693" s="3" t="str">
        <f>'02_Actual_Revenue'!B693</f>
        <v>P003</v>
      </c>
      <c r="C693" s="3" t="str">
        <f>'02_Actual_Revenue'!C693</f>
        <v>R04</v>
      </c>
      <c r="D693" s="7">
        <f>'02_Actual_Revenue'!D693</f>
        <v>78540</v>
      </c>
      <c r="E693" s="7">
        <f>D693*(1+_xlfn.XLOOKUP("Devices",'01_Assumptions'!$A$4:$A$6,'01_Assumptions'!$B$4:$B$6))</f>
        <v>83252.400000000009</v>
      </c>
      <c r="F693" s="3">
        <f>'02_Actual_Revenue'!E693*(1+_xlfn.XLOOKUP("Devices",'01_Assumptions'!$A$4:$A$6,'01_Assumptions'!$C$4:$C$6))</f>
        <v>559.98</v>
      </c>
      <c r="G693" s="9">
        <f t="shared" si="30"/>
        <v>46619678.952000007</v>
      </c>
      <c r="H693" s="9">
        <f>G693*'02_Actual_Revenue'!H693</f>
        <v>27971807.371200003</v>
      </c>
      <c r="I693" s="9">
        <f t="shared" si="31"/>
        <v>18647871.580800004</v>
      </c>
      <c r="J693" s="13">
        <f t="shared" si="32"/>
        <v>0.4</v>
      </c>
    </row>
    <row r="694" spans="1:10">
      <c r="A694" s="5">
        <f>'02_Actual_Revenue'!A694</f>
        <v>46174</v>
      </c>
      <c r="B694" s="3" t="str">
        <f>'02_Actual_Revenue'!B694</f>
        <v>P004</v>
      </c>
      <c r="C694" s="3" t="str">
        <f>'02_Actual_Revenue'!C694</f>
        <v>R01</v>
      </c>
      <c r="D694" s="7">
        <f>'02_Actual_Revenue'!D694</f>
        <v>71400</v>
      </c>
      <c r="E694" s="7">
        <f>D694*(1+_xlfn.XLOOKUP("Devices",'01_Assumptions'!$A$4:$A$6,'01_Assumptions'!$B$4:$B$6))</f>
        <v>75684</v>
      </c>
      <c r="F694" s="3">
        <f>'02_Actual_Revenue'!E694*(1+_xlfn.XLOOKUP("Devices",'01_Assumptions'!$A$4:$A$6,'01_Assumptions'!$C$4:$C$6))</f>
        <v>1222.98</v>
      </c>
      <c r="G694" s="9">
        <f t="shared" si="30"/>
        <v>92560018.320000008</v>
      </c>
      <c r="H694" s="9">
        <f>G694*'02_Actual_Revenue'!H694</f>
        <v>50908010.076000005</v>
      </c>
      <c r="I694" s="9">
        <f t="shared" si="31"/>
        <v>41652008.244000003</v>
      </c>
      <c r="J694" s="13">
        <f t="shared" si="32"/>
        <v>0.45</v>
      </c>
    </row>
    <row r="695" spans="1:10">
      <c r="A695" s="5">
        <f>'02_Actual_Revenue'!A695</f>
        <v>46174</v>
      </c>
      <c r="B695" s="3" t="str">
        <f>'02_Actual_Revenue'!B695</f>
        <v>P004</v>
      </c>
      <c r="C695" s="3" t="str">
        <f>'02_Actual_Revenue'!C695</f>
        <v>R02</v>
      </c>
      <c r="D695" s="7">
        <f>'02_Actual_Revenue'!D695</f>
        <v>60690</v>
      </c>
      <c r="E695" s="7">
        <f>D695*(1+_xlfn.XLOOKUP("Devices",'01_Assumptions'!$A$4:$A$6,'01_Assumptions'!$B$4:$B$6))</f>
        <v>64331.4</v>
      </c>
      <c r="F695" s="3">
        <f>'02_Actual_Revenue'!E695*(1+_xlfn.XLOOKUP("Devices",'01_Assumptions'!$A$4:$A$6,'01_Assumptions'!$C$4:$C$6))</f>
        <v>1222.98</v>
      </c>
      <c r="G695" s="9">
        <f t="shared" si="30"/>
        <v>78676015.571999997</v>
      </c>
      <c r="H695" s="9">
        <f>G695*'02_Actual_Revenue'!H695</f>
        <v>43271808.564599998</v>
      </c>
      <c r="I695" s="9">
        <f t="shared" si="31"/>
        <v>35404207.007399999</v>
      </c>
      <c r="J695" s="13">
        <f t="shared" si="32"/>
        <v>0.45</v>
      </c>
    </row>
    <row r="696" spans="1:10">
      <c r="A696" s="5">
        <f>'02_Actual_Revenue'!A696</f>
        <v>46174</v>
      </c>
      <c r="B696" s="3" t="str">
        <f>'02_Actual_Revenue'!B696</f>
        <v>P004</v>
      </c>
      <c r="C696" s="3" t="str">
        <f>'02_Actual_Revenue'!C696</f>
        <v>R03</v>
      </c>
      <c r="D696" s="7">
        <f>'02_Actual_Revenue'!D696</f>
        <v>67830</v>
      </c>
      <c r="E696" s="7">
        <f>D696*(1+_xlfn.XLOOKUP("Devices",'01_Assumptions'!$A$4:$A$6,'01_Assumptions'!$B$4:$B$6))</f>
        <v>71899.8</v>
      </c>
      <c r="F696" s="3">
        <f>'02_Actual_Revenue'!E696*(1+_xlfn.XLOOKUP("Devices",'01_Assumptions'!$A$4:$A$6,'01_Assumptions'!$C$4:$C$6))</f>
        <v>1222.98</v>
      </c>
      <c r="G696" s="9">
        <f t="shared" si="30"/>
        <v>87932017.403999999</v>
      </c>
      <c r="H696" s="9">
        <f>G696*'02_Actual_Revenue'!H696</f>
        <v>48362609.5722</v>
      </c>
      <c r="I696" s="9">
        <f t="shared" si="31"/>
        <v>39569407.831799999</v>
      </c>
      <c r="J696" s="13">
        <f t="shared" si="32"/>
        <v>0.45</v>
      </c>
    </row>
    <row r="697" spans="1:10">
      <c r="A697" s="5">
        <f>'02_Actual_Revenue'!A697</f>
        <v>46174</v>
      </c>
      <c r="B697" s="3" t="str">
        <f>'02_Actual_Revenue'!B697</f>
        <v>P004</v>
      </c>
      <c r="C697" s="3" t="str">
        <f>'02_Actual_Revenue'!C697</f>
        <v>R04</v>
      </c>
      <c r="D697" s="7">
        <f>'02_Actual_Revenue'!D697</f>
        <v>39270</v>
      </c>
      <c r="E697" s="7">
        <f>D697*(1+_xlfn.XLOOKUP("Devices",'01_Assumptions'!$A$4:$A$6,'01_Assumptions'!$B$4:$B$6))</f>
        <v>41626.200000000004</v>
      </c>
      <c r="F697" s="3">
        <f>'02_Actual_Revenue'!E697*(1+_xlfn.XLOOKUP("Devices",'01_Assumptions'!$A$4:$A$6,'01_Assumptions'!$C$4:$C$6))</f>
        <v>1222.98</v>
      </c>
      <c r="G697" s="9">
        <f t="shared" si="30"/>
        <v>50908010.076000005</v>
      </c>
      <c r="H697" s="9">
        <f>G697*'02_Actual_Revenue'!H697</f>
        <v>27999405.541800003</v>
      </c>
      <c r="I697" s="9">
        <f t="shared" si="31"/>
        <v>22908604.534200002</v>
      </c>
      <c r="J697" s="13">
        <f t="shared" si="32"/>
        <v>0.45</v>
      </c>
    </row>
    <row r="698" spans="1:10">
      <c r="A698" s="5">
        <f>'02_Actual_Revenue'!A698</f>
        <v>46174</v>
      </c>
      <c r="B698" s="3" t="str">
        <f>'02_Actual_Revenue'!B698</f>
        <v>P005</v>
      </c>
      <c r="C698" s="3" t="str">
        <f>'02_Actual_Revenue'!C698</f>
        <v>R01</v>
      </c>
      <c r="D698" s="7">
        <f>'02_Actual_Revenue'!D698</f>
        <v>183600</v>
      </c>
      <c r="E698" s="7">
        <f>D698*(1+_xlfn.XLOOKUP("Devices",'01_Assumptions'!$A$4:$A$6,'01_Assumptions'!$B$4:$B$6))</f>
        <v>194616</v>
      </c>
      <c r="F698" s="3">
        <f>'02_Actual_Revenue'!E698*(1+_xlfn.XLOOKUP("Devices",'01_Assumptions'!$A$4:$A$6,'01_Assumptions'!$C$4:$C$6))</f>
        <v>304.98</v>
      </c>
      <c r="G698" s="9">
        <f t="shared" si="30"/>
        <v>59353987.680000007</v>
      </c>
      <c r="H698" s="9">
        <f>G698*'02_Actual_Revenue'!H698</f>
        <v>29676993.840000004</v>
      </c>
      <c r="I698" s="9">
        <f t="shared" si="31"/>
        <v>29676993.840000004</v>
      </c>
      <c r="J698" s="13">
        <f t="shared" si="32"/>
        <v>0.5</v>
      </c>
    </row>
    <row r="699" spans="1:10">
      <c r="A699" s="5">
        <f>'02_Actual_Revenue'!A699</f>
        <v>46174</v>
      </c>
      <c r="B699" s="3" t="str">
        <f>'02_Actual_Revenue'!B699</f>
        <v>P005</v>
      </c>
      <c r="C699" s="3" t="str">
        <f>'02_Actual_Revenue'!C699</f>
        <v>R02</v>
      </c>
      <c r="D699" s="7">
        <f>'02_Actual_Revenue'!D699</f>
        <v>156060</v>
      </c>
      <c r="E699" s="7">
        <f>D699*(1+_xlfn.XLOOKUP("Devices",'01_Assumptions'!$A$4:$A$6,'01_Assumptions'!$B$4:$B$6))</f>
        <v>165423.6</v>
      </c>
      <c r="F699" s="3">
        <f>'02_Actual_Revenue'!E699*(1+_xlfn.XLOOKUP("Devices",'01_Assumptions'!$A$4:$A$6,'01_Assumptions'!$C$4:$C$6))</f>
        <v>304.98</v>
      </c>
      <c r="G699" s="9">
        <f t="shared" si="30"/>
        <v>50450889.528000005</v>
      </c>
      <c r="H699" s="9">
        <f>G699*'02_Actual_Revenue'!H699</f>
        <v>25225444.764000002</v>
      </c>
      <c r="I699" s="9">
        <f t="shared" si="31"/>
        <v>25225444.764000002</v>
      </c>
      <c r="J699" s="13">
        <f t="shared" si="32"/>
        <v>0.5</v>
      </c>
    </row>
    <row r="700" spans="1:10">
      <c r="A700" s="5">
        <f>'02_Actual_Revenue'!A700</f>
        <v>46174</v>
      </c>
      <c r="B700" s="3" t="str">
        <f>'02_Actual_Revenue'!B700</f>
        <v>P005</v>
      </c>
      <c r="C700" s="3" t="str">
        <f>'02_Actual_Revenue'!C700</f>
        <v>R03</v>
      </c>
      <c r="D700" s="7">
        <f>'02_Actual_Revenue'!D700</f>
        <v>174420</v>
      </c>
      <c r="E700" s="7">
        <f>D700*(1+_xlfn.XLOOKUP("Devices",'01_Assumptions'!$A$4:$A$6,'01_Assumptions'!$B$4:$B$6))</f>
        <v>184885.2</v>
      </c>
      <c r="F700" s="3">
        <f>'02_Actual_Revenue'!E700*(1+_xlfn.XLOOKUP("Devices",'01_Assumptions'!$A$4:$A$6,'01_Assumptions'!$C$4:$C$6))</f>
        <v>304.98</v>
      </c>
      <c r="G700" s="9">
        <f t="shared" si="30"/>
        <v>56386288.296000004</v>
      </c>
      <c r="H700" s="9">
        <f>G700*'02_Actual_Revenue'!H700</f>
        <v>28193144.148000002</v>
      </c>
      <c r="I700" s="9">
        <f t="shared" si="31"/>
        <v>28193144.148000002</v>
      </c>
      <c r="J700" s="13">
        <f t="shared" si="32"/>
        <v>0.5</v>
      </c>
    </row>
    <row r="701" spans="1:10">
      <c r="A701" s="5">
        <f>'02_Actual_Revenue'!A701</f>
        <v>46174</v>
      </c>
      <c r="B701" s="3" t="str">
        <f>'02_Actual_Revenue'!B701</f>
        <v>P005</v>
      </c>
      <c r="C701" s="3" t="str">
        <f>'02_Actual_Revenue'!C701</f>
        <v>R04</v>
      </c>
      <c r="D701" s="7">
        <f>'02_Actual_Revenue'!D701</f>
        <v>100980</v>
      </c>
      <c r="E701" s="7">
        <f>D701*(1+_xlfn.XLOOKUP("Devices",'01_Assumptions'!$A$4:$A$6,'01_Assumptions'!$B$4:$B$6))</f>
        <v>107038.8</v>
      </c>
      <c r="F701" s="3">
        <f>'02_Actual_Revenue'!E701*(1+_xlfn.XLOOKUP("Devices",'01_Assumptions'!$A$4:$A$6,'01_Assumptions'!$C$4:$C$6))</f>
        <v>304.98</v>
      </c>
      <c r="G701" s="9">
        <f t="shared" si="30"/>
        <v>32644693.224000003</v>
      </c>
      <c r="H701" s="9">
        <f>G701*'02_Actual_Revenue'!H701</f>
        <v>16322346.612000002</v>
      </c>
      <c r="I701" s="9">
        <f t="shared" si="31"/>
        <v>16322346.612000002</v>
      </c>
      <c r="J701" s="13">
        <f t="shared" si="32"/>
        <v>0.5</v>
      </c>
    </row>
    <row r="702" spans="1:10">
      <c r="A702" s="5">
        <f>'02_Actual_Revenue'!A702</f>
        <v>46174</v>
      </c>
      <c r="B702" s="3" t="str">
        <f>'02_Actual_Revenue'!B702</f>
        <v>P006</v>
      </c>
      <c r="C702" s="3" t="str">
        <f>'02_Actual_Revenue'!C702</f>
        <v>R01</v>
      </c>
      <c r="D702" s="7">
        <f>'02_Actual_Revenue'!D702</f>
        <v>612000</v>
      </c>
      <c r="E702" s="7">
        <f>D702*(1+_xlfn.XLOOKUP("Cloud &amp; Software",'01_Assumptions'!$A$4:$A$6,'01_Assumptions'!$B$4:$B$6))</f>
        <v>673200</v>
      </c>
      <c r="F702" s="3">
        <f>'02_Actual_Revenue'!E702*(1+_xlfn.XLOOKUP("Cloud &amp; Software",'01_Assumptions'!$A$4:$A$6,'01_Assumptions'!$C$4:$C$6))</f>
        <v>40.17</v>
      </c>
      <c r="G702" s="9">
        <f t="shared" si="30"/>
        <v>27042444</v>
      </c>
      <c r="H702" s="9">
        <f>G702*'02_Actual_Revenue'!H702</f>
        <v>6760611</v>
      </c>
      <c r="I702" s="9">
        <f t="shared" si="31"/>
        <v>20281833</v>
      </c>
      <c r="J702" s="13">
        <f t="shared" si="32"/>
        <v>0.75</v>
      </c>
    </row>
    <row r="703" spans="1:10">
      <c r="A703" s="5">
        <f>'02_Actual_Revenue'!A703</f>
        <v>46174</v>
      </c>
      <c r="B703" s="3" t="str">
        <f>'02_Actual_Revenue'!B703</f>
        <v>P006</v>
      </c>
      <c r="C703" s="3" t="str">
        <f>'02_Actual_Revenue'!C703</f>
        <v>R02</v>
      </c>
      <c r="D703" s="7">
        <f>'02_Actual_Revenue'!D703</f>
        <v>520200</v>
      </c>
      <c r="E703" s="7">
        <f>D703*(1+_xlfn.XLOOKUP("Cloud &amp; Software",'01_Assumptions'!$A$4:$A$6,'01_Assumptions'!$B$4:$B$6))</f>
        <v>572220</v>
      </c>
      <c r="F703" s="3">
        <f>'02_Actual_Revenue'!E703*(1+_xlfn.XLOOKUP("Cloud &amp; Software",'01_Assumptions'!$A$4:$A$6,'01_Assumptions'!$C$4:$C$6))</f>
        <v>40.17</v>
      </c>
      <c r="G703" s="9">
        <f t="shared" si="30"/>
        <v>22986077.400000002</v>
      </c>
      <c r="H703" s="9">
        <f>G703*'02_Actual_Revenue'!H703</f>
        <v>5746519.3500000006</v>
      </c>
      <c r="I703" s="9">
        <f t="shared" si="31"/>
        <v>17239558.050000001</v>
      </c>
      <c r="J703" s="13">
        <f t="shared" si="32"/>
        <v>0.75</v>
      </c>
    </row>
    <row r="704" spans="1:10">
      <c r="A704" s="5">
        <f>'02_Actual_Revenue'!A704</f>
        <v>46174</v>
      </c>
      <c r="B704" s="3" t="str">
        <f>'02_Actual_Revenue'!B704</f>
        <v>P006</v>
      </c>
      <c r="C704" s="3" t="str">
        <f>'02_Actual_Revenue'!C704</f>
        <v>R03</v>
      </c>
      <c r="D704" s="7">
        <f>'02_Actual_Revenue'!D704</f>
        <v>581400</v>
      </c>
      <c r="E704" s="7">
        <f>D704*(1+_xlfn.XLOOKUP("Cloud &amp; Software",'01_Assumptions'!$A$4:$A$6,'01_Assumptions'!$B$4:$B$6))</f>
        <v>639540</v>
      </c>
      <c r="F704" s="3">
        <f>'02_Actual_Revenue'!E704*(1+_xlfn.XLOOKUP("Cloud &amp; Software",'01_Assumptions'!$A$4:$A$6,'01_Assumptions'!$C$4:$C$6))</f>
        <v>40.17</v>
      </c>
      <c r="G704" s="9">
        <f t="shared" si="30"/>
        <v>25690321.800000001</v>
      </c>
      <c r="H704" s="9">
        <f>G704*'02_Actual_Revenue'!H704</f>
        <v>6422580.4500000002</v>
      </c>
      <c r="I704" s="9">
        <f t="shared" si="31"/>
        <v>19267741.350000001</v>
      </c>
      <c r="J704" s="13">
        <f t="shared" si="32"/>
        <v>0.75</v>
      </c>
    </row>
    <row r="705" spans="1:10">
      <c r="A705" s="5">
        <f>'02_Actual_Revenue'!A705</f>
        <v>46174</v>
      </c>
      <c r="B705" s="3" t="str">
        <f>'02_Actual_Revenue'!B705</f>
        <v>P006</v>
      </c>
      <c r="C705" s="3" t="str">
        <f>'02_Actual_Revenue'!C705</f>
        <v>R04</v>
      </c>
      <c r="D705" s="7">
        <f>'02_Actual_Revenue'!D705</f>
        <v>336600</v>
      </c>
      <c r="E705" s="7">
        <f>D705*(1+_xlfn.XLOOKUP("Cloud &amp; Software",'01_Assumptions'!$A$4:$A$6,'01_Assumptions'!$B$4:$B$6))</f>
        <v>370260.00000000006</v>
      </c>
      <c r="F705" s="3">
        <f>'02_Actual_Revenue'!E705*(1+_xlfn.XLOOKUP("Cloud &amp; Software",'01_Assumptions'!$A$4:$A$6,'01_Assumptions'!$C$4:$C$6))</f>
        <v>40.17</v>
      </c>
      <c r="G705" s="9">
        <f t="shared" si="30"/>
        <v>14873344.200000003</v>
      </c>
      <c r="H705" s="9">
        <f>G705*'02_Actual_Revenue'!H705</f>
        <v>3718336.0500000007</v>
      </c>
      <c r="I705" s="9">
        <f t="shared" si="31"/>
        <v>11155008.150000002</v>
      </c>
      <c r="J705" s="13">
        <f t="shared" si="32"/>
        <v>0.75</v>
      </c>
    </row>
    <row r="706" spans="1:10">
      <c r="A706" s="5">
        <f>'02_Actual_Revenue'!A706</f>
        <v>46174</v>
      </c>
      <c r="B706" s="3" t="str">
        <f>'02_Actual_Revenue'!B706</f>
        <v>P007</v>
      </c>
      <c r="C706" s="3" t="str">
        <f>'02_Actual_Revenue'!C706</f>
        <v>R01</v>
      </c>
      <c r="D706" s="7">
        <f>'02_Actual_Revenue'!D706</f>
        <v>408000</v>
      </c>
      <c r="E706" s="7">
        <f>D706*(1+_xlfn.XLOOKUP("Cloud &amp; Software",'01_Assumptions'!$A$4:$A$6,'01_Assumptions'!$B$4:$B$6))</f>
        <v>448800.00000000006</v>
      </c>
      <c r="F706" s="3">
        <f>'02_Actual_Revenue'!E706*(1+_xlfn.XLOOKUP("Cloud &amp; Software",'01_Assumptions'!$A$4:$A$6,'01_Assumptions'!$C$4:$C$6))</f>
        <v>24.72</v>
      </c>
      <c r="G706" s="9">
        <f t="shared" si="30"/>
        <v>11094336</v>
      </c>
      <c r="H706" s="9">
        <f>G706*'02_Actual_Revenue'!H706</f>
        <v>2218867.2000000002</v>
      </c>
      <c r="I706" s="9">
        <f t="shared" si="31"/>
        <v>8875468.8000000007</v>
      </c>
      <c r="J706" s="13">
        <f t="shared" si="32"/>
        <v>0.8</v>
      </c>
    </row>
    <row r="707" spans="1:10">
      <c r="A707" s="5">
        <f>'02_Actual_Revenue'!A707</f>
        <v>46174</v>
      </c>
      <c r="B707" s="3" t="str">
        <f>'02_Actual_Revenue'!B707</f>
        <v>P007</v>
      </c>
      <c r="C707" s="3" t="str">
        <f>'02_Actual_Revenue'!C707</f>
        <v>R02</v>
      </c>
      <c r="D707" s="7">
        <f>'02_Actual_Revenue'!D707</f>
        <v>346800</v>
      </c>
      <c r="E707" s="7">
        <f>D707*(1+_xlfn.XLOOKUP("Cloud &amp; Software",'01_Assumptions'!$A$4:$A$6,'01_Assumptions'!$B$4:$B$6))</f>
        <v>381480.00000000006</v>
      </c>
      <c r="F707" s="3">
        <f>'02_Actual_Revenue'!E707*(1+_xlfn.XLOOKUP("Cloud &amp; Software",'01_Assumptions'!$A$4:$A$6,'01_Assumptions'!$C$4:$C$6))</f>
        <v>24.72</v>
      </c>
      <c r="G707" s="9">
        <f t="shared" ref="G707:G721" si="33">E707*F707</f>
        <v>9430185.6000000015</v>
      </c>
      <c r="H707" s="9">
        <f>G707*'02_Actual_Revenue'!H707</f>
        <v>1886037.1200000003</v>
      </c>
      <c r="I707" s="9">
        <f t="shared" ref="I707:I721" si="34">G707-H707</f>
        <v>7544148.4800000014</v>
      </c>
      <c r="J707" s="13">
        <f t="shared" ref="J707:J721" si="35">I707/G707</f>
        <v>0.8</v>
      </c>
    </row>
    <row r="708" spans="1:10">
      <c r="A708" s="5">
        <f>'02_Actual_Revenue'!A708</f>
        <v>46174</v>
      </c>
      <c r="B708" s="3" t="str">
        <f>'02_Actual_Revenue'!B708</f>
        <v>P007</v>
      </c>
      <c r="C708" s="3" t="str">
        <f>'02_Actual_Revenue'!C708</f>
        <v>R03</v>
      </c>
      <c r="D708" s="7">
        <f>'02_Actual_Revenue'!D708</f>
        <v>387600</v>
      </c>
      <c r="E708" s="7">
        <f>D708*(1+_xlfn.XLOOKUP("Cloud &amp; Software",'01_Assumptions'!$A$4:$A$6,'01_Assumptions'!$B$4:$B$6))</f>
        <v>426360.00000000006</v>
      </c>
      <c r="F708" s="3">
        <f>'02_Actual_Revenue'!E708*(1+_xlfn.XLOOKUP("Cloud &amp; Software",'01_Assumptions'!$A$4:$A$6,'01_Assumptions'!$C$4:$C$6))</f>
        <v>24.72</v>
      </c>
      <c r="G708" s="9">
        <f t="shared" si="33"/>
        <v>10539619.200000001</v>
      </c>
      <c r="H708" s="9">
        <f>G708*'02_Actual_Revenue'!H708</f>
        <v>2107923.8400000003</v>
      </c>
      <c r="I708" s="9">
        <f t="shared" si="34"/>
        <v>8431695.3600000013</v>
      </c>
      <c r="J708" s="13">
        <f t="shared" si="35"/>
        <v>0.8</v>
      </c>
    </row>
    <row r="709" spans="1:10">
      <c r="A709" s="5">
        <f>'02_Actual_Revenue'!A709</f>
        <v>46174</v>
      </c>
      <c r="B709" s="3" t="str">
        <f>'02_Actual_Revenue'!B709</f>
        <v>P007</v>
      </c>
      <c r="C709" s="3" t="str">
        <f>'02_Actual_Revenue'!C709</f>
        <v>R04</v>
      </c>
      <c r="D709" s="7">
        <f>'02_Actual_Revenue'!D709</f>
        <v>224400</v>
      </c>
      <c r="E709" s="7">
        <f>D709*(1+_xlfn.XLOOKUP("Cloud &amp; Software",'01_Assumptions'!$A$4:$A$6,'01_Assumptions'!$B$4:$B$6))</f>
        <v>246840.00000000003</v>
      </c>
      <c r="F709" s="3">
        <f>'02_Actual_Revenue'!E709*(1+_xlfn.XLOOKUP("Cloud &amp; Software",'01_Assumptions'!$A$4:$A$6,'01_Assumptions'!$C$4:$C$6))</f>
        <v>24.72</v>
      </c>
      <c r="G709" s="9">
        <f t="shared" si="33"/>
        <v>6101884.8000000007</v>
      </c>
      <c r="H709" s="9">
        <f>G709*'02_Actual_Revenue'!H709</f>
        <v>1220376.9600000002</v>
      </c>
      <c r="I709" s="9">
        <f t="shared" si="34"/>
        <v>4881507.8400000008</v>
      </c>
      <c r="J709" s="13">
        <f t="shared" si="35"/>
        <v>0.8</v>
      </c>
    </row>
    <row r="710" spans="1:10">
      <c r="A710" s="5">
        <f>'02_Actual_Revenue'!A710</f>
        <v>46174</v>
      </c>
      <c r="B710" s="3" t="str">
        <f>'02_Actual_Revenue'!B710</f>
        <v>P008</v>
      </c>
      <c r="C710" s="3" t="str">
        <f>'02_Actual_Revenue'!C710</f>
        <v>R01</v>
      </c>
      <c r="D710" s="7">
        <f>'02_Actual_Revenue'!D710</f>
        <v>1224000</v>
      </c>
      <c r="E710" s="7">
        <f>D710*(1+_xlfn.XLOOKUP("Digital Services",'01_Assumptions'!$A$4:$A$6,'01_Assumptions'!$B$4:$B$6))</f>
        <v>1321920</v>
      </c>
      <c r="F710" s="3">
        <f>'02_Actual_Revenue'!E710*(1+_xlfn.XLOOKUP("Digital Services",'01_Assumptions'!$A$4:$A$6,'01_Assumptions'!$C$4:$C$6))</f>
        <v>12.24</v>
      </c>
      <c r="G710" s="9">
        <f t="shared" si="33"/>
        <v>16180300.800000001</v>
      </c>
      <c r="H710" s="9">
        <f>G710*'02_Actual_Revenue'!H710</f>
        <v>4854090.24</v>
      </c>
      <c r="I710" s="9">
        <f t="shared" si="34"/>
        <v>11326210.560000001</v>
      </c>
      <c r="J710" s="13">
        <f t="shared" si="35"/>
        <v>0.7</v>
      </c>
    </row>
    <row r="711" spans="1:10">
      <c r="A711" s="5">
        <f>'02_Actual_Revenue'!A711</f>
        <v>46174</v>
      </c>
      <c r="B711" s="3" t="str">
        <f>'02_Actual_Revenue'!B711</f>
        <v>P008</v>
      </c>
      <c r="C711" s="3" t="str">
        <f>'02_Actual_Revenue'!C711</f>
        <v>R02</v>
      </c>
      <c r="D711" s="7">
        <f>'02_Actual_Revenue'!D711</f>
        <v>1040400</v>
      </c>
      <c r="E711" s="7">
        <f>D711*(1+_xlfn.XLOOKUP("Digital Services",'01_Assumptions'!$A$4:$A$6,'01_Assumptions'!$B$4:$B$6))</f>
        <v>1123632</v>
      </c>
      <c r="F711" s="3">
        <f>'02_Actual_Revenue'!E711*(1+_xlfn.XLOOKUP("Digital Services",'01_Assumptions'!$A$4:$A$6,'01_Assumptions'!$C$4:$C$6))</f>
        <v>12.24</v>
      </c>
      <c r="G711" s="9">
        <f t="shared" si="33"/>
        <v>13753255.68</v>
      </c>
      <c r="H711" s="9">
        <f>G711*'02_Actual_Revenue'!H711</f>
        <v>4125976.7039999999</v>
      </c>
      <c r="I711" s="9">
        <f t="shared" si="34"/>
        <v>9627278.9759999998</v>
      </c>
      <c r="J711" s="13">
        <f t="shared" si="35"/>
        <v>0.7</v>
      </c>
    </row>
    <row r="712" spans="1:10">
      <c r="A712" s="5">
        <f>'02_Actual_Revenue'!A712</f>
        <v>46174</v>
      </c>
      <c r="B712" s="3" t="str">
        <f>'02_Actual_Revenue'!B712</f>
        <v>P008</v>
      </c>
      <c r="C712" s="3" t="str">
        <f>'02_Actual_Revenue'!C712</f>
        <v>R03</v>
      </c>
      <c r="D712" s="7">
        <f>'02_Actual_Revenue'!D712</f>
        <v>1162800</v>
      </c>
      <c r="E712" s="7">
        <f>D712*(1+_xlfn.XLOOKUP("Digital Services",'01_Assumptions'!$A$4:$A$6,'01_Assumptions'!$B$4:$B$6))</f>
        <v>1255824</v>
      </c>
      <c r="F712" s="3">
        <f>'02_Actual_Revenue'!E712*(1+_xlfn.XLOOKUP("Digital Services",'01_Assumptions'!$A$4:$A$6,'01_Assumptions'!$C$4:$C$6))</f>
        <v>12.24</v>
      </c>
      <c r="G712" s="9">
        <f t="shared" si="33"/>
        <v>15371285.76</v>
      </c>
      <c r="H712" s="9">
        <f>G712*'02_Actual_Revenue'!H712</f>
        <v>4611385.7280000001</v>
      </c>
      <c r="I712" s="9">
        <f t="shared" si="34"/>
        <v>10759900.032</v>
      </c>
      <c r="J712" s="13">
        <f t="shared" si="35"/>
        <v>0.7</v>
      </c>
    </row>
    <row r="713" spans="1:10">
      <c r="A713" s="5">
        <f>'02_Actual_Revenue'!A713</f>
        <v>46174</v>
      </c>
      <c r="B713" s="3" t="str">
        <f>'02_Actual_Revenue'!B713</f>
        <v>P008</v>
      </c>
      <c r="C713" s="3" t="str">
        <f>'02_Actual_Revenue'!C713</f>
        <v>R04</v>
      </c>
      <c r="D713" s="7">
        <f>'02_Actual_Revenue'!D713</f>
        <v>673200</v>
      </c>
      <c r="E713" s="7">
        <f>D713*(1+_xlfn.XLOOKUP("Digital Services",'01_Assumptions'!$A$4:$A$6,'01_Assumptions'!$B$4:$B$6))</f>
        <v>727056</v>
      </c>
      <c r="F713" s="3">
        <f>'02_Actual_Revenue'!E713*(1+_xlfn.XLOOKUP("Digital Services",'01_Assumptions'!$A$4:$A$6,'01_Assumptions'!$C$4:$C$6))</f>
        <v>12.24</v>
      </c>
      <c r="G713" s="9">
        <f t="shared" si="33"/>
        <v>8899165.4399999995</v>
      </c>
      <c r="H713" s="9">
        <f>G713*'02_Actual_Revenue'!H713</f>
        <v>2669749.6319999998</v>
      </c>
      <c r="I713" s="9">
        <f t="shared" si="34"/>
        <v>6229415.8080000002</v>
      </c>
      <c r="J713" s="13">
        <f t="shared" si="35"/>
        <v>0.70000000000000007</v>
      </c>
    </row>
    <row r="714" spans="1:10">
      <c r="A714" s="5">
        <f>'02_Actual_Revenue'!A714</f>
        <v>46174</v>
      </c>
      <c r="B714" s="3" t="str">
        <f>'02_Actual_Revenue'!B714</f>
        <v>P009</v>
      </c>
      <c r="C714" s="3" t="str">
        <f>'02_Actual_Revenue'!C714</f>
        <v>R01</v>
      </c>
      <c r="D714" s="7">
        <f>'02_Actual_Revenue'!D714</f>
        <v>816000</v>
      </c>
      <c r="E714" s="7">
        <f>D714*(1+_xlfn.XLOOKUP("Digital Services",'01_Assumptions'!$A$4:$A$6,'01_Assumptions'!$B$4:$B$6))</f>
        <v>881280</v>
      </c>
      <c r="F714" s="3">
        <f>'02_Actual_Revenue'!E714*(1+_xlfn.XLOOKUP("Digital Services",'01_Assumptions'!$A$4:$A$6,'01_Assumptions'!$C$4:$C$6))</f>
        <v>15.3</v>
      </c>
      <c r="G714" s="9">
        <f t="shared" si="33"/>
        <v>13483584</v>
      </c>
      <c r="H714" s="9">
        <f>G714*'02_Actual_Revenue'!H714</f>
        <v>4719254.3999999994</v>
      </c>
      <c r="I714" s="9">
        <f t="shared" si="34"/>
        <v>8764329.6000000015</v>
      </c>
      <c r="J714" s="13">
        <f t="shared" si="35"/>
        <v>0.65000000000000013</v>
      </c>
    </row>
    <row r="715" spans="1:10">
      <c r="A715" s="5">
        <f>'02_Actual_Revenue'!A715</f>
        <v>46174</v>
      </c>
      <c r="B715" s="3" t="str">
        <f>'02_Actual_Revenue'!B715</f>
        <v>P009</v>
      </c>
      <c r="C715" s="3" t="str">
        <f>'02_Actual_Revenue'!C715</f>
        <v>R02</v>
      </c>
      <c r="D715" s="7">
        <f>'02_Actual_Revenue'!D715</f>
        <v>693600</v>
      </c>
      <c r="E715" s="7">
        <f>D715*(1+_xlfn.XLOOKUP("Digital Services",'01_Assumptions'!$A$4:$A$6,'01_Assumptions'!$B$4:$B$6))</f>
        <v>749088</v>
      </c>
      <c r="F715" s="3">
        <f>'02_Actual_Revenue'!E715*(1+_xlfn.XLOOKUP("Digital Services",'01_Assumptions'!$A$4:$A$6,'01_Assumptions'!$C$4:$C$6))</f>
        <v>15.3</v>
      </c>
      <c r="G715" s="9">
        <f t="shared" si="33"/>
        <v>11461046.4</v>
      </c>
      <c r="H715" s="9">
        <f>G715*'02_Actual_Revenue'!H715</f>
        <v>4011366.2399999998</v>
      </c>
      <c r="I715" s="9">
        <f t="shared" si="34"/>
        <v>7449680.1600000001</v>
      </c>
      <c r="J715" s="13">
        <f t="shared" si="35"/>
        <v>0.65</v>
      </c>
    </row>
    <row r="716" spans="1:10">
      <c r="A716" s="5">
        <f>'02_Actual_Revenue'!A716</f>
        <v>46174</v>
      </c>
      <c r="B716" s="3" t="str">
        <f>'02_Actual_Revenue'!B716</f>
        <v>P009</v>
      </c>
      <c r="C716" s="3" t="str">
        <f>'02_Actual_Revenue'!C716</f>
        <v>R03</v>
      </c>
      <c r="D716" s="7">
        <f>'02_Actual_Revenue'!D716</f>
        <v>775200</v>
      </c>
      <c r="E716" s="7">
        <f>D716*(1+_xlfn.XLOOKUP("Digital Services",'01_Assumptions'!$A$4:$A$6,'01_Assumptions'!$B$4:$B$6))</f>
        <v>837216</v>
      </c>
      <c r="F716" s="3">
        <f>'02_Actual_Revenue'!E716*(1+_xlfn.XLOOKUP("Digital Services",'01_Assumptions'!$A$4:$A$6,'01_Assumptions'!$C$4:$C$6))</f>
        <v>15.3</v>
      </c>
      <c r="G716" s="9">
        <f t="shared" si="33"/>
        <v>12809404.800000001</v>
      </c>
      <c r="H716" s="9">
        <f>G716*'02_Actual_Revenue'!H716</f>
        <v>4483291.68</v>
      </c>
      <c r="I716" s="9">
        <f t="shared" si="34"/>
        <v>8326113.120000001</v>
      </c>
      <c r="J716" s="13">
        <f t="shared" si="35"/>
        <v>0.65</v>
      </c>
    </row>
    <row r="717" spans="1:10">
      <c r="A717" s="5">
        <f>'02_Actual_Revenue'!A717</f>
        <v>46174</v>
      </c>
      <c r="B717" s="3" t="str">
        <f>'02_Actual_Revenue'!B717</f>
        <v>P009</v>
      </c>
      <c r="C717" s="3" t="str">
        <f>'02_Actual_Revenue'!C717</f>
        <v>R04</v>
      </c>
      <c r="D717" s="7">
        <f>'02_Actual_Revenue'!D717</f>
        <v>448800</v>
      </c>
      <c r="E717" s="7">
        <f>D717*(1+_xlfn.XLOOKUP("Digital Services",'01_Assumptions'!$A$4:$A$6,'01_Assumptions'!$B$4:$B$6))</f>
        <v>484704.00000000006</v>
      </c>
      <c r="F717" s="3">
        <f>'02_Actual_Revenue'!E717*(1+_xlfn.XLOOKUP("Digital Services",'01_Assumptions'!$A$4:$A$6,'01_Assumptions'!$C$4:$C$6))</f>
        <v>15.3</v>
      </c>
      <c r="G717" s="9">
        <f t="shared" si="33"/>
        <v>7415971.2000000011</v>
      </c>
      <c r="H717" s="9">
        <f>G717*'02_Actual_Revenue'!H717</f>
        <v>2595589.9200000004</v>
      </c>
      <c r="I717" s="9">
        <f t="shared" si="34"/>
        <v>4820381.2800000012</v>
      </c>
      <c r="J717" s="13">
        <f t="shared" si="35"/>
        <v>0.65</v>
      </c>
    </row>
    <row r="718" spans="1:10">
      <c r="A718" s="5">
        <f>'02_Actual_Revenue'!A718</f>
        <v>46174</v>
      </c>
      <c r="B718" s="3" t="str">
        <f>'02_Actual_Revenue'!B718</f>
        <v>P010</v>
      </c>
      <c r="C718" s="3" t="str">
        <f>'02_Actual_Revenue'!C718</f>
        <v>R01</v>
      </c>
      <c r="D718" s="7">
        <f>'02_Actual_Revenue'!D718</f>
        <v>918000</v>
      </c>
      <c r="E718" s="7">
        <f>D718*(1+_xlfn.XLOOKUP("Digital Services",'01_Assumptions'!$A$4:$A$6,'01_Assumptions'!$B$4:$B$6))</f>
        <v>991440.00000000012</v>
      </c>
      <c r="F718" s="3">
        <f>'02_Actual_Revenue'!E718*(1+_xlfn.XLOOKUP("Digital Services",'01_Assumptions'!$A$4:$A$6,'01_Assumptions'!$C$4:$C$6))</f>
        <v>8.16</v>
      </c>
      <c r="G718" s="9">
        <f t="shared" si="33"/>
        <v>8090150.4000000013</v>
      </c>
      <c r="H718" s="9">
        <f>G718*'02_Actual_Revenue'!H718</f>
        <v>1213522.56</v>
      </c>
      <c r="I718" s="9">
        <f t="shared" si="34"/>
        <v>6876627.8400000017</v>
      </c>
      <c r="J718" s="13">
        <f t="shared" si="35"/>
        <v>0.85000000000000009</v>
      </c>
    </row>
    <row r="719" spans="1:10">
      <c r="A719" s="5">
        <f>'02_Actual_Revenue'!A719</f>
        <v>46174</v>
      </c>
      <c r="B719" s="3" t="str">
        <f>'02_Actual_Revenue'!B719</f>
        <v>P010</v>
      </c>
      <c r="C719" s="3" t="str">
        <f>'02_Actual_Revenue'!C719</f>
        <v>R02</v>
      </c>
      <c r="D719" s="7">
        <f>'02_Actual_Revenue'!D719</f>
        <v>780300</v>
      </c>
      <c r="E719" s="7">
        <f>D719*(1+_xlfn.XLOOKUP("Digital Services",'01_Assumptions'!$A$4:$A$6,'01_Assumptions'!$B$4:$B$6))</f>
        <v>842724</v>
      </c>
      <c r="F719" s="3">
        <f>'02_Actual_Revenue'!E719*(1+_xlfn.XLOOKUP("Digital Services",'01_Assumptions'!$A$4:$A$6,'01_Assumptions'!$C$4:$C$6))</f>
        <v>8.16</v>
      </c>
      <c r="G719" s="9">
        <f t="shared" si="33"/>
        <v>6876627.8399999999</v>
      </c>
      <c r="H719" s="9">
        <f>G719*'02_Actual_Revenue'!H719</f>
        <v>1031494.176</v>
      </c>
      <c r="I719" s="9">
        <f t="shared" si="34"/>
        <v>5845133.6639999999</v>
      </c>
      <c r="J719" s="13">
        <f t="shared" si="35"/>
        <v>0.85</v>
      </c>
    </row>
    <row r="720" spans="1:10">
      <c r="A720" s="5">
        <f>'02_Actual_Revenue'!A720</f>
        <v>46174</v>
      </c>
      <c r="B720" s="3" t="str">
        <f>'02_Actual_Revenue'!B720</f>
        <v>P010</v>
      </c>
      <c r="C720" s="3" t="str">
        <f>'02_Actual_Revenue'!C720</f>
        <v>R03</v>
      </c>
      <c r="D720" s="7">
        <f>'02_Actual_Revenue'!D720</f>
        <v>872100</v>
      </c>
      <c r="E720" s="7">
        <f>D720*(1+_xlfn.XLOOKUP("Digital Services",'01_Assumptions'!$A$4:$A$6,'01_Assumptions'!$B$4:$B$6))</f>
        <v>941868.00000000012</v>
      </c>
      <c r="F720" s="3">
        <f>'02_Actual_Revenue'!E720*(1+_xlfn.XLOOKUP("Digital Services",'01_Assumptions'!$A$4:$A$6,'01_Assumptions'!$C$4:$C$6))</f>
        <v>8.16</v>
      </c>
      <c r="G720" s="9">
        <f t="shared" si="33"/>
        <v>7685642.8800000008</v>
      </c>
      <c r="H720" s="9">
        <f>G720*'02_Actual_Revenue'!H720</f>
        <v>1152846.432</v>
      </c>
      <c r="I720" s="9">
        <f t="shared" si="34"/>
        <v>6532796.4480000008</v>
      </c>
      <c r="J720" s="13">
        <f t="shared" si="35"/>
        <v>0.85</v>
      </c>
    </row>
    <row r="721" spans="1:10">
      <c r="A721" s="5">
        <f>'02_Actual_Revenue'!A721</f>
        <v>46174</v>
      </c>
      <c r="B721" s="3" t="str">
        <f>'02_Actual_Revenue'!B721</f>
        <v>P010</v>
      </c>
      <c r="C721" s="3" t="str">
        <f>'02_Actual_Revenue'!C721</f>
        <v>R04</v>
      </c>
      <c r="D721" s="7">
        <f>'02_Actual_Revenue'!D721</f>
        <v>504900</v>
      </c>
      <c r="E721" s="7">
        <f>D721*(1+_xlfn.XLOOKUP("Digital Services",'01_Assumptions'!$A$4:$A$6,'01_Assumptions'!$B$4:$B$6))</f>
        <v>545292</v>
      </c>
      <c r="F721" s="3">
        <f>'02_Actual_Revenue'!E721*(1+_xlfn.XLOOKUP("Digital Services",'01_Assumptions'!$A$4:$A$6,'01_Assumptions'!$C$4:$C$6))</f>
        <v>8.16</v>
      </c>
      <c r="G721" s="9">
        <f t="shared" si="33"/>
        <v>4449582.72</v>
      </c>
      <c r="H721" s="9">
        <f>G721*'02_Actual_Revenue'!H721</f>
        <v>667437.40799999994</v>
      </c>
      <c r="I721" s="9">
        <f t="shared" si="34"/>
        <v>3782145.3119999999</v>
      </c>
      <c r="J721" s="13">
        <f t="shared" si="35"/>
        <v>0.85</v>
      </c>
    </row>
    <row r="723" spans="1:10">
      <c r="A723" s="6" t="s">
        <v>94</v>
      </c>
      <c r="B723" s="9">
        <f>SUM(G2:G721)</f>
        <v>37477708123.32003</v>
      </c>
    </row>
    <row r="724" spans="1:10">
      <c r="A724" s="6" t="s">
        <v>95</v>
      </c>
      <c r="B724" s="9">
        <f>SUM(H2:H721)</f>
        <v>20421870937.588207</v>
      </c>
    </row>
    <row r="725" spans="1:10">
      <c r="A725" s="6" t="s">
        <v>96</v>
      </c>
      <c r="B725" s="9">
        <f>B723-B724</f>
        <v>17055837185.731823</v>
      </c>
      <c r="C725" s="9"/>
    </row>
    <row r="726" spans="1:10">
      <c r="A726" s="6" t="s">
        <v>97</v>
      </c>
      <c r="B726" s="13">
        <f>B725/B723</f>
        <v>0.45509285492084411</v>
      </c>
    </row>
    <row r="728" spans="1:10">
      <c r="A728" s="6" t="s">
        <v>98</v>
      </c>
    </row>
    <row r="730" spans="1:10">
      <c r="A730" s="15" t="s">
        <v>41</v>
      </c>
      <c r="B730" s="15" t="s">
        <v>67</v>
      </c>
      <c r="C730" s="6" t="s">
        <v>68</v>
      </c>
      <c r="D730" s="6" t="s">
        <v>69</v>
      </c>
      <c r="E730" s="6" t="s">
        <v>99</v>
      </c>
      <c r="F730" s="10" t="s">
        <v>100</v>
      </c>
    </row>
    <row r="731" spans="1:10">
      <c r="A731" s="5">
        <f>'03_Actual_Opex'!A2</f>
        <v>45658</v>
      </c>
      <c r="B731" s="3" t="str">
        <f>'03_Actual_Opex'!B2</f>
        <v>D01</v>
      </c>
      <c r="C731" s="3" t="str">
        <f>'03_Actual_Opex'!C2</f>
        <v>Sales</v>
      </c>
      <c r="D731" s="3" t="str">
        <f>'03_Actual_Opex'!D2</f>
        <v>A01</v>
      </c>
      <c r="E731" s="9">
        <f>'03_Actual_Opex'!E2</f>
        <v>8000000</v>
      </c>
      <c r="F731" s="9">
        <f>E731*(1+_xlfn.XLOOKUP("Sales",'01_Assumptions'!$A$11:$A$18,'01_Assumptions'!$B$11:$B$18))</f>
        <v>8480000</v>
      </c>
    </row>
    <row r="732" spans="1:10">
      <c r="A732" s="5">
        <f>'03_Actual_Opex'!A3</f>
        <v>45658</v>
      </c>
      <c r="B732" s="3" t="str">
        <f>'03_Actual_Opex'!B3</f>
        <v>D01</v>
      </c>
      <c r="C732" s="3" t="str">
        <f>'03_Actual_Opex'!C3</f>
        <v>Sales</v>
      </c>
      <c r="D732" s="3" t="str">
        <f>'03_Actual_Opex'!D3</f>
        <v>A02</v>
      </c>
      <c r="E732" s="9">
        <f>'03_Actual_Opex'!E3</f>
        <v>8000000</v>
      </c>
      <c r="F732" s="9">
        <f>E732*(1+_xlfn.XLOOKUP("Sales",'01_Assumptions'!$A$11:$A$18,'01_Assumptions'!$B$11:$B$18))</f>
        <v>8480000</v>
      </c>
    </row>
    <row r="733" spans="1:10">
      <c r="A733" s="5">
        <f>'03_Actual_Opex'!A4</f>
        <v>45658</v>
      </c>
      <c r="B733" s="3" t="str">
        <f>'03_Actual_Opex'!B4</f>
        <v>D01</v>
      </c>
      <c r="C733" s="3" t="str">
        <f>'03_Actual_Opex'!C4</f>
        <v>Sales</v>
      </c>
      <c r="D733" s="3" t="str">
        <f>'03_Actual_Opex'!D4</f>
        <v>A03</v>
      </c>
      <c r="E733" s="9">
        <f>'03_Actual_Opex'!E4</f>
        <v>8000000</v>
      </c>
      <c r="F733" s="9">
        <f>E733*(1+_xlfn.XLOOKUP("Sales",'01_Assumptions'!$A$11:$A$18,'01_Assumptions'!$B$11:$B$18))</f>
        <v>8480000</v>
      </c>
    </row>
    <row r="734" spans="1:10">
      <c r="A734" s="5">
        <f>'03_Actual_Opex'!A5</f>
        <v>45658</v>
      </c>
      <c r="B734" s="3" t="str">
        <f>'03_Actual_Opex'!B5</f>
        <v>D01</v>
      </c>
      <c r="C734" s="3" t="str">
        <f>'03_Actual_Opex'!C5</f>
        <v>Sales</v>
      </c>
      <c r="D734" s="3" t="str">
        <f>'03_Actual_Opex'!D5</f>
        <v>A04</v>
      </c>
      <c r="E734" s="9">
        <f>'03_Actual_Opex'!E5</f>
        <v>8000000</v>
      </c>
      <c r="F734" s="9">
        <f>E734*(1+_xlfn.XLOOKUP("Sales",'01_Assumptions'!$A$11:$A$18,'01_Assumptions'!$B$11:$B$18))</f>
        <v>8480000</v>
      </c>
    </row>
    <row r="735" spans="1:10">
      <c r="A735" s="5">
        <f>'03_Actual_Opex'!A6</f>
        <v>45658</v>
      </c>
      <c r="B735" s="3" t="str">
        <f>'03_Actual_Opex'!B6</f>
        <v>D02</v>
      </c>
      <c r="C735" s="3" t="str">
        <f>'03_Actual_Opex'!C6</f>
        <v>Marketing</v>
      </c>
      <c r="D735" s="3" t="str">
        <f>'03_Actual_Opex'!D6</f>
        <v>A01</v>
      </c>
      <c r="E735" s="9">
        <f>'03_Actual_Opex'!E6</f>
        <v>30000000</v>
      </c>
      <c r="F735" s="9">
        <f>E735*(1+_xlfn.XLOOKUP("Marketing",'01_Assumptions'!$A$11:$A$18,'01_Assumptions'!$B$11:$B$18))</f>
        <v>32100000.000000004</v>
      </c>
    </row>
    <row r="736" spans="1:10">
      <c r="A736" s="5">
        <f>'03_Actual_Opex'!A7</f>
        <v>45658</v>
      </c>
      <c r="B736" s="3" t="str">
        <f>'03_Actual_Opex'!B7</f>
        <v>D02</v>
      </c>
      <c r="C736" s="3" t="str">
        <f>'03_Actual_Opex'!C7</f>
        <v>Marketing</v>
      </c>
      <c r="D736" s="3" t="str">
        <f>'03_Actual_Opex'!D7</f>
        <v>A02</v>
      </c>
      <c r="E736" s="9">
        <f>'03_Actual_Opex'!E7</f>
        <v>30000000</v>
      </c>
      <c r="F736" s="9">
        <f>E736*(1+_xlfn.XLOOKUP("Marketing",'01_Assumptions'!$A$11:$A$18,'01_Assumptions'!$B$11:$B$18))</f>
        <v>32100000.000000004</v>
      </c>
    </row>
    <row r="737" spans="1:6">
      <c r="A737" s="5">
        <f>'03_Actual_Opex'!A8</f>
        <v>45658</v>
      </c>
      <c r="B737" s="3" t="str">
        <f>'03_Actual_Opex'!B8</f>
        <v>D02</v>
      </c>
      <c r="C737" s="3" t="str">
        <f>'03_Actual_Opex'!C8</f>
        <v>Marketing</v>
      </c>
      <c r="D737" s="3" t="str">
        <f>'03_Actual_Opex'!D8</f>
        <v>A03</v>
      </c>
      <c r="E737" s="9">
        <f>'03_Actual_Opex'!E8</f>
        <v>30000000</v>
      </c>
      <c r="F737" s="9">
        <f>E737*(1+_xlfn.XLOOKUP("Marketing",'01_Assumptions'!$A$11:$A$18,'01_Assumptions'!$B$11:$B$18))</f>
        <v>32100000.000000004</v>
      </c>
    </row>
    <row r="738" spans="1:6">
      <c r="A738" s="5">
        <f>'03_Actual_Opex'!A9</f>
        <v>45658</v>
      </c>
      <c r="B738" s="3" t="str">
        <f>'03_Actual_Opex'!B9</f>
        <v>D02</v>
      </c>
      <c r="C738" s="3" t="str">
        <f>'03_Actual_Opex'!C9</f>
        <v>Marketing</v>
      </c>
      <c r="D738" s="3" t="str">
        <f>'03_Actual_Opex'!D9</f>
        <v>A04</v>
      </c>
      <c r="E738" s="9">
        <f>'03_Actual_Opex'!E9</f>
        <v>30000000</v>
      </c>
      <c r="F738" s="9">
        <f>E738*(1+_xlfn.XLOOKUP("Marketing",'01_Assumptions'!$A$11:$A$18,'01_Assumptions'!$B$11:$B$18))</f>
        <v>32100000.000000004</v>
      </c>
    </row>
    <row r="739" spans="1:6">
      <c r="A739" s="5">
        <f>'03_Actual_Opex'!A10</f>
        <v>45658</v>
      </c>
      <c r="B739" s="3" t="str">
        <f>'03_Actual_Opex'!B10</f>
        <v>D03</v>
      </c>
      <c r="C739" s="3" t="str">
        <f>'03_Actual_Opex'!C10</f>
        <v>R&amp;D</v>
      </c>
      <c r="D739" s="3" t="str">
        <f>'03_Actual_Opex'!D10</f>
        <v>A01</v>
      </c>
      <c r="E739" s="9">
        <f>'03_Actual_Opex'!E10</f>
        <v>20000000</v>
      </c>
      <c r="F739" s="9">
        <f>E739*(1+_xlfn.XLOOKUP("R&amp;D",'01_Assumptions'!$A$11:$A$18,'01_Assumptions'!$B$11:$B$18))</f>
        <v>21800000</v>
      </c>
    </row>
    <row r="740" spans="1:6">
      <c r="A740" s="5">
        <f>'03_Actual_Opex'!A11</f>
        <v>45658</v>
      </c>
      <c r="B740" s="3" t="str">
        <f>'03_Actual_Opex'!B11</f>
        <v>D03</v>
      </c>
      <c r="C740" s="3" t="str">
        <f>'03_Actual_Opex'!C11</f>
        <v>R&amp;D</v>
      </c>
      <c r="D740" s="3" t="str">
        <f>'03_Actual_Opex'!D11</f>
        <v>A02</v>
      </c>
      <c r="E740" s="9">
        <f>'03_Actual_Opex'!E11</f>
        <v>20000000</v>
      </c>
      <c r="F740" s="9">
        <f>E740*(1+_xlfn.XLOOKUP("R&amp;D",'01_Assumptions'!$A$11:$A$18,'01_Assumptions'!$B$11:$B$18))</f>
        <v>21800000</v>
      </c>
    </row>
    <row r="741" spans="1:6">
      <c r="A741" s="5">
        <f>'03_Actual_Opex'!A12</f>
        <v>45658</v>
      </c>
      <c r="B741" s="3" t="str">
        <f>'03_Actual_Opex'!B12</f>
        <v>D03</v>
      </c>
      <c r="C741" s="3" t="str">
        <f>'03_Actual_Opex'!C12</f>
        <v>R&amp;D</v>
      </c>
      <c r="D741" s="3" t="str">
        <f>'03_Actual_Opex'!D12</f>
        <v>A03</v>
      </c>
      <c r="E741" s="9">
        <f>'03_Actual_Opex'!E12</f>
        <v>20000000</v>
      </c>
      <c r="F741" s="9">
        <f>E741*(1+_xlfn.XLOOKUP("R&amp;D",'01_Assumptions'!$A$11:$A$18,'01_Assumptions'!$B$11:$B$18))</f>
        <v>21800000</v>
      </c>
    </row>
    <row r="742" spans="1:6">
      <c r="A742" s="5">
        <f>'03_Actual_Opex'!A13</f>
        <v>45658</v>
      </c>
      <c r="B742" s="3" t="str">
        <f>'03_Actual_Opex'!B13</f>
        <v>D03</v>
      </c>
      <c r="C742" s="3" t="str">
        <f>'03_Actual_Opex'!C13</f>
        <v>R&amp;D</v>
      </c>
      <c r="D742" s="3" t="str">
        <f>'03_Actual_Opex'!D13</f>
        <v>A04</v>
      </c>
      <c r="E742" s="9">
        <f>'03_Actual_Opex'!E13</f>
        <v>20000000</v>
      </c>
      <c r="F742" s="9">
        <f>E742*(1+_xlfn.XLOOKUP("R&amp;D",'01_Assumptions'!$A$11:$A$18,'01_Assumptions'!$B$11:$B$18))</f>
        <v>21800000</v>
      </c>
    </row>
    <row r="743" spans="1:6">
      <c r="A743" s="5">
        <f>'03_Actual_Opex'!A14</f>
        <v>45658</v>
      </c>
      <c r="B743" s="3" t="str">
        <f>'03_Actual_Opex'!B14</f>
        <v>D04</v>
      </c>
      <c r="C743" s="3" t="str">
        <f>'03_Actual_Opex'!C14</f>
        <v>G&amp;A</v>
      </c>
      <c r="D743" s="3" t="str">
        <f>'03_Actual_Opex'!D14</f>
        <v>A01</v>
      </c>
      <c r="E743" s="9">
        <f>'03_Actual_Opex'!E14</f>
        <v>8000000</v>
      </c>
      <c r="F743" s="9">
        <f>E743*(1+_xlfn.XLOOKUP("G&amp;A",'01_Assumptions'!$A$11:$A$18,'01_Assumptions'!$B$11:$B$18))</f>
        <v>8400000</v>
      </c>
    </row>
    <row r="744" spans="1:6">
      <c r="A744" s="5">
        <f>'03_Actual_Opex'!A15</f>
        <v>45658</v>
      </c>
      <c r="B744" s="3" t="str">
        <f>'03_Actual_Opex'!B15</f>
        <v>D04</v>
      </c>
      <c r="C744" s="3" t="str">
        <f>'03_Actual_Opex'!C15</f>
        <v>G&amp;A</v>
      </c>
      <c r="D744" s="3" t="str">
        <f>'03_Actual_Opex'!D15</f>
        <v>A02</v>
      </c>
      <c r="E744" s="9">
        <f>'03_Actual_Opex'!E15</f>
        <v>8000000</v>
      </c>
      <c r="F744" s="9">
        <f>E744*(1+_xlfn.XLOOKUP("G&amp;A",'01_Assumptions'!$A$11:$A$18,'01_Assumptions'!$B$11:$B$18))</f>
        <v>8400000</v>
      </c>
    </row>
    <row r="745" spans="1:6">
      <c r="A745" s="5">
        <f>'03_Actual_Opex'!A16</f>
        <v>45658</v>
      </c>
      <c r="B745" s="3" t="str">
        <f>'03_Actual_Opex'!B16</f>
        <v>D04</v>
      </c>
      <c r="C745" s="3" t="str">
        <f>'03_Actual_Opex'!C16</f>
        <v>G&amp;A</v>
      </c>
      <c r="D745" s="3" t="str">
        <f>'03_Actual_Opex'!D16</f>
        <v>A03</v>
      </c>
      <c r="E745" s="9">
        <f>'03_Actual_Opex'!E16</f>
        <v>8000000</v>
      </c>
      <c r="F745" s="9">
        <f>E745*(1+_xlfn.XLOOKUP("G&amp;A",'01_Assumptions'!$A$11:$A$18,'01_Assumptions'!$B$11:$B$18))</f>
        <v>8400000</v>
      </c>
    </row>
    <row r="746" spans="1:6">
      <c r="A746" s="5">
        <f>'03_Actual_Opex'!A17</f>
        <v>45658</v>
      </c>
      <c r="B746" s="3" t="str">
        <f>'03_Actual_Opex'!B17</f>
        <v>D04</v>
      </c>
      <c r="C746" s="3" t="str">
        <f>'03_Actual_Opex'!C17</f>
        <v>G&amp;A</v>
      </c>
      <c r="D746" s="3" t="str">
        <f>'03_Actual_Opex'!D17</f>
        <v>A04</v>
      </c>
      <c r="E746" s="9">
        <f>'03_Actual_Opex'!E17</f>
        <v>8000000</v>
      </c>
      <c r="F746" s="9">
        <f>E746*(1+_xlfn.XLOOKUP("G&amp;A",'01_Assumptions'!$A$11:$A$18,'01_Assumptions'!$B$11:$B$18))</f>
        <v>8400000</v>
      </c>
    </row>
    <row r="747" spans="1:6">
      <c r="A747" s="5">
        <f>'03_Actual_Opex'!A18</f>
        <v>45658</v>
      </c>
      <c r="B747" s="3" t="str">
        <f>'03_Actual_Opex'!B18</f>
        <v>D05</v>
      </c>
      <c r="C747" s="3" t="str">
        <f>'03_Actual_Opex'!C18</f>
        <v>IT</v>
      </c>
      <c r="D747" s="3" t="str">
        <f>'03_Actual_Opex'!D18</f>
        <v>A01</v>
      </c>
      <c r="E747" s="9">
        <f>'03_Actual_Opex'!E18</f>
        <v>12000000</v>
      </c>
      <c r="F747" s="9">
        <f>E747*(1+_xlfn.XLOOKUP("IT",'01_Assumptions'!$A$11:$A$18,'01_Assumptions'!$B$11:$B$18))</f>
        <v>12960000</v>
      </c>
    </row>
    <row r="748" spans="1:6">
      <c r="A748" s="5">
        <f>'03_Actual_Opex'!A19</f>
        <v>45658</v>
      </c>
      <c r="B748" s="3" t="str">
        <f>'03_Actual_Opex'!B19</f>
        <v>D05</v>
      </c>
      <c r="C748" s="3" t="str">
        <f>'03_Actual_Opex'!C19</f>
        <v>IT</v>
      </c>
      <c r="D748" s="3" t="str">
        <f>'03_Actual_Opex'!D19</f>
        <v>A02</v>
      </c>
      <c r="E748" s="9">
        <f>'03_Actual_Opex'!E19</f>
        <v>12000000</v>
      </c>
      <c r="F748" s="9">
        <f>E748*(1+_xlfn.XLOOKUP("IT",'01_Assumptions'!$A$11:$A$18,'01_Assumptions'!$B$11:$B$18))</f>
        <v>12960000</v>
      </c>
    </row>
    <row r="749" spans="1:6">
      <c r="A749" s="5">
        <f>'03_Actual_Opex'!A20</f>
        <v>45658</v>
      </c>
      <c r="B749" s="3" t="str">
        <f>'03_Actual_Opex'!B20</f>
        <v>D05</v>
      </c>
      <c r="C749" s="3" t="str">
        <f>'03_Actual_Opex'!C20</f>
        <v>IT</v>
      </c>
      <c r="D749" s="3" t="str">
        <f>'03_Actual_Opex'!D20</f>
        <v>A03</v>
      </c>
      <c r="E749" s="9">
        <f>'03_Actual_Opex'!E20</f>
        <v>12000000</v>
      </c>
      <c r="F749" s="9">
        <f>E749*(1+_xlfn.XLOOKUP("IT",'01_Assumptions'!$A$11:$A$18,'01_Assumptions'!$B$11:$B$18))</f>
        <v>12960000</v>
      </c>
    </row>
    <row r="750" spans="1:6">
      <c r="A750" s="5">
        <f>'03_Actual_Opex'!A21</f>
        <v>45658</v>
      </c>
      <c r="B750" s="3" t="str">
        <f>'03_Actual_Opex'!B21</f>
        <v>D05</v>
      </c>
      <c r="C750" s="3" t="str">
        <f>'03_Actual_Opex'!C21</f>
        <v>IT</v>
      </c>
      <c r="D750" s="3" t="str">
        <f>'03_Actual_Opex'!D21</f>
        <v>A04</v>
      </c>
      <c r="E750" s="9">
        <f>'03_Actual_Opex'!E21</f>
        <v>12000000</v>
      </c>
      <c r="F750" s="9">
        <f>E750*(1+_xlfn.XLOOKUP("IT",'01_Assumptions'!$A$11:$A$18,'01_Assumptions'!$B$11:$B$18))</f>
        <v>12960000</v>
      </c>
    </row>
    <row r="751" spans="1:6">
      <c r="A751" s="5">
        <f>'03_Actual_Opex'!A22</f>
        <v>45658</v>
      </c>
      <c r="B751" s="3" t="str">
        <f>'03_Actual_Opex'!B22</f>
        <v>D06</v>
      </c>
      <c r="C751" s="3" t="str">
        <f>'03_Actual_Opex'!C22</f>
        <v>Customer Operations</v>
      </c>
      <c r="D751" s="3" t="str">
        <f>'03_Actual_Opex'!D22</f>
        <v>A01</v>
      </c>
      <c r="E751" s="9">
        <f>'03_Actual_Opex'!E22</f>
        <v>10000000</v>
      </c>
      <c r="F751" s="9">
        <f>E751*(1+_xlfn.XLOOKUP("Customer Operations",'01_Assumptions'!$A$11:$A$18,'01_Assumptions'!$B$11:$B$18))</f>
        <v>10600000</v>
      </c>
    </row>
    <row r="752" spans="1:6">
      <c r="A752" s="5">
        <f>'03_Actual_Opex'!A23</f>
        <v>45658</v>
      </c>
      <c r="B752" s="3" t="str">
        <f>'03_Actual_Opex'!B23</f>
        <v>D06</v>
      </c>
      <c r="C752" s="3" t="str">
        <f>'03_Actual_Opex'!C23</f>
        <v>Customer Operations</v>
      </c>
      <c r="D752" s="3" t="str">
        <f>'03_Actual_Opex'!D23</f>
        <v>A02</v>
      </c>
      <c r="E752" s="9">
        <f>'03_Actual_Opex'!E23</f>
        <v>10000000</v>
      </c>
      <c r="F752" s="9">
        <f>E752*(1+_xlfn.XLOOKUP("Customer Operations",'01_Assumptions'!$A$11:$A$18,'01_Assumptions'!$B$11:$B$18))</f>
        <v>10600000</v>
      </c>
    </row>
    <row r="753" spans="1:6">
      <c r="A753" s="5">
        <f>'03_Actual_Opex'!A24</f>
        <v>45658</v>
      </c>
      <c r="B753" s="3" t="str">
        <f>'03_Actual_Opex'!B24</f>
        <v>D06</v>
      </c>
      <c r="C753" s="3" t="str">
        <f>'03_Actual_Opex'!C24</f>
        <v>Customer Operations</v>
      </c>
      <c r="D753" s="3" t="str">
        <f>'03_Actual_Opex'!D24</f>
        <v>A03</v>
      </c>
      <c r="E753" s="9">
        <f>'03_Actual_Opex'!E24</f>
        <v>10000000</v>
      </c>
      <c r="F753" s="9">
        <f>E753*(1+_xlfn.XLOOKUP("Customer Operations",'01_Assumptions'!$A$11:$A$18,'01_Assumptions'!$B$11:$B$18))</f>
        <v>10600000</v>
      </c>
    </row>
    <row r="754" spans="1:6">
      <c r="A754" s="5">
        <f>'03_Actual_Opex'!A25</f>
        <v>45658</v>
      </c>
      <c r="B754" s="3" t="str">
        <f>'03_Actual_Opex'!B25</f>
        <v>D06</v>
      </c>
      <c r="C754" s="3" t="str">
        <f>'03_Actual_Opex'!C25</f>
        <v>Customer Operations</v>
      </c>
      <c r="D754" s="3" t="str">
        <f>'03_Actual_Opex'!D25</f>
        <v>A04</v>
      </c>
      <c r="E754" s="9">
        <f>'03_Actual_Opex'!E25</f>
        <v>10000000</v>
      </c>
      <c r="F754" s="9">
        <f>E754*(1+_xlfn.XLOOKUP("Customer Operations",'01_Assumptions'!$A$11:$A$18,'01_Assumptions'!$B$11:$B$18))</f>
        <v>10600000</v>
      </c>
    </row>
    <row r="755" spans="1:6">
      <c r="A755" s="5">
        <f>'03_Actual_Opex'!A26</f>
        <v>45658</v>
      </c>
      <c r="B755" s="3" t="str">
        <f>'03_Actual_Opex'!B26</f>
        <v>D07</v>
      </c>
      <c r="C755" s="3" t="str">
        <f>'03_Actual_Opex'!C26</f>
        <v>HR</v>
      </c>
      <c r="D755" s="3" t="str">
        <f>'03_Actual_Opex'!D26</f>
        <v>A01</v>
      </c>
      <c r="E755" s="9">
        <f>'03_Actual_Opex'!E26</f>
        <v>3000000</v>
      </c>
      <c r="F755" s="9">
        <f>E755*(1+_xlfn.XLOOKUP("HR",'01_Assumptions'!$A$11:$A$18,'01_Assumptions'!$B$11:$B$18))</f>
        <v>3150000</v>
      </c>
    </row>
    <row r="756" spans="1:6">
      <c r="A756" s="5">
        <f>'03_Actual_Opex'!A27</f>
        <v>45658</v>
      </c>
      <c r="B756" s="3" t="str">
        <f>'03_Actual_Opex'!B27</f>
        <v>D07</v>
      </c>
      <c r="C756" s="3" t="str">
        <f>'03_Actual_Opex'!C27</f>
        <v>HR</v>
      </c>
      <c r="D756" s="3" t="str">
        <f>'03_Actual_Opex'!D27</f>
        <v>A02</v>
      </c>
      <c r="E756" s="9">
        <f>'03_Actual_Opex'!E27</f>
        <v>3000000</v>
      </c>
      <c r="F756" s="9">
        <f>E756*(1+_xlfn.XLOOKUP("HR",'01_Assumptions'!$A$11:$A$18,'01_Assumptions'!$B$11:$B$18))</f>
        <v>3150000</v>
      </c>
    </row>
    <row r="757" spans="1:6">
      <c r="A757" s="5">
        <f>'03_Actual_Opex'!A28</f>
        <v>45658</v>
      </c>
      <c r="B757" s="3" t="str">
        <f>'03_Actual_Opex'!B28</f>
        <v>D07</v>
      </c>
      <c r="C757" s="3" t="str">
        <f>'03_Actual_Opex'!C28</f>
        <v>HR</v>
      </c>
      <c r="D757" s="3" t="str">
        <f>'03_Actual_Opex'!D28</f>
        <v>A03</v>
      </c>
      <c r="E757" s="9">
        <f>'03_Actual_Opex'!E28</f>
        <v>3000000</v>
      </c>
      <c r="F757" s="9">
        <f>E757*(1+_xlfn.XLOOKUP("HR",'01_Assumptions'!$A$11:$A$18,'01_Assumptions'!$B$11:$B$18))</f>
        <v>3150000</v>
      </c>
    </row>
    <row r="758" spans="1:6">
      <c r="A758" s="5">
        <f>'03_Actual_Opex'!A29</f>
        <v>45658</v>
      </c>
      <c r="B758" s="3" t="str">
        <f>'03_Actual_Opex'!B29</f>
        <v>D07</v>
      </c>
      <c r="C758" s="3" t="str">
        <f>'03_Actual_Opex'!C29</f>
        <v>HR</v>
      </c>
      <c r="D758" s="3" t="str">
        <f>'03_Actual_Opex'!D29</f>
        <v>A04</v>
      </c>
      <c r="E758" s="9">
        <f>'03_Actual_Opex'!E29</f>
        <v>3000000</v>
      </c>
      <c r="F758" s="9">
        <f>E758*(1+_xlfn.XLOOKUP("HR",'01_Assumptions'!$A$11:$A$18,'01_Assumptions'!$B$11:$B$18))</f>
        <v>3150000</v>
      </c>
    </row>
    <row r="759" spans="1:6">
      <c r="A759" s="5">
        <f>'03_Actual_Opex'!A30</f>
        <v>45658</v>
      </c>
      <c r="B759" s="3" t="str">
        <f>'03_Actual_Opex'!B30</f>
        <v>D08</v>
      </c>
      <c r="C759" s="3" t="str">
        <f>'03_Actual_Opex'!C30</f>
        <v>Facilities</v>
      </c>
      <c r="D759" s="3" t="str">
        <f>'03_Actual_Opex'!D30</f>
        <v>A01</v>
      </c>
      <c r="E759" s="9">
        <f>'03_Actual_Opex'!E30</f>
        <v>8000000</v>
      </c>
      <c r="F759" s="9">
        <f>E759*(1+_xlfn.XLOOKUP("Facilities",'01_Assumptions'!$A$11:$A$18,'01_Assumptions'!$B$11:$B$18))</f>
        <v>8400000</v>
      </c>
    </row>
    <row r="760" spans="1:6">
      <c r="A760" s="5">
        <f>'03_Actual_Opex'!A31</f>
        <v>45658</v>
      </c>
      <c r="B760" s="3" t="str">
        <f>'03_Actual_Opex'!B31</f>
        <v>D08</v>
      </c>
      <c r="C760" s="3" t="str">
        <f>'03_Actual_Opex'!C31</f>
        <v>Facilities</v>
      </c>
      <c r="D760" s="3" t="str">
        <f>'03_Actual_Opex'!D31</f>
        <v>A02</v>
      </c>
      <c r="E760" s="9">
        <f>'03_Actual_Opex'!E31</f>
        <v>8000000</v>
      </c>
      <c r="F760" s="9">
        <f>E760*(1+_xlfn.XLOOKUP("Facilities",'01_Assumptions'!$A$11:$A$18,'01_Assumptions'!$B$11:$B$18))</f>
        <v>8400000</v>
      </c>
    </row>
    <row r="761" spans="1:6">
      <c r="A761" s="5">
        <f>'03_Actual_Opex'!A32</f>
        <v>45658</v>
      </c>
      <c r="B761" s="3" t="str">
        <f>'03_Actual_Opex'!B32</f>
        <v>D08</v>
      </c>
      <c r="C761" s="3" t="str">
        <f>'03_Actual_Opex'!C32</f>
        <v>Facilities</v>
      </c>
      <c r="D761" s="3" t="str">
        <f>'03_Actual_Opex'!D32</f>
        <v>A03</v>
      </c>
      <c r="E761" s="9">
        <f>'03_Actual_Opex'!E32</f>
        <v>8000000</v>
      </c>
      <c r="F761" s="9">
        <f>E761*(1+_xlfn.XLOOKUP("Facilities",'01_Assumptions'!$A$11:$A$18,'01_Assumptions'!$B$11:$B$18))</f>
        <v>8400000</v>
      </c>
    </row>
    <row r="762" spans="1:6">
      <c r="A762" s="5">
        <f>'03_Actual_Opex'!A33</f>
        <v>45658</v>
      </c>
      <c r="B762" s="3" t="str">
        <f>'03_Actual_Opex'!B33</f>
        <v>D08</v>
      </c>
      <c r="C762" s="3" t="str">
        <f>'03_Actual_Opex'!C33</f>
        <v>Facilities</v>
      </c>
      <c r="D762" s="3" t="str">
        <f>'03_Actual_Opex'!D33</f>
        <v>A04</v>
      </c>
      <c r="E762" s="9">
        <f>'03_Actual_Opex'!E33</f>
        <v>8000000</v>
      </c>
      <c r="F762" s="9">
        <f>E762*(1+_xlfn.XLOOKUP("Facilities",'01_Assumptions'!$A$11:$A$18,'01_Assumptions'!$B$11:$B$18))</f>
        <v>8400000</v>
      </c>
    </row>
    <row r="763" spans="1:6">
      <c r="A763" s="5">
        <f>'03_Actual_Opex'!A34</f>
        <v>45689</v>
      </c>
      <c r="B763" s="3" t="str">
        <f>'03_Actual_Opex'!B34</f>
        <v>D01</v>
      </c>
      <c r="C763" s="3" t="str">
        <f>'03_Actual_Opex'!C34</f>
        <v>Sales</v>
      </c>
      <c r="D763" s="3" t="str">
        <f>'03_Actual_Opex'!D34</f>
        <v>A01</v>
      </c>
      <c r="E763" s="9">
        <f>'03_Actual_Opex'!E34</f>
        <v>8000000</v>
      </c>
      <c r="F763" s="9">
        <f>E763*(1+_xlfn.XLOOKUP("Sales",'01_Assumptions'!$A$11:$A$18,'01_Assumptions'!$B$11:$B$18))</f>
        <v>8480000</v>
      </c>
    </row>
    <row r="764" spans="1:6">
      <c r="A764" s="5">
        <f>'03_Actual_Opex'!A35</f>
        <v>45689</v>
      </c>
      <c r="B764" s="3" t="str">
        <f>'03_Actual_Opex'!B35</f>
        <v>D01</v>
      </c>
      <c r="C764" s="3" t="str">
        <f>'03_Actual_Opex'!C35</f>
        <v>Sales</v>
      </c>
      <c r="D764" s="3" t="str">
        <f>'03_Actual_Opex'!D35</f>
        <v>A02</v>
      </c>
      <c r="E764" s="9">
        <f>'03_Actual_Opex'!E35</f>
        <v>8000000</v>
      </c>
      <c r="F764" s="9">
        <f>E764*(1+_xlfn.XLOOKUP("Sales",'01_Assumptions'!$A$11:$A$18,'01_Assumptions'!$B$11:$B$18))</f>
        <v>8480000</v>
      </c>
    </row>
    <row r="765" spans="1:6">
      <c r="A765" s="5">
        <f>'03_Actual_Opex'!A36</f>
        <v>45689</v>
      </c>
      <c r="B765" s="3" t="str">
        <f>'03_Actual_Opex'!B36</f>
        <v>D01</v>
      </c>
      <c r="C765" s="3" t="str">
        <f>'03_Actual_Opex'!C36</f>
        <v>Sales</v>
      </c>
      <c r="D765" s="3" t="str">
        <f>'03_Actual_Opex'!D36</f>
        <v>A03</v>
      </c>
      <c r="E765" s="9">
        <f>'03_Actual_Opex'!E36</f>
        <v>8000000</v>
      </c>
      <c r="F765" s="9">
        <f>E765*(1+_xlfn.XLOOKUP("Sales",'01_Assumptions'!$A$11:$A$18,'01_Assumptions'!$B$11:$B$18))</f>
        <v>8480000</v>
      </c>
    </row>
    <row r="766" spans="1:6">
      <c r="A766" s="5">
        <f>'03_Actual_Opex'!A37</f>
        <v>45689</v>
      </c>
      <c r="B766" s="3" t="str">
        <f>'03_Actual_Opex'!B37</f>
        <v>D01</v>
      </c>
      <c r="C766" s="3" t="str">
        <f>'03_Actual_Opex'!C37</f>
        <v>Sales</v>
      </c>
      <c r="D766" s="3" t="str">
        <f>'03_Actual_Opex'!D37</f>
        <v>A04</v>
      </c>
      <c r="E766" s="9">
        <f>'03_Actual_Opex'!E37</f>
        <v>8000000</v>
      </c>
      <c r="F766" s="9">
        <f>E766*(1+_xlfn.XLOOKUP("Sales",'01_Assumptions'!$A$11:$A$18,'01_Assumptions'!$B$11:$B$18))</f>
        <v>8480000</v>
      </c>
    </row>
    <row r="767" spans="1:6">
      <c r="A767" s="5">
        <f>'03_Actual_Opex'!A38</f>
        <v>45689</v>
      </c>
      <c r="B767" s="3" t="str">
        <f>'03_Actual_Opex'!B38</f>
        <v>D02</v>
      </c>
      <c r="C767" s="3" t="str">
        <f>'03_Actual_Opex'!C38</f>
        <v>Marketing</v>
      </c>
      <c r="D767" s="3" t="str">
        <f>'03_Actual_Opex'!D38</f>
        <v>A01</v>
      </c>
      <c r="E767" s="9">
        <f>'03_Actual_Opex'!E38</f>
        <v>30000000</v>
      </c>
      <c r="F767" s="9">
        <f>E767*(1+_xlfn.XLOOKUP("Marketing",'01_Assumptions'!$A$11:$A$18,'01_Assumptions'!$B$11:$B$18))</f>
        <v>32100000.000000004</v>
      </c>
    </row>
    <row r="768" spans="1:6">
      <c r="A768" s="5">
        <f>'03_Actual_Opex'!A39</f>
        <v>45689</v>
      </c>
      <c r="B768" s="3" t="str">
        <f>'03_Actual_Opex'!B39</f>
        <v>D02</v>
      </c>
      <c r="C768" s="3" t="str">
        <f>'03_Actual_Opex'!C39</f>
        <v>Marketing</v>
      </c>
      <c r="D768" s="3" t="str">
        <f>'03_Actual_Opex'!D39</f>
        <v>A02</v>
      </c>
      <c r="E768" s="9">
        <f>'03_Actual_Opex'!E39</f>
        <v>30000000</v>
      </c>
      <c r="F768" s="9">
        <f>E768*(1+_xlfn.XLOOKUP("Marketing",'01_Assumptions'!$A$11:$A$18,'01_Assumptions'!$B$11:$B$18))</f>
        <v>32100000.000000004</v>
      </c>
    </row>
    <row r="769" spans="1:6">
      <c r="A769" s="5">
        <f>'03_Actual_Opex'!A40</f>
        <v>45689</v>
      </c>
      <c r="B769" s="3" t="str">
        <f>'03_Actual_Opex'!B40</f>
        <v>D02</v>
      </c>
      <c r="C769" s="3" t="str">
        <f>'03_Actual_Opex'!C40</f>
        <v>Marketing</v>
      </c>
      <c r="D769" s="3" t="str">
        <f>'03_Actual_Opex'!D40</f>
        <v>A03</v>
      </c>
      <c r="E769" s="9">
        <f>'03_Actual_Opex'!E40</f>
        <v>30000000</v>
      </c>
      <c r="F769" s="9">
        <f>E769*(1+_xlfn.XLOOKUP("Marketing",'01_Assumptions'!$A$11:$A$18,'01_Assumptions'!$B$11:$B$18))</f>
        <v>32100000.000000004</v>
      </c>
    </row>
    <row r="770" spans="1:6">
      <c r="A770" s="5">
        <f>'03_Actual_Opex'!A41</f>
        <v>45689</v>
      </c>
      <c r="B770" s="3" t="str">
        <f>'03_Actual_Opex'!B41</f>
        <v>D02</v>
      </c>
      <c r="C770" s="3" t="str">
        <f>'03_Actual_Opex'!C41</f>
        <v>Marketing</v>
      </c>
      <c r="D770" s="3" t="str">
        <f>'03_Actual_Opex'!D41</f>
        <v>A04</v>
      </c>
      <c r="E770" s="9">
        <f>'03_Actual_Opex'!E41</f>
        <v>30000000</v>
      </c>
      <c r="F770" s="9">
        <f>E770*(1+_xlfn.XLOOKUP("Marketing",'01_Assumptions'!$A$11:$A$18,'01_Assumptions'!$B$11:$B$18))</f>
        <v>32100000.000000004</v>
      </c>
    </row>
    <row r="771" spans="1:6">
      <c r="A771" s="5">
        <f>'03_Actual_Opex'!A42</f>
        <v>45689</v>
      </c>
      <c r="B771" s="3" t="str">
        <f>'03_Actual_Opex'!B42</f>
        <v>D03</v>
      </c>
      <c r="C771" s="3" t="str">
        <f>'03_Actual_Opex'!C42</f>
        <v>R&amp;D</v>
      </c>
      <c r="D771" s="3" t="str">
        <f>'03_Actual_Opex'!D42</f>
        <v>A01</v>
      </c>
      <c r="E771" s="9">
        <f>'03_Actual_Opex'!E42</f>
        <v>20000000</v>
      </c>
      <c r="F771" s="9">
        <f>E771*(1+_xlfn.XLOOKUP("R&amp;D",'01_Assumptions'!$A$11:$A$18,'01_Assumptions'!$B$11:$B$18))</f>
        <v>21800000</v>
      </c>
    </row>
    <row r="772" spans="1:6">
      <c r="A772" s="5">
        <f>'03_Actual_Opex'!A43</f>
        <v>45689</v>
      </c>
      <c r="B772" s="3" t="str">
        <f>'03_Actual_Opex'!B43</f>
        <v>D03</v>
      </c>
      <c r="C772" s="3" t="str">
        <f>'03_Actual_Opex'!C43</f>
        <v>R&amp;D</v>
      </c>
      <c r="D772" s="3" t="str">
        <f>'03_Actual_Opex'!D43</f>
        <v>A02</v>
      </c>
      <c r="E772" s="9">
        <f>'03_Actual_Opex'!E43</f>
        <v>20000000</v>
      </c>
      <c r="F772" s="9">
        <f>E772*(1+_xlfn.XLOOKUP("R&amp;D",'01_Assumptions'!$A$11:$A$18,'01_Assumptions'!$B$11:$B$18))</f>
        <v>21800000</v>
      </c>
    </row>
    <row r="773" spans="1:6">
      <c r="A773" s="5">
        <f>'03_Actual_Opex'!A44</f>
        <v>45689</v>
      </c>
      <c r="B773" s="3" t="str">
        <f>'03_Actual_Opex'!B44</f>
        <v>D03</v>
      </c>
      <c r="C773" s="3" t="str">
        <f>'03_Actual_Opex'!C44</f>
        <v>R&amp;D</v>
      </c>
      <c r="D773" s="3" t="str">
        <f>'03_Actual_Opex'!D44</f>
        <v>A03</v>
      </c>
      <c r="E773" s="9">
        <f>'03_Actual_Opex'!E44</f>
        <v>20000000</v>
      </c>
      <c r="F773" s="9">
        <f>E773*(1+_xlfn.XLOOKUP("R&amp;D",'01_Assumptions'!$A$11:$A$18,'01_Assumptions'!$B$11:$B$18))</f>
        <v>21800000</v>
      </c>
    </row>
    <row r="774" spans="1:6">
      <c r="A774" s="5">
        <f>'03_Actual_Opex'!A45</f>
        <v>45689</v>
      </c>
      <c r="B774" s="3" t="str">
        <f>'03_Actual_Opex'!B45</f>
        <v>D03</v>
      </c>
      <c r="C774" s="3" t="str">
        <f>'03_Actual_Opex'!C45</f>
        <v>R&amp;D</v>
      </c>
      <c r="D774" s="3" t="str">
        <f>'03_Actual_Opex'!D45</f>
        <v>A04</v>
      </c>
      <c r="E774" s="9">
        <f>'03_Actual_Opex'!E45</f>
        <v>20000000</v>
      </c>
      <c r="F774" s="9">
        <f>E774*(1+_xlfn.XLOOKUP("R&amp;D",'01_Assumptions'!$A$11:$A$18,'01_Assumptions'!$B$11:$B$18))</f>
        <v>21800000</v>
      </c>
    </row>
    <row r="775" spans="1:6">
      <c r="A775" s="5">
        <f>'03_Actual_Opex'!A46</f>
        <v>45689</v>
      </c>
      <c r="B775" s="3" t="str">
        <f>'03_Actual_Opex'!B46</f>
        <v>D04</v>
      </c>
      <c r="C775" s="3" t="str">
        <f>'03_Actual_Opex'!C46</f>
        <v>G&amp;A</v>
      </c>
      <c r="D775" s="3" t="str">
        <f>'03_Actual_Opex'!D46</f>
        <v>A01</v>
      </c>
      <c r="E775" s="9">
        <f>'03_Actual_Opex'!E46</f>
        <v>8000000</v>
      </c>
      <c r="F775" s="9">
        <f>E775*(1+_xlfn.XLOOKUP("G&amp;A",'01_Assumptions'!$A$11:$A$18,'01_Assumptions'!$B$11:$B$18))</f>
        <v>8400000</v>
      </c>
    </row>
    <row r="776" spans="1:6">
      <c r="A776" s="5">
        <f>'03_Actual_Opex'!A47</f>
        <v>45689</v>
      </c>
      <c r="B776" s="3" t="str">
        <f>'03_Actual_Opex'!B47</f>
        <v>D04</v>
      </c>
      <c r="C776" s="3" t="str">
        <f>'03_Actual_Opex'!C47</f>
        <v>G&amp;A</v>
      </c>
      <c r="D776" s="3" t="str">
        <f>'03_Actual_Opex'!D47</f>
        <v>A02</v>
      </c>
      <c r="E776" s="9">
        <f>'03_Actual_Opex'!E47</f>
        <v>8000000</v>
      </c>
      <c r="F776" s="9">
        <f>E776*(1+_xlfn.XLOOKUP("G&amp;A",'01_Assumptions'!$A$11:$A$18,'01_Assumptions'!$B$11:$B$18))</f>
        <v>8400000</v>
      </c>
    </row>
    <row r="777" spans="1:6">
      <c r="A777" s="5">
        <f>'03_Actual_Opex'!A48</f>
        <v>45689</v>
      </c>
      <c r="B777" s="3" t="str">
        <f>'03_Actual_Opex'!B48</f>
        <v>D04</v>
      </c>
      <c r="C777" s="3" t="str">
        <f>'03_Actual_Opex'!C48</f>
        <v>G&amp;A</v>
      </c>
      <c r="D777" s="3" t="str">
        <f>'03_Actual_Opex'!D48</f>
        <v>A03</v>
      </c>
      <c r="E777" s="9">
        <f>'03_Actual_Opex'!E48</f>
        <v>8000000</v>
      </c>
      <c r="F777" s="9">
        <f>E777*(1+_xlfn.XLOOKUP("G&amp;A",'01_Assumptions'!$A$11:$A$18,'01_Assumptions'!$B$11:$B$18))</f>
        <v>8400000</v>
      </c>
    </row>
    <row r="778" spans="1:6">
      <c r="A778" s="5">
        <f>'03_Actual_Opex'!A49</f>
        <v>45689</v>
      </c>
      <c r="B778" s="3" t="str">
        <f>'03_Actual_Opex'!B49</f>
        <v>D04</v>
      </c>
      <c r="C778" s="3" t="str">
        <f>'03_Actual_Opex'!C49</f>
        <v>G&amp;A</v>
      </c>
      <c r="D778" s="3" t="str">
        <f>'03_Actual_Opex'!D49</f>
        <v>A04</v>
      </c>
      <c r="E778" s="9">
        <f>'03_Actual_Opex'!E49</f>
        <v>8000000</v>
      </c>
      <c r="F778" s="9">
        <f>E778*(1+_xlfn.XLOOKUP("G&amp;A",'01_Assumptions'!$A$11:$A$18,'01_Assumptions'!$B$11:$B$18))</f>
        <v>8400000</v>
      </c>
    </row>
    <row r="779" spans="1:6">
      <c r="A779" s="5">
        <f>'03_Actual_Opex'!A50</f>
        <v>45689</v>
      </c>
      <c r="B779" s="3" t="str">
        <f>'03_Actual_Opex'!B50</f>
        <v>D05</v>
      </c>
      <c r="C779" s="3" t="str">
        <f>'03_Actual_Opex'!C50</f>
        <v>IT</v>
      </c>
      <c r="D779" s="3" t="str">
        <f>'03_Actual_Opex'!D50</f>
        <v>A01</v>
      </c>
      <c r="E779" s="9">
        <f>'03_Actual_Opex'!E50</f>
        <v>12000000</v>
      </c>
      <c r="F779" s="9">
        <f>E779*(1+_xlfn.XLOOKUP("IT",'01_Assumptions'!$A$11:$A$18,'01_Assumptions'!$B$11:$B$18))</f>
        <v>12960000</v>
      </c>
    </row>
    <row r="780" spans="1:6">
      <c r="A780" s="5">
        <f>'03_Actual_Opex'!A51</f>
        <v>45689</v>
      </c>
      <c r="B780" s="3" t="str">
        <f>'03_Actual_Opex'!B51</f>
        <v>D05</v>
      </c>
      <c r="C780" s="3" t="str">
        <f>'03_Actual_Opex'!C51</f>
        <v>IT</v>
      </c>
      <c r="D780" s="3" t="str">
        <f>'03_Actual_Opex'!D51</f>
        <v>A02</v>
      </c>
      <c r="E780" s="9">
        <f>'03_Actual_Opex'!E51</f>
        <v>12000000</v>
      </c>
      <c r="F780" s="9">
        <f>E780*(1+_xlfn.XLOOKUP("IT",'01_Assumptions'!$A$11:$A$18,'01_Assumptions'!$B$11:$B$18))</f>
        <v>12960000</v>
      </c>
    </row>
    <row r="781" spans="1:6">
      <c r="A781" s="5">
        <f>'03_Actual_Opex'!A52</f>
        <v>45689</v>
      </c>
      <c r="B781" s="3" t="str">
        <f>'03_Actual_Opex'!B52</f>
        <v>D05</v>
      </c>
      <c r="C781" s="3" t="str">
        <f>'03_Actual_Opex'!C52</f>
        <v>IT</v>
      </c>
      <c r="D781" s="3" t="str">
        <f>'03_Actual_Opex'!D52</f>
        <v>A03</v>
      </c>
      <c r="E781" s="9">
        <f>'03_Actual_Opex'!E52</f>
        <v>12000000</v>
      </c>
      <c r="F781" s="9">
        <f>E781*(1+_xlfn.XLOOKUP("IT",'01_Assumptions'!$A$11:$A$18,'01_Assumptions'!$B$11:$B$18))</f>
        <v>12960000</v>
      </c>
    </row>
    <row r="782" spans="1:6">
      <c r="A782" s="5">
        <f>'03_Actual_Opex'!A53</f>
        <v>45689</v>
      </c>
      <c r="B782" s="3" t="str">
        <f>'03_Actual_Opex'!B53</f>
        <v>D05</v>
      </c>
      <c r="C782" s="3" t="str">
        <f>'03_Actual_Opex'!C53</f>
        <v>IT</v>
      </c>
      <c r="D782" s="3" t="str">
        <f>'03_Actual_Opex'!D53</f>
        <v>A04</v>
      </c>
      <c r="E782" s="9">
        <f>'03_Actual_Opex'!E53</f>
        <v>12000000</v>
      </c>
      <c r="F782" s="9">
        <f>E782*(1+_xlfn.XLOOKUP("IT",'01_Assumptions'!$A$11:$A$18,'01_Assumptions'!$B$11:$B$18))</f>
        <v>12960000</v>
      </c>
    </row>
    <row r="783" spans="1:6">
      <c r="A783" s="5">
        <f>'03_Actual_Opex'!A54</f>
        <v>45689</v>
      </c>
      <c r="B783" s="3" t="str">
        <f>'03_Actual_Opex'!B54</f>
        <v>D06</v>
      </c>
      <c r="C783" s="3" t="str">
        <f>'03_Actual_Opex'!C54</f>
        <v>Customer Operations</v>
      </c>
      <c r="D783" s="3" t="str">
        <f>'03_Actual_Opex'!D54</f>
        <v>A01</v>
      </c>
      <c r="E783" s="9">
        <f>'03_Actual_Opex'!E54</f>
        <v>10000000</v>
      </c>
      <c r="F783" s="9">
        <f>E783*(1+_xlfn.XLOOKUP("Customer Operations",'01_Assumptions'!$A$11:$A$18,'01_Assumptions'!$B$11:$B$18))</f>
        <v>10600000</v>
      </c>
    </row>
    <row r="784" spans="1:6">
      <c r="A784" s="5">
        <f>'03_Actual_Opex'!A55</f>
        <v>45689</v>
      </c>
      <c r="B784" s="3" t="str">
        <f>'03_Actual_Opex'!B55</f>
        <v>D06</v>
      </c>
      <c r="C784" s="3" t="str">
        <f>'03_Actual_Opex'!C55</f>
        <v>Customer Operations</v>
      </c>
      <c r="D784" s="3" t="str">
        <f>'03_Actual_Opex'!D55</f>
        <v>A02</v>
      </c>
      <c r="E784" s="9">
        <f>'03_Actual_Opex'!E55</f>
        <v>10000000</v>
      </c>
      <c r="F784" s="9">
        <f>E784*(1+_xlfn.XLOOKUP("Customer Operations",'01_Assumptions'!$A$11:$A$18,'01_Assumptions'!$B$11:$B$18))</f>
        <v>10600000</v>
      </c>
    </row>
    <row r="785" spans="1:6">
      <c r="A785" s="5">
        <f>'03_Actual_Opex'!A56</f>
        <v>45689</v>
      </c>
      <c r="B785" s="3" t="str">
        <f>'03_Actual_Opex'!B56</f>
        <v>D06</v>
      </c>
      <c r="C785" s="3" t="str">
        <f>'03_Actual_Opex'!C56</f>
        <v>Customer Operations</v>
      </c>
      <c r="D785" s="3" t="str">
        <f>'03_Actual_Opex'!D56</f>
        <v>A03</v>
      </c>
      <c r="E785" s="9">
        <f>'03_Actual_Opex'!E56</f>
        <v>10000000</v>
      </c>
      <c r="F785" s="9">
        <f>E785*(1+_xlfn.XLOOKUP("Customer Operations",'01_Assumptions'!$A$11:$A$18,'01_Assumptions'!$B$11:$B$18))</f>
        <v>10600000</v>
      </c>
    </row>
    <row r="786" spans="1:6">
      <c r="A786" s="5">
        <f>'03_Actual_Opex'!A57</f>
        <v>45689</v>
      </c>
      <c r="B786" s="3" t="str">
        <f>'03_Actual_Opex'!B57</f>
        <v>D06</v>
      </c>
      <c r="C786" s="3" t="str">
        <f>'03_Actual_Opex'!C57</f>
        <v>Customer Operations</v>
      </c>
      <c r="D786" s="3" t="str">
        <f>'03_Actual_Opex'!D57</f>
        <v>A04</v>
      </c>
      <c r="E786" s="9">
        <f>'03_Actual_Opex'!E57</f>
        <v>10000000</v>
      </c>
      <c r="F786" s="9">
        <f>E786*(1+_xlfn.XLOOKUP("Customer Operations",'01_Assumptions'!$A$11:$A$18,'01_Assumptions'!$B$11:$B$18))</f>
        <v>10600000</v>
      </c>
    </row>
    <row r="787" spans="1:6">
      <c r="A787" s="5">
        <f>'03_Actual_Opex'!A58</f>
        <v>45689</v>
      </c>
      <c r="B787" s="3" t="str">
        <f>'03_Actual_Opex'!B58</f>
        <v>D07</v>
      </c>
      <c r="C787" s="3" t="str">
        <f>'03_Actual_Opex'!C58</f>
        <v>HR</v>
      </c>
      <c r="D787" s="3" t="str">
        <f>'03_Actual_Opex'!D58</f>
        <v>A01</v>
      </c>
      <c r="E787" s="9">
        <f>'03_Actual_Opex'!E58</f>
        <v>3000000</v>
      </c>
      <c r="F787" s="9">
        <f>E787*(1+_xlfn.XLOOKUP("HR",'01_Assumptions'!$A$11:$A$18,'01_Assumptions'!$B$11:$B$18))</f>
        <v>3150000</v>
      </c>
    </row>
    <row r="788" spans="1:6">
      <c r="A788" s="5">
        <f>'03_Actual_Opex'!A59</f>
        <v>45689</v>
      </c>
      <c r="B788" s="3" t="str">
        <f>'03_Actual_Opex'!B59</f>
        <v>D07</v>
      </c>
      <c r="C788" s="3" t="str">
        <f>'03_Actual_Opex'!C59</f>
        <v>HR</v>
      </c>
      <c r="D788" s="3" t="str">
        <f>'03_Actual_Opex'!D59</f>
        <v>A02</v>
      </c>
      <c r="E788" s="9">
        <f>'03_Actual_Opex'!E59</f>
        <v>3000000</v>
      </c>
      <c r="F788" s="9">
        <f>E788*(1+_xlfn.XLOOKUP("HR",'01_Assumptions'!$A$11:$A$18,'01_Assumptions'!$B$11:$B$18))</f>
        <v>3150000</v>
      </c>
    </row>
    <row r="789" spans="1:6">
      <c r="A789" s="5">
        <f>'03_Actual_Opex'!A60</f>
        <v>45689</v>
      </c>
      <c r="B789" s="3" t="str">
        <f>'03_Actual_Opex'!B60</f>
        <v>D07</v>
      </c>
      <c r="C789" s="3" t="str">
        <f>'03_Actual_Opex'!C60</f>
        <v>HR</v>
      </c>
      <c r="D789" s="3" t="str">
        <f>'03_Actual_Opex'!D60</f>
        <v>A03</v>
      </c>
      <c r="E789" s="9">
        <f>'03_Actual_Opex'!E60</f>
        <v>3000000</v>
      </c>
      <c r="F789" s="9">
        <f>E789*(1+_xlfn.XLOOKUP("HR",'01_Assumptions'!$A$11:$A$18,'01_Assumptions'!$B$11:$B$18))</f>
        <v>3150000</v>
      </c>
    </row>
    <row r="790" spans="1:6">
      <c r="A790" s="5">
        <f>'03_Actual_Opex'!A61</f>
        <v>45689</v>
      </c>
      <c r="B790" s="3" t="str">
        <f>'03_Actual_Opex'!B61</f>
        <v>D07</v>
      </c>
      <c r="C790" s="3" t="str">
        <f>'03_Actual_Opex'!C61</f>
        <v>HR</v>
      </c>
      <c r="D790" s="3" t="str">
        <f>'03_Actual_Opex'!D61</f>
        <v>A04</v>
      </c>
      <c r="E790" s="9">
        <f>'03_Actual_Opex'!E61</f>
        <v>3000000</v>
      </c>
      <c r="F790" s="9">
        <f>E790*(1+_xlfn.XLOOKUP("HR",'01_Assumptions'!$A$11:$A$18,'01_Assumptions'!$B$11:$B$18))</f>
        <v>3150000</v>
      </c>
    </row>
    <row r="791" spans="1:6">
      <c r="A791" s="5">
        <f>'03_Actual_Opex'!A62</f>
        <v>45689</v>
      </c>
      <c r="B791" s="3" t="str">
        <f>'03_Actual_Opex'!B62</f>
        <v>D08</v>
      </c>
      <c r="C791" s="3" t="str">
        <f>'03_Actual_Opex'!C62</f>
        <v>Facilities</v>
      </c>
      <c r="D791" s="3" t="str">
        <f>'03_Actual_Opex'!D62</f>
        <v>A01</v>
      </c>
      <c r="E791" s="9">
        <f>'03_Actual_Opex'!E62</f>
        <v>8000000</v>
      </c>
      <c r="F791" s="9">
        <f>E791*(1+_xlfn.XLOOKUP("Facilities",'01_Assumptions'!$A$11:$A$18,'01_Assumptions'!$B$11:$B$18))</f>
        <v>8400000</v>
      </c>
    </row>
    <row r="792" spans="1:6">
      <c r="A792" s="5">
        <f>'03_Actual_Opex'!A63</f>
        <v>45689</v>
      </c>
      <c r="B792" s="3" t="str">
        <f>'03_Actual_Opex'!B63</f>
        <v>D08</v>
      </c>
      <c r="C792" s="3" t="str">
        <f>'03_Actual_Opex'!C63</f>
        <v>Facilities</v>
      </c>
      <c r="D792" s="3" t="str">
        <f>'03_Actual_Opex'!D63</f>
        <v>A02</v>
      </c>
      <c r="E792" s="9">
        <f>'03_Actual_Opex'!E63</f>
        <v>8000000</v>
      </c>
      <c r="F792" s="9">
        <f>E792*(1+_xlfn.XLOOKUP("Facilities",'01_Assumptions'!$A$11:$A$18,'01_Assumptions'!$B$11:$B$18))</f>
        <v>8400000</v>
      </c>
    </row>
    <row r="793" spans="1:6">
      <c r="A793" s="5">
        <f>'03_Actual_Opex'!A64</f>
        <v>45689</v>
      </c>
      <c r="B793" s="3" t="str">
        <f>'03_Actual_Opex'!B64</f>
        <v>D08</v>
      </c>
      <c r="C793" s="3" t="str">
        <f>'03_Actual_Opex'!C64</f>
        <v>Facilities</v>
      </c>
      <c r="D793" s="3" t="str">
        <f>'03_Actual_Opex'!D64</f>
        <v>A03</v>
      </c>
      <c r="E793" s="9">
        <f>'03_Actual_Opex'!E64</f>
        <v>8000000</v>
      </c>
      <c r="F793" s="9">
        <f>E793*(1+_xlfn.XLOOKUP("Facilities",'01_Assumptions'!$A$11:$A$18,'01_Assumptions'!$B$11:$B$18))</f>
        <v>8400000</v>
      </c>
    </row>
    <row r="794" spans="1:6">
      <c r="A794" s="5">
        <f>'03_Actual_Opex'!A65</f>
        <v>45689</v>
      </c>
      <c r="B794" s="3" t="str">
        <f>'03_Actual_Opex'!B65</f>
        <v>D08</v>
      </c>
      <c r="C794" s="3" t="str">
        <f>'03_Actual_Opex'!C65</f>
        <v>Facilities</v>
      </c>
      <c r="D794" s="3" t="str">
        <f>'03_Actual_Opex'!D65</f>
        <v>A04</v>
      </c>
      <c r="E794" s="9">
        <f>'03_Actual_Opex'!E65</f>
        <v>8000000</v>
      </c>
      <c r="F794" s="9">
        <f>E794*(1+_xlfn.XLOOKUP("Facilities",'01_Assumptions'!$A$11:$A$18,'01_Assumptions'!$B$11:$B$18))</f>
        <v>8400000</v>
      </c>
    </row>
    <row r="795" spans="1:6">
      <c r="A795" s="5">
        <f>'03_Actual_Opex'!A66</f>
        <v>45717</v>
      </c>
      <c r="B795" s="3" t="str">
        <f>'03_Actual_Opex'!B66</f>
        <v>D01</v>
      </c>
      <c r="C795" s="3" t="str">
        <f>'03_Actual_Opex'!C66</f>
        <v>Sales</v>
      </c>
      <c r="D795" s="3" t="str">
        <f>'03_Actual_Opex'!D66</f>
        <v>A01</v>
      </c>
      <c r="E795" s="9">
        <f>'03_Actual_Opex'!E66</f>
        <v>8000000</v>
      </c>
      <c r="F795" s="9">
        <f>E795*(1+_xlfn.XLOOKUP("Sales",'01_Assumptions'!$A$11:$A$18,'01_Assumptions'!$B$11:$B$18))</f>
        <v>8480000</v>
      </c>
    </row>
    <row r="796" spans="1:6">
      <c r="A796" s="5">
        <f>'03_Actual_Opex'!A67</f>
        <v>45717</v>
      </c>
      <c r="B796" s="3" t="str">
        <f>'03_Actual_Opex'!B67</f>
        <v>D01</v>
      </c>
      <c r="C796" s="3" t="str">
        <f>'03_Actual_Opex'!C67</f>
        <v>Sales</v>
      </c>
      <c r="D796" s="3" t="str">
        <f>'03_Actual_Opex'!D67</f>
        <v>A02</v>
      </c>
      <c r="E796" s="9">
        <f>'03_Actual_Opex'!E67</f>
        <v>8000000</v>
      </c>
      <c r="F796" s="9">
        <f>E796*(1+_xlfn.XLOOKUP("Sales",'01_Assumptions'!$A$11:$A$18,'01_Assumptions'!$B$11:$B$18))</f>
        <v>8480000</v>
      </c>
    </row>
    <row r="797" spans="1:6">
      <c r="A797" s="5">
        <f>'03_Actual_Opex'!A68</f>
        <v>45717</v>
      </c>
      <c r="B797" s="3" t="str">
        <f>'03_Actual_Opex'!B68</f>
        <v>D01</v>
      </c>
      <c r="C797" s="3" t="str">
        <f>'03_Actual_Opex'!C68</f>
        <v>Sales</v>
      </c>
      <c r="D797" s="3" t="str">
        <f>'03_Actual_Opex'!D68</f>
        <v>A03</v>
      </c>
      <c r="E797" s="9">
        <f>'03_Actual_Opex'!E68</f>
        <v>8000000</v>
      </c>
      <c r="F797" s="9">
        <f>E797*(1+_xlfn.XLOOKUP("Sales",'01_Assumptions'!$A$11:$A$18,'01_Assumptions'!$B$11:$B$18))</f>
        <v>8480000</v>
      </c>
    </row>
    <row r="798" spans="1:6">
      <c r="A798" s="5">
        <f>'03_Actual_Opex'!A69</f>
        <v>45717</v>
      </c>
      <c r="B798" s="3" t="str">
        <f>'03_Actual_Opex'!B69</f>
        <v>D01</v>
      </c>
      <c r="C798" s="3" t="str">
        <f>'03_Actual_Opex'!C69</f>
        <v>Sales</v>
      </c>
      <c r="D798" s="3" t="str">
        <f>'03_Actual_Opex'!D69</f>
        <v>A04</v>
      </c>
      <c r="E798" s="9">
        <f>'03_Actual_Opex'!E69</f>
        <v>8000000</v>
      </c>
      <c r="F798" s="9">
        <f>E798*(1+_xlfn.XLOOKUP("Sales",'01_Assumptions'!$A$11:$A$18,'01_Assumptions'!$B$11:$B$18))</f>
        <v>8480000</v>
      </c>
    </row>
    <row r="799" spans="1:6">
      <c r="A799" s="5">
        <f>'03_Actual_Opex'!A70</f>
        <v>45717</v>
      </c>
      <c r="B799" s="3" t="str">
        <f>'03_Actual_Opex'!B70</f>
        <v>D02</v>
      </c>
      <c r="C799" s="3" t="str">
        <f>'03_Actual_Opex'!C70</f>
        <v>Marketing</v>
      </c>
      <c r="D799" s="3" t="str">
        <f>'03_Actual_Opex'!D70</f>
        <v>A01</v>
      </c>
      <c r="E799" s="9">
        <f>'03_Actual_Opex'!E70</f>
        <v>30000000</v>
      </c>
      <c r="F799" s="9">
        <f>E799*(1+_xlfn.XLOOKUP("Marketing",'01_Assumptions'!$A$11:$A$18,'01_Assumptions'!$B$11:$B$18))</f>
        <v>32100000.000000004</v>
      </c>
    </row>
    <row r="800" spans="1:6">
      <c r="A800" s="5">
        <f>'03_Actual_Opex'!A71</f>
        <v>45717</v>
      </c>
      <c r="B800" s="3" t="str">
        <f>'03_Actual_Opex'!B71</f>
        <v>D02</v>
      </c>
      <c r="C800" s="3" t="str">
        <f>'03_Actual_Opex'!C71</f>
        <v>Marketing</v>
      </c>
      <c r="D800" s="3" t="str">
        <f>'03_Actual_Opex'!D71</f>
        <v>A02</v>
      </c>
      <c r="E800" s="9">
        <f>'03_Actual_Opex'!E71</f>
        <v>30000000</v>
      </c>
      <c r="F800" s="9">
        <f>E800*(1+_xlfn.XLOOKUP("Marketing",'01_Assumptions'!$A$11:$A$18,'01_Assumptions'!$B$11:$B$18))</f>
        <v>32100000.000000004</v>
      </c>
    </row>
    <row r="801" spans="1:6">
      <c r="A801" s="5">
        <f>'03_Actual_Opex'!A72</f>
        <v>45717</v>
      </c>
      <c r="B801" s="3" t="str">
        <f>'03_Actual_Opex'!B72</f>
        <v>D02</v>
      </c>
      <c r="C801" s="3" t="str">
        <f>'03_Actual_Opex'!C72</f>
        <v>Marketing</v>
      </c>
      <c r="D801" s="3" t="str">
        <f>'03_Actual_Opex'!D72</f>
        <v>A03</v>
      </c>
      <c r="E801" s="9">
        <f>'03_Actual_Opex'!E72</f>
        <v>30000000</v>
      </c>
      <c r="F801" s="9">
        <f>E801*(1+_xlfn.XLOOKUP("Marketing",'01_Assumptions'!$A$11:$A$18,'01_Assumptions'!$B$11:$B$18))</f>
        <v>32100000.000000004</v>
      </c>
    </row>
    <row r="802" spans="1:6">
      <c r="A802" s="5">
        <f>'03_Actual_Opex'!A73</f>
        <v>45717</v>
      </c>
      <c r="B802" s="3" t="str">
        <f>'03_Actual_Opex'!B73</f>
        <v>D02</v>
      </c>
      <c r="C802" s="3" t="str">
        <f>'03_Actual_Opex'!C73</f>
        <v>Marketing</v>
      </c>
      <c r="D802" s="3" t="str">
        <f>'03_Actual_Opex'!D73</f>
        <v>A04</v>
      </c>
      <c r="E802" s="9">
        <f>'03_Actual_Opex'!E73</f>
        <v>30000000</v>
      </c>
      <c r="F802" s="9">
        <f>E802*(1+_xlfn.XLOOKUP("Marketing",'01_Assumptions'!$A$11:$A$18,'01_Assumptions'!$B$11:$B$18))</f>
        <v>32100000.000000004</v>
      </c>
    </row>
    <row r="803" spans="1:6">
      <c r="A803" s="5">
        <f>'03_Actual_Opex'!A74</f>
        <v>45717</v>
      </c>
      <c r="B803" s="3" t="str">
        <f>'03_Actual_Opex'!B74</f>
        <v>D03</v>
      </c>
      <c r="C803" s="3" t="str">
        <f>'03_Actual_Opex'!C74</f>
        <v>R&amp;D</v>
      </c>
      <c r="D803" s="3" t="str">
        <f>'03_Actual_Opex'!D74</f>
        <v>A01</v>
      </c>
      <c r="E803" s="9">
        <f>'03_Actual_Opex'!E74</f>
        <v>20000000</v>
      </c>
      <c r="F803" s="9">
        <f>E803*(1+_xlfn.XLOOKUP("R&amp;D",'01_Assumptions'!$A$11:$A$18,'01_Assumptions'!$B$11:$B$18))</f>
        <v>21800000</v>
      </c>
    </row>
    <row r="804" spans="1:6">
      <c r="A804" s="5">
        <f>'03_Actual_Opex'!A75</f>
        <v>45717</v>
      </c>
      <c r="B804" s="3" t="str">
        <f>'03_Actual_Opex'!B75</f>
        <v>D03</v>
      </c>
      <c r="C804" s="3" t="str">
        <f>'03_Actual_Opex'!C75</f>
        <v>R&amp;D</v>
      </c>
      <c r="D804" s="3" t="str">
        <f>'03_Actual_Opex'!D75</f>
        <v>A02</v>
      </c>
      <c r="E804" s="9">
        <f>'03_Actual_Opex'!E75</f>
        <v>20000000</v>
      </c>
      <c r="F804" s="9">
        <f>E804*(1+_xlfn.XLOOKUP("R&amp;D",'01_Assumptions'!$A$11:$A$18,'01_Assumptions'!$B$11:$B$18))</f>
        <v>21800000</v>
      </c>
    </row>
    <row r="805" spans="1:6">
      <c r="A805" s="5">
        <f>'03_Actual_Opex'!A76</f>
        <v>45717</v>
      </c>
      <c r="B805" s="3" t="str">
        <f>'03_Actual_Opex'!B76</f>
        <v>D03</v>
      </c>
      <c r="C805" s="3" t="str">
        <f>'03_Actual_Opex'!C76</f>
        <v>R&amp;D</v>
      </c>
      <c r="D805" s="3" t="str">
        <f>'03_Actual_Opex'!D76</f>
        <v>A03</v>
      </c>
      <c r="E805" s="9">
        <f>'03_Actual_Opex'!E76</f>
        <v>20000000</v>
      </c>
      <c r="F805" s="9">
        <f>E805*(1+_xlfn.XLOOKUP("R&amp;D",'01_Assumptions'!$A$11:$A$18,'01_Assumptions'!$B$11:$B$18))</f>
        <v>21800000</v>
      </c>
    </row>
    <row r="806" spans="1:6">
      <c r="A806" s="5">
        <f>'03_Actual_Opex'!A77</f>
        <v>45717</v>
      </c>
      <c r="B806" s="3" t="str">
        <f>'03_Actual_Opex'!B77</f>
        <v>D03</v>
      </c>
      <c r="C806" s="3" t="str">
        <f>'03_Actual_Opex'!C77</f>
        <v>R&amp;D</v>
      </c>
      <c r="D806" s="3" t="str">
        <f>'03_Actual_Opex'!D77</f>
        <v>A04</v>
      </c>
      <c r="E806" s="9">
        <f>'03_Actual_Opex'!E77</f>
        <v>20000000</v>
      </c>
      <c r="F806" s="9">
        <f>E806*(1+_xlfn.XLOOKUP("R&amp;D",'01_Assumptions'!$A$11:$A$18,'01_Assumptions'!$B$11:$B$18))</f>
        <v>21800000</v>
      </c>
    </row>
    <row r="807" spans="1:6">
      <c r="A807" s="5">
        <f>'03_Actual_Opex'!A78</f>
        <v>45717</v>
      </c>
      <c r="B807" s="3" t="str">
        <f>'03_Actual_Opex'!B78</f>
        <v>D04</v>
      </c>
      <c r="C807" s="3" t="str">
        <f>'03_Actual_Opex'!C78</f>
        <v>G&amp;A</v>
      </c>
      <c r="D807" s="3" t="str">
        <f>'03_Actual_Opex'!D78</f>
        <v>A01</v>
      </c>
      <c r="E807" s="9">
        <f>'03_Actual_Opex'!E78</f>
        <v>8000000</v>
      </c>
      <c r="F807" s="9">
        <f>E807*(1+_xlfn.XLOOKUP("G&amp;A",'01_Assumptions'!$A$11:$A$18,'01_Assumptions'!$B$11:$B$18))</f>
        <v>8400000</v>
      </c>
    </row>
    <row r="808" spans="1:6">
      <c r="A808" s="5">
        <f>'03_Actual_Opex'!A79</f>
        <v>45717</v>
      </c>
      <c r="B808" s="3" t="str">
        <f>'03_Actual_Opex'!B79</f>
        <v>D04</v>
      </c>
      <c r="C808" s="3" t="str">
        <f>'03_Actual_Opex'!C79</f>
        <v>G&amp;A</v>
      </c>
      <c r="D808" s="3" t="str">
        <f>'03_Actual_Opex'!D79</f>
        <v>A02</v>
      </c>
      <c r="E808" s="9">
        <f>'03_Actual_Opex'!E79</f>
        <v>8000000</v>
      </c>
      <c r="F808" s="9">
        <f>E808*(1+_xlfn.XLOOKUP("G&amp;A",'01_Assumptions'!$A$11:$A$18,'01_Assumptions'!$B$11:$B$18))</f>
        <v>8400000</v>
      </c>
    </row>
    <row r="809" spans="1:6">
      <c r="A809" s="5">
        <f>'03_Actual_Opex'!A80</f>
        <v>45717</v>
      </c>
      <c r="B809" s="3" t="str">
        <f>'03_Actual_Opex'!B80</f>
        <v>D04</v>
      </c>
      <c r="C809" s="3" t="str">
        <f>'03_Actual_Opex'!C80</f>
        <v>G&amp;A</v>
      </c>
      <c r="D809" s="3" t="str">
        <f>'03_Actual_Opex'!D80</f>
        <v>A03</v>
      </c>
      <c r="E809" s="9">
        <f>'03_Actual_Opex'!E80</f>
        <v>8000000</v>
      </c>
      <c r="F809" s="9">
        <f>E809*(1+_xlfn.XLOOKUP("G&amp;A",'01_Assumptions'!$A$11:$A$18,'01_Assumptions'!$B$11:$B$18))</f>
        <v>8400000</v>
      </c>
    </row>
    <row r="810" spans="1:6">
      <c r="A810" s="5">
        <f>'03_Actual_Opex'!A81</f>
        <v>45717</v>
      </c>
      <c r="B810" s="3" t="str">
        <f>'03_Actual_Opex'!B81</f>
        <v>D04</v>
      </c>
      <c r="C810" s="3" t="str">
        <f>'03_Actual_Opex'!C81</f>
        <v>G&amp;A</v>
      </c>
      <c r="D810" s="3" t="str">
        <f>'03_Actual_Opex'!D81</f>
        <v>A04</v>
      </c>
      <c r="E810" s="9">
        <f>'03_Actual_Opex'!E81</f>
        <v>8000000</v>
      </c>
      <c r="F810" s="9">
        <f>E810*(1+_xlfn.XLOOKUP("G&amp;A",'01_Assumptions'!$A$11:$A$18,'01_Assumptions'!$B$11:$B$18))</f>
        <v>8400000</v>
      </c>
    </row>
    <row r="811" spans="1:6">
      <c r="A811" s="5">
        <f>'03_Actual_Opex'!A82</f>
        <v>45717</v>
      </c>
      <c r="B811" s="3" t="str">
        <f>'03_Actual_Opex'!B82</f>
        <v>D05</v>
      </c>
      <c r="C811" s="3" t="str">
        <f>'03_Actual_Opex'!C82</f>
        <v>IT</v>
      </c>
      <c r="D811" s="3" t="str">
        <f>'03_Actual_Opex'!D82</f>
        <v>A01</v>
      </c>
      <c r="E811" s="9">
        <f>'03_Actual_Opex'!E82</f>
        <v>12000000</v>
      </c>
      <c r="F811" s="9">
        <f>E811*(1+_xlfn.XLOOKUP("IT",'01_Assumptions'!$A$11:$A$18,'01_Assumptions'!$B$11:$B$18))</f>
        <v>12960000</v>
      </c>
    </row>
    <row r="812" spans="1:6">
      <c r="A812" s="5">
        <f>'03_Actual_Opex'!A83</f>
        <v>45717</v>
      </c>
      <c r="B812" s="3" t="str">
        <f>'03_Actual_Opex'!B83</f>
        <v>D05</v>
      </c>
      <c r="C812" s="3" t="str">
        <f>'03_Actual_Opex'!C83</f>
        <v>IT</v>
      </c>
      <c r="D812" s="3" t="str">
        <f>'03_Actual_Opex'!D83</f>
        <v>A02</v>
      </c>
      <c r="E812" s="9">
        <f>'03_Actual_Opex'!E83</f>
        <v>12000000</v>
      </c>
      <c r="F812" s="9">
        <f>E812*(1+_xlfn.XLOOKUP("IT",'01_Assumptions'!$A$11:$A$18,'01_Assumptions'!$B$11:$B$18))</f>
        <v>12960000</v>
      </c>
    </row>
    <row r="813" spans="1:6">
      <c r="A813" s="5">
        <f>'03_Actual_Opex'!A84</f>
        <v>45717</v>
      </c>
      <c r="B813" s="3" t="str">
        <f>'03_Actual_Opex'!B84</f>
        <v>D05</v>
      </c>
      <c r="C813" s="3" t="str">
        <f>'03_Actual_Opex'!C84</f>
        <v>IT</v>
      </c>
      <c r="D813" s="3" t="str">
        <f>'03_Actual_Opex'!D84</f>
        <v>A03</v>
      </c>
      <c r="E813" s="9">
        <f>'03_Actual_Opex'!E84</f>
        <v>12000000</v>
      </c>
      <c r="F813" s="9">
        <f>E813*(1+_xlfn.XLOOKUP("IT",'01_Assumptions'!$A$11:$A$18,'01_Assumptions'!$B$11:$B$18))</f>
        <v>12960000</v>
      </c>
    </row>
    <row r="814" spans="1:6">
      <c r="A814" s="5">
        <f>'03_Actual_Opex'!A85</f>
        <v>45717</v>
      </c>
      <c r="B814" s="3" t="str">
        <f>'03_Actual_Opex'!B85</f>
        <v>D05</v>
      </c>
      <c r="C814" s="3" t="str">
        <f>'03_Actual_Opex'!C85</f>
        <v>IT</v>
      </c>
      <c r="D814" s="3" t="str">
        <f>'03_Actual_Opex'!D85</f>
        <v>A04</v>
      </c>
      <c r="E814" s="9">
        <f>'03_Actual_Opex'!E85</f>
        <v>12000000</v>
      </c>
      <c r="F814" s="9">
        <f>E814*(1+_xlfn.XLOOKUP("IT",'01_Assumptions'!$A$11:$A$18,'01_Assumptions'!$B$11:$B$18))</f>
        <v>12960000</v>
      </c>
    </row>
    <row r="815" spans="1:6">
      <c r="A815" s="5">
        <f>'03_Actual_Opex'!A86</f>
        <v>45717</v>
      </c>
      <c r="B815" s="3" t="str">
        <f>'03_Actual_Opex'!B86</f>
        <v>D06</v>
      </c>
      <c r="C815" s="3" t="str">
        <f>'03_Actual_Opex'!C86</f>
        <v>Customer Operations</v>
      </c>
      <c r="D815" s="3" t="str">
        <f>'03_Actual_Opex'!D86</f>
        <v>A01</v>
      </c>
      <c r="E815" s="9">
        <f>'03_Actual_Opex'!E86</f>
        <v>10000000</v>
      </c>
      <c r="F815" s="9">
        <f>E815*(1+_xlfn.XLOOKUP("Customer Operations",'01_Assumptions'!$A$11:$A$18,'01_Assumptions'!$B$11:$B$18))</f>
        <v>10600000</v>
      </c>
    </row>
    <row r="816" spans="1:6">
      <c r="A816" s="5">
        <f>'03_Actual_Opex'!A87</f>
        <v>45717</v>
      </c>
      <c r="B816" s="3" t="str">
        <f>'03_Actual_Opex'!B87</f>
        <v>D06</v>
      </c>
      <c r="C816" s="3" t="str">
        <f>'03_Actual_Opex'!C87</f>
        <v>Customer Operations</v>
      </c>
      <c r="D816" s="3" t="str">
        <f>'03_Actual_Opex'!D87</f>
        <v>A02</v>
      </c>
      <c r="E816" s="9">
        <f>'03_Actual_Opex'!E87</f>
        <v>10000000</v>
      </c>
      <c r="F816" s="9">
        <f>E816*(1+_xlfn.XLOOKUP("Customer Operations",'01_Assumptions'!$A$11:$A$18,'01_Assumptions'!$B$11:$B$18))</f>
        <v>10600000</v>
      </c>
    </row>
    <row r="817" spans="1:6">
      <c r="A817" s="5">
        <f>'03_Actual_Opex'!A88</f>
        <v>45717</v>
      </c>
      <c r="B817" s="3" t="str">
        <f>'03_Actual_Opex'!B88</f>
        <v>D06</v>
      </c>
      <c r="C817" s="3" t="str">
        <f>'03_Actual_Opex'!C88</f>
        <v>Customer Operations</v>
      </c>
      <c r="D817" s="3" t="str">
        <f>'03_Actual_Opex'!D88</f>
        <v>A03</v>
      </c>
      <c r="E817" s="9">
        <f>'03_Actual_Opex'!E88</f>
        <v>10000000</v>
      </c>
      <c r="F817" s="9">
        <f>E817*(1+_xlfn.XLOOKUP("Customer Operations",'01_Assumptions'!$A$11:$A$18,'01_Assumptions'!$B$11:$B$18))</f>
        <v>10600000</v>
      </c>
    </row>
    <row r="818" spans="1:6">
      <c r="A818" s="5">
        <f>'03_Actual_Opex'!A89</f>
        <v>45717</v>
      </c>
      <c r="B818" s="3" t="str">
        <f>'03_Actual_Opex'!B89</f>
        <v>D06</v>
      </c>
      <c r="C818" s="3" t="str">
        <f>'03_Actual_Opex'!C89</f>
        <v>Customer Operations</v>
      </c>
      <c r="D818" s="3" t="str">
        <f>'03_Actual_Opex'!D89</f>
        <v>A04</v>
      </c>
      <c r="E818" s="9">
        <f>'03_Actual_Opex'!E89</f>
        <v>10000000</v>
      </c>
      <c r="F818" s="9">
        <f>E818*(1+_xlfn.XLOOKUP("Customer Operations",'01_Assumptions'!$A$11:$A$18,'01_Assumptions'!$B$11:$B$18))</f>
        <v>10600000</v>
      </c>
    </row>
    <row r="819" spans="1:6">
      <c r="A819" s="5">
        <f>'03_Actual_Opex'!A90</f>
        <v>45717</v>
      </c>
      <c r="B819" s="3" t="str">
        <f>'03_Actual_Opex'!B90</f>
        <v>D07</v>
      </c>
      <c r="C819" s="3" t="str">
        <f>'03_Actual_Opex'!C90</f>
        <v>HR</v>
      </c>
      <c r="D819" s="3" t="str">
        <f>'03_Actual_Opex'!D90</f>
        <v>A01</v>
      </c>
      <c r="E819" s="9">
        <f>'03_Actual_Opex'!E90</f>
        <v>3000000</v>
      </c>
      <c r="F819" s="9">
        <f>E819*(1+_xlfn.XLOOKUP("HR",'01_Assumptions'!$A$11:$A$18,'01_Assumptions'!$B$11:$B$18))</f>
        <v>3150000</v>
      </c>
    </row>
    <row r="820" spans="1:6">
      <c r="A820" s="5">
        <f>'03_Actual_Opex'!A91</f>
        <v>45717</v>
      </c>
      <c r="B820" s="3" t="str">
        <f>'03_Actual_Opex'!B91</f>
        <v>D07</v>
      </c>
      <c r="C820" s="3" t="str">
        <f>'03_Actual_Opex'!C91</f>
        <v>HR</v>
      </c>
      <c r="D820" s="3" t="str">
        <f>'03_Actual_Opex'!D91</f>
        <v>A02</v>
      </c>
      <c r="E820" s="9">
        <f>'03_Actual_Opex'!E91</f>
        <v>3000000</v>
      </c>
      <c r="F820" s="9">
        <f>E820*(1+_xlfn.XLOOKUP("HR",'01_Assumptions'!$A$11:$A$18,'01_Assumptions'!$B$11:$B$18))</f>
        <v>3150000</v>
      </c>
    </row>
    <row r="821" spans="1:6">
      <c r="A821" s="5">
        <f>'03_Actual_Opex'!A92</f>
        <v>45717</v>
      </c>
      <c r="B821" s="3" t="str">
        <f>'03_Actual_Opex'!B92</f>
        <v>D07</v>
      </c>
      <c r="C821" s="3" t="str">
        <f>'03_Actual_Opex'!C92</f>
        <v>HR</v>
      </c>
      <c r="D821" s="3" t="str">
        <f>'03_Actual_Opex'!D92</f>
        <v>A03</v>
      </c>
      <c r="E821" s="9">
        <f>'03_Actual_Opex'!E92</f>
        <v>3000000</v>
      </c>
      <c r="F821" s="9">
        <f>E821*(1+_xlfn.XLOOKUP("HR",'01_Assumptions'!$A$11:$A$18,'01_Assumptions'!$B$11:$B$18))</f>
        <v>3150000</v>
      </c>
    </row>
    <row r="822" spans="1:6">
      <c r="A822" s="5">
        <f>'03_Actual_Opex'!A93</f>
        <v>45717</v>
      </c>
      <c r="B822" s="3" t="str">
        <f>'03_Actual_Opex'!B93</f>
        <v>D07</v>
      </c>
      <c r="C822" s="3" t="str">
        <f>'03_Actual_Opex'!C93</f>
        <v>HR</v>
      </c>
      <c r="D822" s="3" t="str">
        <f>'03_Actual_Opex'!D93</f>
        <v>A04</v>
      </c>
      <c r="E822" s="9">
        <f>'03_Actual_Opex'!E93</f>
        <v>3000000</v>
      </c>
      <c r="F822" s="9">
        <f>E822*(1+_xlfn.XLOOKUP("HR",'01_Assumptions'!$A$11:$A$18,'01_Assumptions'!$B$11:$B$18))</f>
        <v>3150000</v>
      </c>
    </row>
    <row r="823" spans="1:6">
      <c r="A823" s="5">
        <f>'03_Actual_Opex'!A94</f>
        <v>45717</v>
      </c>
      <c r="B823" s="3" t="str">
        <f>'03_Actual_Opex'!B94</f>
        <v>D08</v>
      </c>
      <c r="C823" s="3" t="str">
        <f>'03_Actual_Opex'!C94</f>
        <v>Facilities</v>
      </c>
      <c r="D823" s="3" t="str">
        <f>'03_Actual_Opex'!D94</f>
        <v>A01</v>
      </c>
      <c r="E823" s="9">
        <f>'03_Actual_Opex'!E94</f>
        <v>8000000</v>
      </c>
      <c r="F823" s="9">
        <f>E823*(1+_xlfn.XLOOKUP("Facilities",'01_Assumptions'!$A$11:$A$18,'01_Assumptions'!$B$11:$B$18))</f>
        <v>8400000</v>
      </c>
    </row>
    <row r="824" spans="1:6">
      <c r="A824" s="5">
        <f>'03_Actual_Opex'!A95</f>
        <v>45717</v>
      </c>
      <c r="B824" s="3" t="str">
        <f>'03_Actual_Opex'!B95</f>
        <v>D08</v>
      </c>
      <c r="C824" s="3" t="str">
        <f>'03_Actual_Opex'!C95</f>
        <v>Facilities</v>
      </c>
      <c r="D824" s="3" t="str">
        <f>'03_Actual_Opex'!D95</f>
        <v>A02</v>
      </c>
      <c r="E824" s="9">
        <f>'03_Actual_Opex'!E95</f>
        <v>8000000</v>
      </c>
      <c r="F824" s="9">
        <f>E824*(1+_xlfn.XLOOKUP("Facilities",'01_Assumptions'!$A$11:$A$18,'01_Assumptions'!$B$11:$B$18))</f>
        <v>8400000</v>
      </c>
    </row>
    <row r="825" spans="1:6">
      <c r="A825" s="5">
        <f>'03_Actual_Opex'!A96</f>
        <v>45717</v>
      </c>
      <c r="B825" s="3" t="str">
        <f>'03_Actual_Opex'!B96</f>
        <v>D08</v>
      </c>
      <c r="C825" s="3" t="str">
        <f>'03_Actual_Opex'!C96</f>
        <v>Facilities</v>
      </c>
      <c r="D825" s="3" t="str">
        <f>'03_Actual_Opex'!D96</f>
        <v>A03</v>
      </c>
      <c r="E825" s="9">
        <f>'03_Actual_Opex'!E96</f>
        <v>8000000</v>
      </c>
      <c r="F825" s="9">
        <f>E825*(1+_xlfn.XLOOKUP("Facilities",'01_Assumptions'!$A$11:$A$18,'01_Assumptions'!$B$11:$B$18))</f>
        <v>8400000</v>
      </c>
    </row>
    <row r="826" spans="1:6">
      <c r="A826" s="5">
        <f>'03_Actual_Opex'!A97</f>
        <v>45717</v>
      </c>
      <c r="B826" s="3" t="str">
        <f>'03_Actual_Opex'!B97</f>
        <v>D08</v>
      </c>
      <c r="C826" s="3" t="str">
        <f>'03_Actual_Opex'!C97</f>
        <v>Facilities</v>
      </c>
      <c r="D826" s="3" t="str">
        <f>'03_Actual_Opex'!D97</f>
        <v>A04</v>
      </c>
      <c r="E826" s="9">
        <f>'03_Actual_Opex'!E97</f>
        <v>8000000</v>
      </c>
      <c r="F826" s="9">
        <f>E826*(1+_xlfn.XLOOKUP("Facilities",'01_Assumptions'!$A$11:$A$18,'01_Assumptions'!$B$11:$B$18))</f>
        <v>8400000</v>
      </c>
    </row>
    <row r="827" spans="1:6">
      <c r="A827" s="5">
        <f>'03_Actual_Opex'!A98</f>
        <v>45748</v>
      </c>
      <c r="B827" s="3" t="str">
        <f>'03_Actual_Opex'!B98</f>
        <v>D01</v>
      </c>
      <c r="C827" s="3" t="str">
        <f>'03_Actual_Opex'!C98</f>
        <v>Sales</v>
      </c>
      <c r="D827" s="3" t="str">
        <f>'03_Actual_Opex'!D98</f>
        <v>A01</v>
      </c>
      <c r="E827" s="9">
        <f>'03_Actual_Opex'!E98</f>
        <v>8000000</v>
      </c>
      <c r="F827" s="9">
        <f>E827*(1+_xlfn.XLOOKUP("Sales",'01_Assumptions'!$A$11:$A$18,'01_Assumptions'!$B$11:$B$18))</f>
        <v>8480000</v>
      </c>
    </row>
    <row r="828" spans="1:6">
      <c r="A828" s="5">
        <f>'03_Actual_Opex'!A99</f>
        <v>45748</v>
      </c>
      <c r="B828" s="3" t="str">
        <f>'03_Actual_Opex'!B99</f>
        <v>D01</v>
      </c>
      <c r="C828" s="3" t="str">
        <f>'03_Actual_Opex'!C99</f>
        <v>Sales</v>
      </c>
      <c r="D828" s="3" t="str">
        <f>'03_Actual_Opex'!D99</f>
        <v>A02</v>
      </c>
      <c r="E828" s="9">
        <f>'03_Actual_Opex'!E99</f>
        <v>8000000</v>
      </c>
      <c r="F828" s="9">
        <f>E828*(1+_xlfn.XLOOKUP("Sales",'01_Assumptions'!$A$11:$A$18,'01_Assumptions'!$B$11:$B$18))</f>
        <v>8480000</v>
      </c>
    </row>
    <row r="829" spans="1:6">
      <c r="A829" s="5">
        <f>'03_Actual_Opex'!A100</f>
        <v>45748</v>
      </c>
      <c r="B829" s="3" t="str">
        <f>'03_Actual_Opex'!B100</f>
        <v>D01</v>
      </c>
      <c r="C829" s="3" t="str">
        <f>'03_Actual_Opex'!C100</f>
        <v>Sales</v>
      </c>
      <c r="D829" s="3" t="str">
        <f>'03_Actual_Opex'!D100</f>
        <v>A03</v>
      </c>
      <c r="E829" s="9">
        <f>'03_Actual_Opex'!E100</f>
        <v>8000000</v>
      </c>
      <c r="F829" s="9">
        <f>E829*(1+_xlfn.XLOOKUP("Sales",'01_Assumptions'!$A$11:$A$18,'01_Assumptions'!$B$11:$B$18))</f>
        <v>8480000</v>
      </c>
    </row>
    <row r="830" spans="1:6">
      <c r="A830" s="5">
        <f>'03_Actual_Opex'!A101</f>
        <v>45748</v>
      </c>
      <c r="B830" s="3" t="str">
        <f>'03_Actual_Opex'!B101</f>
        <v>D01</v>
      </c>
      <c r="C830" s="3" t="str">
        <f>'03_Actual_Opex'!C101</f>
        <v>Sales</v>
      </c>
      <c r="D830" s="3" t="str">
        <f>'03_Actual_Opex'!D101</f>
        <v>A04</v>
      </c>
      <c r="E830" s="9">
        <f>'03_Actual_Opex'!E101</f>
        <v>8000000</v>
      </c>
      <c r="F830" s="9">
        <f>E830*(1+_xlfn.XLOOKUP("Sales",'01_Assumptions'!$A$11:$A$18,'01_Assumptions'!$B$11:$B$18))</f>
        <v>8480000</v>
      </c>
    </row>
    <row r="831" spans="1:6">
      <c r="A831" s="5">
        <f>'03_Actual_Opex'!A102</f>
        <v>45748</v>
      </c>
      <c r="B831" s="3" t="str">
        <f>'03_Actual_Opex'!B102</f>
        <v>D02</v>
      </c>
      <c r="C831" s="3" t="str">
        <f>'03_Actual_Opex'!C102</f>
        <v>Marketing</v>
      </c>
      <c r="D831" s="3" t="str">
        <f>'03_Actual_Opex'!D102</f>
        <v>A01</v>
      </c>
      <c r="E831" s="9">
        <f>'03_Actual_Opex'!E102</f>
        <v>30000000</v>
      </c>
      <c r="F831" s="9">
        <f>E831*(1+_xlfn.XLOOKUP("Marketing",'01_Assumptions'!$A$11:$A$18,'01_Assumptions'!$B$11:$B$18))</f>
        <v>32100000.000000004</v>
      </c>
    </row>
    <row r="832" spans="1:6">
      <c r="A832" s="5">
        <f>'03_Actual_Opex'!A103</f>
        <v>45748</v>
      </c>
      <c r="B832" s="3" t="str">
        <f>'03_Actual_Opex'!B103</f>
        <v>D02</v>
      </c>
      <c r="C832" s="3" t="str">
        <f>'03_Actual_Opex'!C103</f>
        <v>Marketing</v>
      </c>
      <c r="D832" s="3" t="str">
        <f>'03_Actual_Opex'!D103</f>
        <v>A02</v>
      </c>
      <c r="E832" s="9">
        <f>'03_Actual_Opex'!E103</f>
        <v>30000000</v>
      </c>
      <c r="F832" s="9">
        <f>E832*(1+_xlfn.XLOOKUP("Marketing",'01_Assumptions'!$A$11:$A$18,'01_Assumptions'!$B$11:$B$18))</f>
        <v>32100000.000000004</v>
      </c>
    </row>
    <row r="833" spans="1:6">
      <c r="A833" s="5">
        <f>'03_Actual_Opex'!A104</f>
        <v>45748</v>
      </c>
      <c r="B833" s="3" t="str">
        <f>'03_Actual_Opex'!B104</f>
        <v>D02</v>
      </c>
      <c r="C833" s="3" t="str">
        <f>'03_Actual_Opex'!C104</f>
        <v>Marketing</v>
      </c>
      <c r="D833" s="3" t="str">
        <f>'03_Actual_Opex'!D104</f>
        <v>A03</v>
      </c>
      <c r="E833" s="9">
        <f>'03_Actual_Opex'!E104</f>
        <v>30000000</v>
      </c>
      <c r="F833" s="9">
        <f>E833*(1+_xlfn.XLOOKUP("Marketing",'01_Assumptions'!$A$11:$A$18,'01_Assumptions'!$B$11:$B$18))</f>
        <v>32100000.000000004</v>
      </c>
    </row>
    <row r="834" spans="1:6">
      <c r="A834" s="5">
        <f>'03_Actual_Opex'!A105</f>
        <v>45748</v>
      </c>
      <c r="B834" s="3" t="str">
        <f>'03_Actual_Opex'!B105</f>
        <v>D02</v>
      </c>
      <c r="C834" s="3" t="str">
        <f>'03_Actual_Opex'!C105</f>
        <v>Marketing</v>
      </c>
      <c r="D834" s="3" t="str">
        <f>'03_Actual_Opex'!D105</f>
        <v>A04</v>
      </c>
      <c r="E834" s="9">
        <f>'03_Actual_Opex'!E105</f>
        <v>30000000</v>
      </c>
      <c r="F834" s="9">
        <f>E834*(1+_xlfn.XLOOKUP("Marketing",'01_Assumptions'!$A$11:$A$18,'01_Assumptions'!$B$11:$B$18))</f>
        <v>32100000.000000004</v>
      </c>
    </row>
    <row r="835" spans="1:6">
      <c r="A835" s="5">
        <f>'03_Actual_Opex'!A106</f>
        <v>45748</v>
      </c>
      <c r="B835" s="3" t="str">
        <f>'03_Actual_Opex'!B106</f>
        <v>D03</v>
      </c>
      <c r="C835" s="3" t="str">
        <f>'03_Actual_Opex'!C106</f>
        <v>R&amp;D</v>
      </c>
      <c r="D835" s="3" t="str">
        <f>'03_Actual_Opex'!D106</f>
        <v>A01</v>
      </c>
      <c r="E835" s="9">
        <f>'03_Actual_Opex'!E106</f>
        <v>20000000</v>
      </c>
      <c r="F835" s="9">
        <f>E835*(1+_xlfn.XLOOKUP("R&amp;D",'01_Assumptions'!$A$11:$A$18,'01_Assumptions'!$B$11:$B$18))</f>
        <v>21800000</v>
      </c>
    </row>
    <row r="836" spans="1:6">
      <c r="A836" s="5">
        <f>'03_Actual_Opex'!A107</f>
        <v>45748</v>
      </c>
      <c r="B836" s="3" t="str">
        <f>'03_Actual_Opex'!B107</f>
        <v>D03</v>
      </c>
      <c r="C836" s="3" t="str">
        <f>'03_Actual_Opex'!C107</f>
        <v>R&amp;D</v>
      </c>
      <c r="D836" s="3" t="str">
        <f>'03_Actual_Opex'!D107</f>
        <v>A02</v>
      </c>
      <c r="E836" s="9">
        <f>'03_Actual_Opex'!E107</f>
        <v>20000000</v>
      </c>
      <c r="F836" s="9">
        <f>E836*(1+_xlfn.XLOOKUP("R&amp;D",'01_Assumptions'!$A$11:$A$18,'01_Assumptions'!$B$11:$B$18))</f>
        <v>21800000</v>
      </c>
    </row>
    <row r="837" spans="1:6">
      <c r="A837" s="5">
        <f>'03_Actual_Opex'!A108</f>
        <v>45748</v>
      </c>
      <c r="B837" s="3" t="str">
        <f>'03_Actual_Opex'!B108</f>
        <v>D03</v>
      </c>
      <c r="C837" s="3" t="str">
        <f>'03_Actual_Opex'!C108</f>
        <v>R&amp;D</v>
      </c>
      <c r="D837" s="3" t="str">
        <f>'03_Actual_Opex'!D108</f>
        <v>A03</v>
      </c>
      <c r="E837" s="9">
        <f>'03_Actual_Opex'!E108</f>
        <v>20000000</v>
      </c>
      <c r="F837" s="9">
        <f>E837*(1+_xlfn.XLOOKUP("R&amp;D",'01_Assumptions'!$A$11:$A$18,'01_Assumptions'!$B$11:$B$18))</f>
        <v>21800000</v>
      </c>
    </row>
    <row r="838" spans="1:6">
      <c r="A838" s="5">
        <f>'03_Actual_Opex'!A109</f>
        <v>45748</v>
      </c>
      <c r="B838" s="3" t="str">
        <f>'03_Actual_Opex'!B109</f>
        <v>D03</v>
      </c>
      <c r="C838" s="3" t="str">
        <f>'03_Actual_Opex'!C109</f>
        <v>R&amp;D</v>
      </c>
      <c r="D838" s="3" t="str">
        <f>'03_Actual_Opex'!D109</f>
        <v>A04</v>
      </c>
      <c r="E838" s="9">
        <f>'03_Actual_Opex'!E109</f>
        <v>20000000</v>
      </c>
      <c r="F838" s="9">
        <f>E838*(1+_xlfn.XLOOKUP("R&amp;D",'01_Assumptions'!$A$11:$A$18,'01_Assumptions'!$B$11:$B$18))</f>
        <v>21800000</v>
      </c>
    </row>
    <row r="839" spans="1:6">
      <c r="A839" s="5">
        <f>'03_Actual_Opex'!A110</f>
        <v>45748</v>
      </c>
      <c r="B839" s="3" t="str">
        <f>'03_Actual_Opex'!B110</f>
        <v>D04</v>
      </c>
      <c r="C839" s="3" t="str">
        <f>'03_Actual_Opex'!C110</f>
        <v>G&amp;A</v>
      </c>
      <c r="D839" s="3" t="str">
        <f>'03_Actual_Opex'!D110</f>
        <v>A01</v>
      </c>
      <c r="E839" s="9">
        <f>'03_Actual_Opex'!E110</f>
        <v>8000000</v>
      </c>
      <c r="F839" s="9">
        <f>E839*(1+_xlfn.XLOOKUP("G&amp;A",'01_Assumptions'!$A$11:$A$18,'01_Assumptions'!$B$11:$B$18))</f>
        <v>8400000</v>
      </c>
    </row>
    <row r="840" spans="1:6">
      <c r="A840" s="5">
        <f>'03_Actual_Opex'!A111</f>
        <v>45748</v>
      </c>
      <c r="B840" s="3" t="str">
        <f>'03_Actual_Opex'!B111</f>
        <v>D04</v>
      </c>
      <c r="C840" s="3" t="str">
        <f>'03_Actual_Opex'!C111</f>
        <v>G&amp;A</v>
      </c>
      <c r="D840" s="3" t="str">
        <f>'03_Actual_Opex'!D111</f>
        <v>A02</v>
      </c>
      <c r="E840" s="9">
        <f>'03_Actual_Opex'!E111</f>
        <v>8000000</v>
      </c>
      <c r="F840" s="9">
        <f>E840*(1+_xlfn.XLOOKUP("G&amp;A",'01_Assumptions'!$A$11:$A$18,'01_Assumptions'!$B$11:$B$18))</f>
        <v>8400000</v>
      </c>
    </row>
    <row r="841" spans="1:6">
      <c r="A841" s="5">
        <f>'03_Actual_Opex'!A112</f>
        <v>45748</v>
      </c>
      <c r="B841" s="3" t="str">
        <f>'03_Actual_Opex'!B112</f>
        <v>D04</v>
      </c>
      <c r="C841" s="3" t="str">
        <f>'03_Actual_Opex'!C112</f>
        <v>G&amp;A</v>
      </c>
      <c r="D841" s="3" t="str">
        <f>'03_Actual_Opex'!D112</f>
        <v>A03</v>
      </c>
      <c r="E841" s="9">
        <f>'03_Actual_Opex'!E112</f>
        <v>8000000</v>
      </c>
      <c r="F841" s="9">
        <f>E841*(1+_xlfn.XLOOKUP("G&amp;A",'01_Assumptions'!$A$11:$A$18,'01_Assumptions'!$B$11:$B$18))</f>
        <v>8400000</v>
      </c>
    </row>
    <row r="842" spans="1:6">
      <c r="A842" s="5">
        <f>'03_Actual_Opex'!A113</f>
        <v>45748</v>
      </c>
      <c r="B842" s="3" t="str">
        <f>'03_Actual_Opex'!B113</f>
        <v>D04</v>
      </c>
      <c r="C842" s="3" t="str">
        <f>'03_Actual_Opex'!C113</f>
        <v>G&amp;A</v>
      </c>
      <c r="D842" s="3" t="str">
        <f>'03_Actual_Opex'!D113</f>
        <v>A04</v>
      </c>
      <c r="E842" s="9">
        <f>'03_Actual_Opex'!E113</f>
        <v>8000000</v>
      </c>
      <c r="F842" s="9">
        <f>E842*(1+_xlfn.XLOOKUP("G&amp;A",'01_Assumptions'!$A$11:$A$18,'01_Assumptions'!$B$11:$B$18))</f>
        <v>8400000</v>
      </c>
    </row>
    <row r="843" spans="1:6">
      <c r="A843" s="5">
        <f>'03_Actual_Opex'!A114</f>
        <v>45748</v>
      </c>
      <c r="B843" s="3" t="str">
        <f>'03_Actual_Opex'!B114</f>
        <v>D05</v>
      </c>
      <c r="C843" s="3" t="str">
        <f>'03_Actual_Opex'!C114</f>
        <v>IT</v>
      </c>
      <c r="D843" s="3" t="str">
        <f>'03_Actual_Opex'!D114</f>
        <v>A01</v>
      </c>
      <c r="E843" s="9">
        <f>'03_Actual_Opex'!E114</f>
        <v>12000000</v>
      </c>
      <c r="F843" s="9">
        <f>E843*(1+_xlfn.XLOOKUP("IT",'01_Assumptions'!$A$11:$A$18,'01_Assumptions'!$B$11:$B$18))</f>
        <v>12960000</v>
      </c>
    </row>
    <row r="844" spans="1:6">
      <c r="A844" s="5">
        <f>'03_Actual_Opex'!A115</f>
        <v>45748</v>
      </c>
      <c r="B844" s="3" t="str">
        <f>'03_Actual_Opex'!B115</f>
        <v>D05</v>
      </c>
      <c r="C844" s="3" t="str">
        <f>'03_Actual_Opex'!C115</f>
        <v>IT</v>
      </c>
      <c r="D844" s="3" t="str">
        <f>'03_Actual_Opex'!D115</f>
        <v>A02</v>
      </c>
      <c r="E844" s="9">
        <f>'03_Actual_Opex'!E115</f>
        <v>12000000</v>
      </c>
      <c r="F844" s="9">
        <f>E844*(1+_xlfn.XLOOKUP("IT",'01_Assumptions'!$A$11:$A$18,'01_Assumptions'!$B$11:$B$18))</f>
        <v>12960000</v>
      </c>
    </row>
    <row r="845" spans="1:6">
      <c r="A845" s="5">
        <f>'03_Actual_Opex'!A116</f>
        <v>45748</v>
      </c>
      <c r="B845" s="3" t="str">
        <f>'03_Actual_Opex'!B116</f>
        <v>D05</v>
      </c>
      <c r="C845" s="3" t="str">
        <f>'03_Actual_Opex'!C116</f>
        <v>IT</v>
      </c>
      <c r="D845" s="3" t="str">
        <f>'03_Actual_Opex'!D116</f>
        <v>A03</v>
      </c>
      <c r="E845" s="9">
        <f>'03_Actual_Opex'!E116</f>
        <v>12000000</v>
      </c>
      <c r="F845" s="9">
        <f>E845*(1+_xlfn.XLOOKUP("IT",'01_Assumptions'!$A$11:$A$18,'01_Assumptions'!$B$11:$B$18))</f>
        <v>12960000</v>
      </c>
    </row>
    <row r="846" spans="1:6">
      <c r="A846" s="5">
        <f>'03_Actual_Opex'!A117</f>
        <v>45748</v>
      </c>
      <c r="B846" s="3" t="str">
        <f>'03_Actual_Opex'!B117</f>
        <v>D05</v>
      </c>
      <c r="C846" s="3" t="str">
        <f>'03_Actual_Opex'!C117</f>
        <v>IT</v>
      </c>
      <c r="D846" s="3" t="str">
        <f>'03_Actual_Opex'!D117</f>
        <v>A04</v>
      </c>
      <c r="E846" s="9">
        <f>'03_Actual_Opex'!E117</f>
        <v>12000000</v>
      </c>
      <c r="F846" s="9">
        <f>E846*(1+_xlfn.XLOOKUP("IT",'01_Assumptions'!$A$11:$A$18,'01_Assumptions'!$B$11:$B$18))</f>
        <v>12960000</v>
      </c>
    </row>
    <row r="847" spans="1:6">
      <c r="A847" s="5">
        <f>'03_Actual_Opex'!A118</f>
        <v>45748</v>
      </c>
      <c r="B847" s="3" t="str">
        <f>'03_Actual_Opex'!B118</f>
        <v>D06</v>
      </c>
      <c r="C847" s="3" t="str">
        <f>'03_Actual_Opex'!C118</f>
        <v>Customer Operations</v>
      </c>
      <c r="D847" s="3" t="str">
        <f>'03_Actual_Opex'!D118</f>
        <v>A01</v>
      </c>
      <c r="E847" s="9">
        <f>'03_Actual_Opex'!E118</f>
        <v>10000000</v>
      </c>
      <c r="F847" s="9">
        <f>E847*(1+_xlfn.XLOOKUP("Customer Operations",'01_Assumptions'!$A$11:$A$18,'01_Assumptions'!$B$11:$B$18))</f>
        <v>10600000</v>
      </c>
    </row>
    <row r="848" spans="1:6">
      <c r="A848" s="5">
        <f>'03_Actual_Opex'!A119</f>
        <v>45748</v>
      </c>
      <c r="B848" s="3" t="str">
        <f>'03_Actual_Opex'!B119</f>
        <v>D06</v>
      </c>
      <c r="C848" s="3" t="str">
        <f>'03_Actual_Opex'!C119</f>
        <v>Customer Operations</v>
      </c>
      <c r="D848" s="3" t="str">
        <f>'03_Actual_Opex'!D119</f>
        <v>A02</v>
      </c>
      <c r="E848" s="9">
        <f>'03_Actual_Opex'!E119</f>
        <v>10000000</v>
      </c>
      <c r="F848" s="9">
        <f>E848*(1+_xlfn.XLOOKUP("Customer Operations",'01_Assumptions'!$A$11:$A$18,'01_Assumptions'!$B$11:$B$18))</f>
        <v>10600000</v>
      </c>
    </row>
    <row r="849" spans="1:6">
      <c r="A849" s="5">
        <f>'03_Actual_Opex'!A120</f>
        <v>45748</v>
      </c>
      <c r="B849" s="3" t="str">
        <f>'03_Actual_Opex'!B120</f>
        <v>D06</v>
      </c>
      <c r="C849" s="3" t="str">
        <f>'03_Actual_Opex'!C120</f>
        <v>Customer Operations</v>
      </c>
      <c r="D849" s="3" t="str">
        <f>'03_Actual_Opex'!D120</f>
        <v>A03</v>
      </c>
      <c r="E849" s="9">
        <f>'03_Actual_Opex'!E120</f>
        <v>10000000</v>
      </c>
      <c r="F849" s="9">
        <f>E849*(1+_xlfn.XLOOKUP("Customer Operations",'01_Assumptions'!$A$11:$A$18,'01_Assumptions'!$B$11:$B$18))</f>
        <v>10600000</v>
      </c>
    </row>
    <row r="850" spans="1:6">
      <c r="A850" s="5">
        <f>'03_Actual_Opex'!A121</f>
        <v>45748</v>
      </c>
      <c r="B850" s="3" t="str">
        <f>'03_Actual_Opex'!B121</f>
        <v>D06</v>
      </c>
      <c r="C850" s="3" t="str">
        <f>'03_Actual_Opex'!C121</f>
        <v>Customer Operations</v>
      </c>
      <c r="D850" s="3" t="str">
        <f>'03_Actual_Opex'!D121</f>
        <v>A04</v>
      </c>
      <c r="E850" s="9">
        <f>'03_Actual_Opex'!E121</f>
        <v>10000000</v>
      </c>
      <c r="F850" s="9">
        <f>E850*(1+_xlfn.XLOOKUP("Customer Operations",'01_Assumptions'!$A$11:$A$18,'01_Assumptions'!$B$11:$B$18))</f>
        <v>10600000</v>
      </c>
    </row>
    <row r="851" spans="1:6">
      <c r="A851" s="5">
        <f>'03_Actual_Opex'!A122</f>
        <v>45748</v>
      </c>
      <c r="B851" s="3" t="str">
        <f>'03_Actual_Opex'!B122</f>
        <v>D07</v>
      </c>
      <c r="C851" s="3" t="str">
        <f>'03_Actual_Opex'!C122</f>
        <v>HR</v>
      </c>
      <c r="D851" s="3" t="str">
        <f>'03_Actual_Opex'!D122</f>
        <v>A01</v>
      </c>
      <c r="E851" s="9">
        <f>'03_Actual_Opex'!E122</f>
        <v>3000000</v>
      </c>
      <c r="F851" s="9">
        <f>E851*(1+_xlfn.XLOOKUP("HR",'01_Assumptions'!$A$11:$A$18,'01_Assumptions'!$B$11:$B$18))</f>
        <v>3150000</v>
      </c>
    </row>
    <row r="852" spans="1:6">
      <c r="A852" s="5">
        <f>'03_Actual_Opex'!A123</f>
        <v>45748</v>
      </c>
      <c r="B852" s="3" t="str">
        <f>'03_Actual_Opex'!B123</f>
        <v>D07</v>
      </c>
      <c r="C852" s="3" t="str">
        <f>'03_Actual_Opex'!C123</f>
        <v>HR</v>
      </c>
      <c r="D852" s="3" t="str">
        <f>'03_Actual_Opex'!D123</f>
        <v>A02</v>
      </c>
      <c r="E852" s="9">
        <f>'03_Actual_Opex'!E123</f>
        <v>3000000</v>
      </c>
      <c r="F852" s="9">
        <f>E852*(1+_xlfn.XLOOKUP("HR",'01_Assumptions'!$A$11:$A$18,'01_Assumptions'!$B$11:$B$18))</f>
        <v>3150000</v>
      </c>
    </row>
    <row r="853" spans="1:6">
      <c r="A853" s="5">
        <f>'03_Actual_Opex'!A124</f>
        <v>45748</v>
      </c>
      <c r="B853" s="3" t="str">
        <f>'03_Actual_Opex'!B124</f>
        <v>D07</v>
      </c>
      <c r="C853" s="3" t="str">
        <f>'03_Actual_Opex'!C124</f>
        <v>HR</v>
      </c>
      <c r="D853" s="3" t="str">
        <f>'03_Actual_Opex'!D124</f>
        <v>A03</v>
      </c>
      <c r="E853" s="9">
        <f>'03_Actual_Opex'!E124</f>
        <v>3000000</v>
      </c>
      <c r="F853" s="9">
        <f>E853*(1+_xlfn.XLOOKUP("HR",'01_Assumptions'!$A$11:$A$18,'01_Assumptions'!$B$11:$B$18))</f>
        <v>3150000</v>
      </c>
    </row>
    <row r="854" spans="1:6">
      <c r="A854" s="5">
        <f>'03_Actual_Opex'!A125</f>
        <v>45748</v>
      </c>
      <c r="B854" s="3" t="str">
        <f>'03_Actual_Opex'!B125</f>
        <v>D07</v>
      </c>
      <c r="C854" s="3" t="str">
        <f>'03_Actual_Opex'!C125</f>
        <v>HR</v>
      </c>
      <c r="D854" s="3" t="str">
        <f>'03_Actual_Opex'!D125</f>
        <v>A04</v>
      </c>
      <c r="E854" s="9">
        <f>'03_Actual_Opex'!E125</f>
        <v>3000000</v>
      </c>
      <c r="F854" s="9">
        <f>E854*(1+_xlfn.XLOOKUP("HR",'01_Assumptions'!$A$11:$A$18,'01_Assumptions'!$B$11:$B$18))</f>
        <v>3150000</v>
      </c>
    </row>
    <row r="855" spans="1:6">
      <c r="A855" s="5">
        <f>'03_Actual_Opex'!A126</f>
        <v>45748</v>
      </c>
      <c r="B855" s="3" t="str">
        <f>'03_Actual_Opex'!B126</f>
        <v>D08</v>
      </c>
      <c r="C855" s="3" t="str">
        <f>'03_Actual_Opex'!C126</f>
        <v>Facilities</v>
      </c>
      <c r="D855" s="3" t="str">
        <f>'03_Actual_Opex'!D126</f>
        <v>A01</v>
      </c>
      <c r="E855" s="9">
        <f>'03_Actual_Opex'!E126</f>
        <v>8000000</v>
      </c>
      <c r="F855" s="9">
        <f>E855*(1+_xlfn.XLOOKUP("Facilities",'01_Assumptions'!$A$11:$A$18,'01_Assumptions'!$B$11:$B$18))</f>
        <v>8400000</v>
      </c>
    </row>
    <row r="856" spans="1:6">
      <c r="A856" s="5">
        <f>'03_Actual_Opex'!A127</f>
        <v>45748</v>
      </c>
      <c r="B856" s="3" t="str">
        <f>'03_Actual_Opex'!B127</f>
        <v>D08</v>
      </c>
      <c r="C856" s="3" t="str">
        <f>'03_Actual_Opex'!C127</f>
        <v>Facilities</v>
      </c>
      <c r="D856" s="3" t="str">
        <f>'03_Actual_Opex'!D127</f>
        <v>A02</v>
      </c>
      <c r="E856" s="9">
        <f>'03_Actual_Opex'!E127</f>
        <v>8000000</v>
      </c>
      <c r="F856" s="9">
        <f>E856*(1+_xlfn.XLOOKUP("Facilities",'01_Assumptions'!$A$11:$A$18,'01_Assumptions'!$B$11:$B$18))</f>
        <v>8400000</v>
      </c>
    </row>
    <row r="857" spans="1:6">
      <c r="A857" s="5">
        <f>'03_Actual_Opex'!A128</f>
        <v>45748</v>
      </c>
      <c r="B857" s="3" t="str">
        <f>'03_Actual_Opex'!B128</f>
        <v>D08</v>
      </c>
      <c r="C857" s="3" t="str">
        <f>'03_Actual_Opex'!C128</f>
        <v>Facilities</v>
      </c>
      <c r="D857" s="3" t="str">
        <f>'03_Actual_Opex'!D128</f>
        <v>A03</v>
      </c>
      <c r="E857" s="9">
        <f>'03_Actual_Opex'!E128</f>
        <v>8000000</v>
      </c>
      <c r="F857" s="9">
        <f>E857*(1+_xlfn.XLOOKUP("Facilities",'01_Assumptions'!$A$11:$A$18,'01_Assumptions'!$B$11:$B$18))</f>
        <v>8400000</v>
      </c>
    </row>
    <row r="858" spans="1:6">
      <c r="A858" s="5">
        <f>'03_Actual_Opex'!A129</f>
        <v>45748</v>
      </c>
      <c r="B858" s="3" t="str">
        <f>'03_Actual_Opex'!B129</f>
        <v>D08</v>
      </c>
      <c r="C858" s="3" t="str">
        <f>'03_Actual_Opex'!C129</f>
        <v>Facilities</v>
      </c>
      <c r="D858" s="3" t="str">
        <f>'03_Actual_Opex'!D129</f>
        <v>A04</v>
      </c>
      <c r="E858" s="9">
        <f>'03_Actual_Opex'!E129</f>
        <v>8000000</v>
      </c>
      <c r="F858" s="9">
        <f>E858*(1+_xlfn.XLOOKUP("Facilities",'01_Assumptions'!$A$11:$A$18,'01_Assumptions'!$B$11:$B$18))</f>
        <v>8400000</v>
      </c>
    </row>
    <row r="859" spans="1:6">
      <c r="A859" s="5">
        <f>'03_Actual_Opex'!A130</f>
        <v>45778</v>
      </c>
      <c r="B859" s="3" t="str">
        <f>'03_Actual_Opex'!B130</f>
        <v>D01</v>
      </c>
      <c r="C859" s="3" t="str">
        <f>'03_Actual_Opex'!C130</f>
        <v>Sales</v>
      </c>
      <c r="D859" s="3" t="str">
        <f>'03_Actual_Opex'!D130</f>
        <v>A01</v>
      </c>
      <c r="E859" s="9">
        <f>'03_Actual_Opex'!E130</f>
        <v>8000000</v>
      </c>
      <c r="F859" s="9">
        <f>E859*(1+_xlfn.XLOOKUP("Sales",'01_Assumptions'!$A$11:$A$18,'01_Assumptions'!$B$11:$B$18))</f>
        <v>8480000</v>
      </c>
    </row>
    <row r="860" spans="1:6">
      <c r="A860" s="5">
        <f>'03_Actual_Opex'!A131</f>
        <v>45778</v>
      </c>
      <c r="B860" s="3" t="str">
        <f>'03_Actual_Opex'!B131</f>
        <v>D01</v>
      </c>
      <c r="C860" s="3" t="str">
        <f>'03_Actual_Opex'!C131</f>
        <v>Sales</v>
      </c>
      <c r="D860" s="3" t="str">
        <f>'03_Actual_Opex'!D131</f>
        <v>A02</v>
      </c>
      <c r="E860" s="9">
        <f>'03_Actual_Opex'!E131</f>
        <v>8000000</v>
      </c>
      <c r="F860" s="9">
        <f>E860*(1+_xlfn.XLOOKUP("Sales",'01_Assumptions'!$A$11:$A$18,'01_Assumptions'!$B$11:$B$18))</f>
        <v>8480000</v>
      </c>
    </row>
    <row r="861" spans="1:6">
      <c r="A861" s="5">
        <f>'03_Actual_Opex'!A132</f>
        <v>45778</v>
      </c>
      <c r="B861" s="3" t="str">
        <f>'03_Actual_Opex'!B132</f>
        <v>D01</v>
      </c>
      <c r="C861" s="3" t="str">
        <f>'03_Actual_Opex'!C132</f>
        <v>Sales</v>
      </c>
      <c r="D861" s="3" t="str">
        <f>'03_Actual_Opex'!D132</f>
        <v>A03</v>
      </c>
      <c r="E861" s="9">
        <f>'03_Actual_Opex'!E132</f>
        <v>8000000</v>
      </c>
      <c r="F861" s="9">
        <f>E861*(1+_xlfn.XLOOKUP("Sales",'01_Assumptions'!$A$11:$A$18,'01_Assumptions'!$B$11:$B$18))</f>
        <v>8480000</v>
      </c>
    </row>
    <row r="862" spans="1:6">
      <c r="A862" s="5">
        <f>'03_Actual_Opex'!A133</f>
        <v>45778</v>
      </c>
      <c r="B862" s="3" t="str">
        <f>'03_Actual_Opex'!B133</f>
        <v>D01</v>
      </c>
      <c r="C862" s="3" t="str">
        <f>'03_Actual_Opex'!C133</f>
        <v>Sales</v>
      </c>
      <c r="D862" s="3" t="str">
        <f>'03_Actual_Opex'!D133</f>
        <v>A04</v>
      </c>
      <c r="E862" s="9">
        <f>'03_Actual_Opex'!E133</f>
        <v>8000000</v>
      </c>
      <c r="F862" s="9">
        <f>E862*(1+_xlfn.XLOOKUP("Sales",'01_Assumptions'!$A$11:$A$18,'01_Assumptions'!$B$11:$B$18))</f>
        <v>8480000</v>
      </c>
    </row>
    <row r="863" spans="1:6">
      <c r="A863" s="5">
        <f>'03_Actual_Opex'!A134</f>
        <v>45778</v>
      </c>
      <c r="B863" s="3" t="str">
        <f>'03_Actual_Opex'!B134</f>
        <v>D02</v>
      </c>
      <c r="C863" s="3" t="str">
        <f>'03_Actual_Opex'!C134</f>
        <v>Marketing</v>
      </c>
      <c r="D863" s="3" t="str">
        <f>'03_Actual_Opex'!D134</f>
        <v>A01</v>
      </c>
      <c r="E863" s="9">
        <f>'03_Actual_Opex'!E134</f>
        <v>30000000</v>
      </c>
      <c r="F863" s="9">
        <f>E863*(1+_xlfn.XLOOKUP("Marketing",'01_Assumptions'!$A$11:$A$18,'01_Assumptions'!$B$11:$B$18))</f>
        <v>32100000.000000004</v>
      </c>
    </row>
    <row r="864" spans="1:6">
      <c r="A864" s="5">
        <f>'03_Actual_Opex'!A135</f>
        <v>45778</v>
      </c>
      <c r="B864" s="3" t="str">
        <f>'03_Actual_Opex'!B135</f>
        <v>D02</v>
      </c>
      <c r="C864" s="3" t="str">
        <f>'03_Actual_Opex'!C135</f>
        <v>Marketing</v>
      </c>
      <c r="D864" s="3" t="str">
        <f>'03_Actual_Opex'!D135</f>
        <v>A02</v>
      </c>
      <c r="E864" s="9">
        <f>'03_Actual_Opex'!E135</f>
        <v>30000000</v>
      </c>
      <c r="F864" s="9">
        <f>E864*(1+_xlfn.XLOOKUP("Marketing",'01_Assumptions'!$A$11:$A$18,'01_Assumptions'!$B$11:$B$18))</f>
        <v>32100000.000000004</v>
      </c>
    </row>
    <row r="865" spans="1:6">
      <c r="A865" s="5">
        <f>'03_Actual_Opex'!A136</f>
        <v>45778</v>
      </c>
      <c r="B865" s="3" t="str">
        <f>'03_Actual_Opex'!B136</f>
        <v>D02</v>
      </c>
      <c r="C865" s="3" t="str">
        <f>'03_Actual_Opex'!C136</f>
        <v>Marketing</v>
      </c>
      <c r="D865" s="3" t="str">
        <f>'03_Actual_Opex'!D136</f>
        <v>A03</v>
      </c>
      <c r="E865" s="9">
        <f>'03_Actual_Opex'!E136</f>
        <v>30000000</v>
      </c>
      <c r="F865" s="9">
        <f>E865*(1+_xlfn.XLOOKUP("Marketing",'01_Assumptions'!$A$11:$A$18,'01_Assumptions'!$B$11:$B$18))</f>
        <v>32100000.000000004</v>
      </c>
    </row>
    <row r="866" spans="1:6">
      <c r="A866" s="5">
        <f>'03_Actual_Opex'!A137</f>
        <v>45778</v>
      </c>
      <c r="B866" s="3" t="str">
        <f>'03_Actual_Opex'!B137</f>
        <v>D02</v>
      </c>
      <c r="C866" s="3" t="str">
        <f>'03_Actual_Opex'!C137</f>
        <v>Marketing</v>
      </c>
      <c r="D866" s="3" t="str">
        <f>'03_Actual_Opex'!D137</f>
        <v>A04</v>
      </c>
      <c r="E866" s="9">
        <f>'03_Actual_Opex'!E137</f>
        <v>30000000</v>
      </c>
      <c r="F866" s="9">
        <f>E866*(1+_xlfn.XLOOKUP("Marketing",'01_Assumptions'!$A$11:$A$18,'01_Assumptions'!$B$11:$B$18))</f>
        <v>32100000.000000004</v>
      </c>
    </row>
    <row r="867" spans="1:6">
      <c r="A867" s="5">
        <f>'03_Actual_Opex'!A138</f>
        <v>45778</v>
      </c>
      <c r="B867" s="3" t="str">
        <f>'03_Actual_Opex'!B138</f>
        <v>D03</v>
      </c>
      <c r="C867" s="3" t="str">
        <f>'03_Actual_Opex'!C138</f>
        <v>R&amp;D</v>
      </c>
      <c r="D867" s="3" t="str">
        <f>'03_Actual_Opex'!D138</f>
        <v>A01</v>
      </c>
      <c r="E867" s="9">
        <f>'03_Actual_Opex'!E138</f>
        <v>20000000</v>
      </c>
      <c r="F867" s="9">
        <f>E867*(1+_xlfn.XLOOKUP("R&amp;D",'01_Assumptions'!$A$11:$A$18,'01_Assumptions'!$B$11:$B$18))</f>
        <v>21800000</v>
      </c>
    </row>
    <row r="868" spans="1:6">
      <c r="A868" s="5">
        <f>'03_Actual_Opex'!A139</f>
        <v>45778</v>
      </c>
      <c r="B868" s="3" t="str">
        <f>'03_Actual_Opex'!B139</f>
        <v>D03</v>
      </c>
      <c r="C868" s="3" t="str">
        <f>'03_Actual_Opex'!C139</f>
        <v>R&amp;D</v>
      </c>
      <c r="D868" s="3" t="str">
        <f>'03_Actual_Opex'!D139</f>
        <v>A02</v>
      </c>
      <c r="E868" s="9">
        <f>'03_Actual_Opex'!E139</f>
        <v>20000000</v>
      </c>
      <c r="F868" s="9">
        <f>E868*(1+_xlfn.XLOOKUP("R&amp;D",'01_Assumptions'!$A$11:$A$18,'01_Assumptions'!$B$11:$B$18))</f>
        <v>21800000</v>
      </c>
    </row>
    <row r="869" spans="1:6">
      <c r="A869" s="5">
        <f>'03_Actual_Opex'!A140</f>
        <v>45778</v>
      </c>
      <c r="B869" s="3" t="str">
        <f>'03_Actual_Opex'!B140</f>
        <v>D03</v>
      </c>
      <c r="C869" s="3" t="str">
        <f>'03_Actual_Opex'!C140</f>
        <v>R&amp;D</v>
      </c>
      <c r="D869" s="3" t="str">
        <f>'03_Actual_Opex'!D140</f>
        <v>A03</v>
      </c>
      <c r="E869" s="9">
        <f>'03_Actual_Opex'!E140</f>
        <v>20000000</v>
      </c>
      <c r="F869" s="9">
        <f>E869*(1+_xlfn.XLOOKUP("R&amp;D",'01_Assumptions'!$A$11:$A$18,'01_Assumptions'!$B$11:$B$18))</f>
        <v>21800000</v>
      </c>
    </row>
    <row r="870" spans="1:6">
      <c r="A870" s="5">
        <f>'03_Actual_Opex'!A141</f>
        <v>45778</v>
      </c>
      <c r="B870" s="3" t="str">
        <f>'03_Actual_Opex'!B141</f>
        <v>D03</v>
      </c>
      <c r="C870" s="3" t="str">
        <f>'03_Actual_Opex'!C141</f>
        <v>R&amp;D</v>
      </c>
      <c r="D870" s="3" t="str">
        <f>'03_Actual_Opex'!D141</f>
        <v>A04</v>
      </c>
      <c r="E870" s="9">
        <f>'03_Actual_Opex'!E141</f>
        <v>20000000</v>
      </c>
      <c r="F870" s="9">
        <f>E870*(1+_xlfn.XLOOKUP("R&amp;D",'01_Assumptions'!$A$11:$A$18,'01_Assumptions'!$B$11:$B$18))</f>
        <v>21800000</v>
      </c>
    </row>
    <row r="871" spans="1:6">
      <c r="A871" s="5">
        <f>'03_Actual_Opex'!A142</f>
        <v>45778</v>
      </c>
      <c r="B871" s="3" t="str">
        <f>'03_Actual_Opex'!B142</f>
        <v>D04</v>
      </c>
      <c r="C871" s="3" t="str">
        <f>'03_Actual_Opex'!C142</f>
        <v>G&amp;A</v>
      </c>
      <c r="D871" s="3" t="str">
        <f>'03_Actual_Opex'!D142</f>
        <v>A01</v>
      </c>
      <c r="E871" s="9">
        <f>'03_Actual_Opex'!E142</f>
        <v>8000000</v>
      </c>
      <c r="F871" s="9">
        <f>E871*(1+_xlfn.XLOOKUP("G&amp;A",'01_Assumptions'!$A$11:$A$18,'01_Assumptions'!$B$11:$B$18))</f>
        <v>8400000</v>
      </c>
    </row>
    <row r="872" spans="1:6">
      <c r="A872" s="5">
        <f>'03_Actual_Opex'!A143</f>
        <v>45778</v>
      </c>
      <c r="B872" s="3" t="str">
        <f>'03_Actual_Opex'!B143</f>
        <v>D04</v>
      </c>
      <c r="C872" s="3" t="str">
        <f>'03_Actual_Opex'!C143</f>
        <v>G&amp;A</v>
      </c>
      <c r="D872" s="3" t="str">
        <f>'03_Actual_Opex'!D143</f>
        <v>A02</v>
      </c>
      <c r="E872" s="9">
        <f>'03_Actual_Opex'!E143</f>
        <v>8000000</v>
      </c>
      <c r="F872" s="9">
        <f>E872*(1+_xlfn.XLOOKUP("G&amp;A",'01_Assumptions'!$A$11:$A$18,'01_Assumptions'!$B$11:$B$18))</f>
        <v>8400000</v>
      </c>
    </row>
    <row r="873" spans="1:6">
      <c r="A873" s="5">
        <f>'03_Actual_Opex'!A144</f>
        <v>45778</v>
      </c>
      <c r="B873" s="3" t="str">
        <f>'03_Actual_Opex'!B144</f>
        <v>D04</v>
      </c>
      <c r="C873" s="3" t="str">
        <f>'03_Actual_Opex'!C144</f>
        <v>G&amp;A</v>
      </c>
      <c r="D873" s="3" t="str">
        <f>'03_Actual_Opex'!D144</f>
        <v>A03</v>
      </c>
      <c r="E873" s="9">
        <f>'03_Actual_Opex'!E144</f>
        <v>8000000</v>
      </c>
      <c r="F873" s="9">
        <f>E873*(1+_xlfn.XLOOKUP("G&amp;A",'01_Assumptions'!$A$11:$A$18,'01_Assumptions'!$B$11:$B$18))</f>
        <v>8400000</v>
      </c>
    </row>
    <row r="874" spans="1:6">
      <c r="A874" s="5">
        <f>'03_Actual_Opex'!A145</f>
        <v>45778</v>
      </c>
      <c r="B874" s="3" t="str">
        <f>'03_Actual_Opex'!B145</f>
        <v>D04</v>
      </c>
      <c r="C874" s="3" t="str">
        <f>'03_Actual_Opex'!C145</f>
        <v>G&amp;A</v>
      </c>
      <c r="D874" s="3" t="str">
        <f>'03_Actual_Opex'!D145</f>
        <v>A04</v>
      </c>
      <c r="E874" s="9">
        <f>'03_Actual_Opex'!E145</f>
        <v>8000000</v>
      </c>
      <c r="F874" s="9">
        <f>E874*(1+_xlfn.XLOOKUP("G&amp;A",'01_Assumptions'!$A$11:$A$18,'01_Assumptions'!$B$11:$B$18))</f>
        <v>8400000</v>
      </c>
    </row>
    <row r="875" spans="1:6">
      <c r="A875" s="5">
        <f>'03_Actual_Opex'!A146</f>
        <v>45778</v>
      </c>
      <c r="B875" s="3" t="str">
        <f>'03_Actual_Opex'!B146</f>
        <v>D05</v>
      </c>
      <c r="C875" s="3" t="str">
        <f>'03_Actual_Opex'!C146</f>
        <v>IT</v>
      </c>
      <c r="D875" s="3" t="str">
        <f>'03_Actual_Opex'!D146</f>
        <v>A01</v>
      </c>
      <c r="E875" s="9">
        <f>'03_Actual_Opex'!E146</f>
        <v>12000000</v>
      </c>
      <c r="F875" s="9">
        <f>E875*(1+_xlfn.XLOOKUP("IT",'01_Assumptions'!$A$11:$A$18,'01_Assumptions'!$B$11:$B$18))</f>
        <v>12960000</v>
      </c>
    </row>
    <row r="876" spans="1:6">
      <c r="A876" s="5">
        <f>'03_Actual_Opex'!A147</f>
        <v>45778</v>
      </c>
      <c r="B876" s="3" t="str">
        <f>'03_Actual_Opex'!B147</f>
        <v>D05</v>
      </c>
      <c r="C876" s="3" t="str">
        <f>'03_Actual_Opex'!C147</f>
        <v>IT</v>
      </c>
      <c r="D876" s="3" t="str">
        <f>'03_Actual_Opex'!D147</f>
        <v>A02</v>
      </c>
      <c r="E876" s="9">
        <f>'03_Actual_Opex'!E147</f>
        <v>12000000</v>
      </c>
      <c r="F876" s="9">
        <f>E876*(1+_xlfn.XLOOKUP("IT",'01_Assumptions'!$A$11:$A$18,'01_Assumptions'!$B$11:$B$18))</f>
        <v>12960000</v>
      </c>
    </row>
    <row r="877" spans="1:6">
      <c r="A877" s="5">
        <f>'03_Actual_Opex'!A148</f>
        <v>45778</v>
      </c>
      <c r="B877" s="3" t="str">
        <f>'03_Actual_Opex'!B148</f>
        <v>D05</v>
      </c>
      <c r="C877" s="3" t="str">
        <f>'03_Actual_Opex'!C148</f>
        <v>IT</v>
      </c>
      <c r="D877" s="3" t="str">
        <f>'03_Actual_Opex'!D148</f>
        <v>A03</v>
      </c>
      <c r="E877" s="9">
        <f>'03_Actual_Opex'!E148</f>
        <v>12000000</v>
      </c>
      <c r="F877" s="9">
        <f>E877*(1+_xlfn.XLOOKUP("IT",'01_Assumptions'!$A$11:$A$18,'01_Assumptions'!$B$11:$B$18))</f>
        <v>12960000</v>
      </c>
    </row>
    <row r="878" spans="1:6">
      <c r="A878" s="5">
        <f>'03_Actual_Opex'!A149</f>
        <v>45778</v>
      </c>
      <c r="B878" s="3" t="str">
        <f>'03_Actual_Opex'!B149</f>
        <v>D05</v>
      </c>
      <c r="C878" s="3" t="str">
        <f>'03_Actual_Opex'!C149</f>
        <v>IT</v>
      </c>
      <c r="D878" s="3" t="str">
        <f>'03_Actual_Opex'!D149</f>
        <v>A04</v>
      </c>
      <c r="E878" s="9">
        <f>'03_Actual_Opex'!E149</f>
        <v>12000000</v>
      </c>
      <c r="F878" s="9">
        <f>E878*(1+_xlfn.XLOOKUP("IT",'01_Assumptions'!$A$11:$A$18,'01_Assumptions'!$B$11:$B$18))</f>
        <v>12960000</v>
      </c>
    </row>
    <row r="879" spans="1:6">
      <c r="A879" s="5">
        <f>'03_Actual_Opex'!A150</f>
        <v>45778</v>
      </c>
      <c r="B879" s="3" t="str">
        <f>'03_Actual_Opex'!B150</f>
        <v>D06</v>
      </c>
      <c r="C879" s="3" t="str">
        <f>'03_Actual_Opex'!C150</f>
        <v>Customer Operations</v>
      </c>
      <c r="D879" s="3" t="str">
        <f>'03_Actual_Opex'!D150</f>
        <v>A01</v>
      </c>
      <c r="E879" s="9">
        <f>'03_Actual_Opex'!E150</f>
        <v>10000000</v>
      </c>
      <c r="F879" s="9">
        <f>E879*(1+_xlfn.XLOOKUP("Customer Operations",'01_Assumptions'!$A$11:$A$18,'01_Assumptions'!$B$11:$B$18))</f>
        <v>10600000</v>
      </c>
    </row>
    <row r="880" spans="1:6">
      <c r="A880" s="5">
        <f>'03_Actual_Opex'!A151</f>
        <v>45778</v>
      </c>
      <c r="B880" s="3" t="str">
        <f>'03_Actual_Opex'!B151</f>
        <v>D06</v>
      </c>
      <c r="C880" s="3" t="str">
        <f>'03_Actual_Opex'!C151</f>
        <v>Customer Operations</v>
      </c>
      <c r="D880" s="3" t="str">
        <f>'03_Actual_Opex'!D151</f>
        <v>A02</v>
      </c>
      <c r="E880" s="9">
        <f>'03_Actual_Opex'!E151</f>
        <v>10000000</v>
      </c>
      <c r="F880" s="9">
        <f>E880*(1+_xlfn.XLOOKUP("Customer Operations",'01_Assumptions'!$A$11:$A$18,'01_Assumptions'!$B$11:$B$18))</f>
        <v>10600000</v>
      </c>
    </row>
    <row r="881" spans="1:6">
      <c r="A881" s="5">
        <f>'03_Actual_Opex'!A152</f>
        <v>45778</v>
      </c>
      <c r="B881" s="3" t="str">
        <f>'03_Actual_Opex'!B152</f>
        <v>D06</v>
      </c>
      <c r="C881" s="3" t="str">
        <f>'03_Actual_Opex'!C152</f>
        <v>Customer Operations</v>
      </c>
      <c r="D881" s="3" t="str">
        <f>'03_Actual_Opex'!D152</f>
        <v>A03</v>
      </c>
      <c r="E881" s="9">
        <f>'03_Actual_Opex'!E152</f>
        <v>10000000</v>
      </c>
      <c r="F881" s="9">
        <f>E881*(1+_xlfn.XLOOKUP("Customer Operations",'01_Assumptions'!$A$11:$A$18,'01_Assumptions'!$B$11:$B$18))</f>
        <v>10600000</v>
      </c>
    </row>
    <row r="882" spans="1:6">
      <c r="A882" s="5">
        <f>'03_Actual_Opex'!A153</f>
        <v>45778</v>
      </c>
      <c r="B882" s="3" t="str">
        <f>'03_Actual_Opex'!B153</f>
        <v>D06</v>
      </c>
      <c r="C882" s="3" t="str">
        <f>'03_Actual_Opex'!C153</f>
        <v>Customer Operations</v>
      </c>
      <c r="D882" s="3" t="str">
        <f>'03_Actual_Opex'!D153</f>
        <v>A04</v>
      </c>
      <c r="E882" s="9">
        <f>'03_Actual_Opex'!E153</f>
        <v>10000000</v>
      </c>
      <c r="F882" s="9">
        <f>E882*(1+_xlfn.XLOOKUP("Customer Operations",'01_Assumptions'!$A$11:$A$18,'01_Assumptions'!$B$11:$B$18))</f>
        <v>10600000</v>
      </c>
    </row>
    <row r="883" spans="1:6">
      <c r="A883" s="5">
        <f>'03_Actual_Opex'!A154</f>
        <v>45778</v>
      </c>
      <c r="B883" s="3" t="str">
        <f>'03_Actual_Opex'!B154</f>
        <v>D07</v>
      </c>
      <c r="C883" s="3" t="str">
        <f>'03_Actual_Opex'!C154</f>
        <v>HR</v>
      </c>
      <c r="D883" s="3" t="str">
        <f>'03_Actual_Opex'!D154</f>
        <v>A01</v>
      </c>
      <c r="E883" s="9">
        <f>'03_Actual_Opex'!E154</f>
        <v>3000000</v>
      </c>
      <c r="F883" s="9">
        <f>E883*(1+_xlfn.XLOOKUP("HR",'01_Assumptions'!$A$11:$A$18,'01_Assumptions'!$B$11:$B$18))</f>
        <v>3150000</v>
      </c>
    </row>
    <row r="884" spans="1:6">
      <c r="A884" s="5">
        <f>'03_Actual_Opex'!A155</f>
        <v>45778</v>
      </c>
      <c r="B884" s="3" t="str">
        <f>'03_Actual_Opex'!B155</f>
        <v>D07</v>
      </c>
      <c r="C884" s="3" t="str">
        <f>'03_Actual_Opex'!C155</f>
        <v>HR</v>
      </c>
      <c r="D884" s="3" t="str">
        <f>'03_Actual_Opex'!D155</f>
        <v>A02</v>
      </c>
      <c r="E884" s="9">
        <f>'03_Actual_Opex'!E155</f>
        <v>3000000</v>
      </c>
      <c r="F884" s="9">
        <f>E884*(1+_xlfn.XLOOKUP("HR",'01_Assumptions'!$A$11:$A$18,'01_Assumptions'!$B$11:$B$18))</f>
        <v>3150000</v>
      </c>
    </row>
    <row r="885" spans="1:6">
      <c r="A885" s="5">
        <f>'03_Actual_Opex'!A156</f>
        <v>45778</v>
      </c>
      <c r="B885" s="3" t="str">
        <f>'03_Actual_Opex'!B156</f>
        <v>D07</v>
      </c>
      <c r="C885" s="3" t="str">
        <f>'03_Actual_Opex'!C156</f>
        <v>HR</v>
      </c>
      <c r="D885" s="3" t="str">
        <f>'03_Actual_Opex'!D156</f>
        <v>A03</v>
      </c>
      <c r="E885" s="9">
        <f>'03_Actual_Opex'!E156</f>
        <v>3000000</v>
      </c>
      <c r="F885" s="9">
        <f>E885*(1+_xlfn.XLOOKUP("HR",'01_Assumptions'!$A$11:$A$18,'01_Assumptions'!$B$11:$B$18))</f>
        <v>3150000</v>
      </c>
    </row>
    <row r="886" spans="1:6">
      <c r="A886" s="5">
        <f>'03_Actual_Opex'!A157</f>
        <v>45778</v>
      </c>
      <c r="B886" s="3" t="str">
        <f>'03_Actual_Opex'!B157</f>
        <v>D07</v>
      </c>
      <c r="C886" s="3" t="str">
        <f>'03_Actual_Opex'!C157</f>
        <v>HR</v>
      </c>
      <c r="D886" s="3" t="str">
        <f>'03_Actual_Opex'!D157</f>
        <v>A04</v>
      </c>
      <c r="E886" s="9">
        <f>'03_Actual_Opex'!E157</f>
        <v>3000000</v>
      </c>
      <c r="F886" s="9">
        <f>E886*(1+_xlfn.XLOOKUP("HR",'01_Assumptions'!$A$11:$A$18,'01_Assumptions'!$B$11:$B$18))</f>
        <v>3150000</v>
      </c>
    </row>
    <row r="887" spans="1:6">
      <c r="A887" s="5">
        <f>'03_Actual_Opex'!A158</f>
        <v>45778</v>
      </c>
      <c r="B887" s="3" t="str">
        <f>'03_Actual_Opex'!B158</f>
        <v>D08</v>
      </c>
      <c r="C887" s="3" t="str">
        <f>'03_Actual_Opex'!C158</f>
        <v>Facilities</v>
      </c>
      <c r="D887" s="3" t="str">
        <f>'03_Actual_Opex'!D158</f>
        <v>A01</v>
      </c>
      <c r="E887" s="9">
        <f>'03_Actual_Opex'!E158</f>
        <v>8000000</v>
      </c>
      <c r="F887" s="9">
        <f>E887*(1+_xlfn.XLOOKUP("Facilities",'01_Assumptions'!$A$11:$A$18,'01_Assumptions'!$B$11:$B$18))</f>
        <v>8400000</v>
      </c>
    </row>
    <row r="888" spans="1:6">
      <c r="A888" s="5">
        <f>'03_Actual_Opex'!A159</f>
        <v>45778</v>
      </c>
      <c r="B888" s="3" t="str">
        <f>'03_Actual_Opex'!B159</f>
        <v>D08</v>
      </c>
      <c r="C888" s="3" t="str">
        <f>'03_Actual_Opex'!C159</f>
        <v>Facilities</v>
      </c>
      <c r="D888" s="3" t="str">
        <f>'03_Actual_Opex'!D159</f>
        <v>A02</v>
      </c>
      <c r="E888" s="9">
        <f>'03_Actual_Opex'!E159</f>
        <v>8000000</v>
      </c>
      <c r="F888" s="9">
        <f>E888*(1+_xlfn.XLOOKUP("Facilities",'01_Assumptions'!$A$11:$A$18,'01_Assumptions'!$B$11:$B$18))</f>
        <v>8400000</v>
      </c>
    </row>
    <row r="889" spans="1:6">
      <c r="A889" s="5">
        <f>'03_Actual_Opex'!A160</f>
        <v>45778</v>
      </c>
      <c r="B889" s="3" t="str">
        <f>'03_Actual_Opex'!B160</f>
        <v>D08</v>
      </c>
      <c r="C889" s="3" t="str">
        <f>'03_Actual_Opex'!C160</f>
        <v>Facilities</v>
      </c>
      <c r="D889" s="3" t="str">
        <f>'03_Actual_Opex'!D160</f>
        <v>A03</v>
      </c>
      <c r="E889" s="9">
        <f>'03_Actual_Opex'!E160</f>
        <v>8000000</v>
      </c>
      <c r="F889" s="9">
        <f>E889*(1+_xlfn.XLOOKUP("Facilities",'01_Assumptions'!$A$11:$A$18,'01_Assumptions'!$B$11:$B$18))</f>
        <v>8400000</v>
      </c>
    </row>
    <row r="890" spans="1:6">
      <c r="A890" s="5">
        <f>'03_Actual_Opex'!A161</f>
        <v>45778</v>
      </c>
      <c r="B890" s="3" t="str">
        <f>'03_Actual_Opex'!B161</f>
        <v>D08</v>
      </c>
      <c r="C890" s="3" t="str">
        <f>'03_Actual_Opex'!C161</f>
        <v>Facilities</v>
      </c>
      <c r="D890" s="3" t="str">
        <f>'03_Actual_Opex'!D161</f>
        <v>A04</v>
      </c>
      <c r="E890" s="9">
        <f>'03_Actual_Opex'!E161</f>
        <v>8000000</v>
      </c>
      <c r="F890" s="9">
        <f>E890*(1+_xlfn.XLOOKUP("Facilities",'01_Assumptions'!$A$11:$A$18,'01_Assumptions'!$B$11:$B$18))</f>
        <v>8400000</v>
      </c>
    </row>
    <row r="891" spans="1:6">
      <c r="A891" s="5">
        <f>'03_Actual_Opex'!A162</f>
        <v>45809</v>
      </c>
      <c r="B891" s="3" t="str">
        <f>'03_Actual_Opex'!B162</f>
        <v>D01</v>
      </c>
      <c r="C891" s="3" t="str">
        <f>'03_Actual_Opex'!C162</f>
        <v>Sales</v>
      </c>
      <c r="D891" s="3" t="str">
        <f>'03_Actual_Opex'!D162</f>
        <v>A01</v>
      </c>
      <c r="E891" s="9">
        <f>'03_Actual_Opex'!E162</f>
        <v>8000000</v>
      </c>
      <c r="F891" s="9">
        <f>E891*(1+_xlfn.XLOOKUP("Sales",'01_Assumptions'!$A$11:$A$18,'01_Assumptions'!$B$11:$B$18))</f>
        <v>8480000</v>
      </c>
    </row>
    <row r="892" spans="1:6">
      <c r="A892" s="5">
        <f>'03_Actual_Opex'!A163</f>
        <v>45809</v>
      </c>
      <c r="B892" s="3" t="str">
        <f>'03_Actual_Opex'!B163</f>
        <v>D01</v>
      </c>
      <c r="C892" s="3" t="str">
        <f>'03_Actual_Opex'!C163</f>
        <v>Sales</v>
      </c>
      <c r="D892" s="3" t="str">
        <f>'03_Actual_Opex'!D163</f>
        <v>A02</v>
      </c>
      <c r="E892" s="9">
        <f>'03_Actual_Opex'!E163</f>
        <v>8000000</v>
      </c>
      <c r="F892" s="9">
        <f>E892*(1+_xlfn.XLOOKUP("Sales",'01_Assumptions'!$A$11:$A$18,'01_Assumptions'!$B$11:$B$18))</f>
        <v>8480000</v>
      </c>
    </row>
    <row r="893" spans="1:6">
      <c r="A893" s="5">
        <f>'03_Actual_Opex'!A164</f>
        <v>45809</v>
      </c>
      <c r="B893" s="3" t="str">
        <f>'03_Actual_Opex'!B164</f>
        <v>D01</v>
      </c>
      <c r="C893" s="3" t="str">
        <f>'03_Actual_Opex'!C164</f>
        <v>Sales</v>
      </c>
      <c r="D893" s="3" t="str">
        <f>'03_Actual_Opex'!D164</f>
        <v>A03</v>
      </c>
      <c r="E893" s="9">
        <f>'03_Actual_Opex'!E164</f>
        <v>8000000</v>
      </c>
      <c r="F893" s="9">
        <f>E893*(1+_xlfn.XLOOKUP("Sales",'01_Assumptions'!$A$11:$A$18,'01_Assumptions'!$B$11:$B$18))</f>
        <v>8480000</v>
      </c>
    </row>
    <row r="894" spans="1:6">
      <c r="A894" s="5">
        <f>'03_Actual_Opex'!A165</f>
        <v>45809</v>
      </c>
      <c r="B894" s="3" t="str">
        <f>'03_Actual_Opex'!B165</f>
        <v>D01</v>
      </c>
      <c r="C894" s="3" t="str">
        <f>'03_Actual_Opex'!C165</f>
        <v>Sales</v>
      </c>
      <c r="D894" s="3" t="str">
        <f>'03_Actual_Opex'!D165</f>
        <v>A04</v>
      </c>
      <c r="E894" s="9">
        <f>'03_Actual_Opex'!E165</f>
        <v>8000000</v>
      </c>
      <c r="F894" s="9">
        <f>E894*(1+_xlfn.XLOOKUP("Sales",'01_Assumptions'!$A$11:$A$18,'01_Assumptions'!$B$11:$B$18))</f>
        <v>8480000</v>
      </c>
    </row>
    <row r="895" spans="1:6">
      <c r="A895" s="5">
        <f>'03_Actual_Opex'!A166</f>
        <v>45809</v>
      </c>
      <c r="B895" s="3" t="str">
        <f>'03_Actual_Opex'!B166</f>
        <v>D02</v>
      </c>
      <c r="C895" s="3" t="str">
        <f>'03_Actual_Opex'!C166</f>
        <v>Marketing</v>
      </c>
      <c r="D895" s="3" t="str">
        <f>'03_Actual_Opex'!D166</f>
        <v>A01</v>
      </c>
      <c r="E895" s="9">
        <f>'03_Actual_Opex'!E166</f>
        <v>30000000</v>
      </c>
      <c r="F895" s="9">
        <f>E895*(1+_xlfn.XLOOKUP("Marketing",'01_Assumptions'!$A$11:$A$18,'01_Assumptions'!$B$11:$B$18))</f>
        <v>32100000.000000004</v>
      </c>
    </row>
    <row r="896" spans="1:6">
      <c r="A896" s="5">
        <f>'03_Actual_Opex'!A167</f>
        <v>45809</v>
      </c>
      <c r="B896" s="3" t="str">
        <f>'03_Actual_Opex'!B167</f>
        <v>D02</v>
      </c>
      <c r="C896" s="3" t="str">
        <f>'03_Actual_Opex'!C167</f>
        <v>Marketing</v>
      </c>
      <c r="D896" s="3" t="str">
        <f>'03_Actual_Opex'!D167</f>
        <v>A02</v>
      </c>
      <c r="E896" s="9">
        <f>'03_Actual_Opex'!E167</f>
        <v>30000000</v>
      </c>
      <c r="F896" s="9">
        <f>E896*(1+_xlfn.XLOOKUP("Marketing",'01_Assumptions'!$A$11:$A$18,'01_Assumptions'!$B$11:$B$18))</f>
        <v>32100000.000000004</v>
      </c>
    </row>
    <row r="897" spans="1:6">
      <c r="A897" s="5">
        <f>'03_Actual_Opex'!A168</f>
        <v>45809</v>
      </c>
      <c r="B897" s="3" t="str">
        <f>'03_Actual_Opex'!B168</f>
        <v>D02</v>
      </c>
      <c r="C897" s="3" t="str">
        <f>'03_Actual_Opex'!C168</f>
        <v>Marketing</v>
      </c>
      <c r="D897" s="3" t="str">
        <f>'03_Actual_Opex'!D168</f>
        <v>A03</v>
      </c>
      <c r="E897" s="9">
        <f>'03_Actual_Opex'!E168</f>
        <v>30000000</v>
      </c>
      <c r="F897" s="9">
        <f>E897*(1+_xlfn.XLOOKUP("Marketing",'01_Assumptions'!$A$11:$A$18,'01_Assumptions'!$B$11:$B$18))</f>
        <v>32100000.000000004</v>
      </c>
    </row>
    <row r="898" spans="1:6">
      <c r="A898" s="5">
        <f>'03_Actual_Opex'!A169</f>
        <v>45809</v>
      </c>
      <c r="B898" s="3" t="str">
        <f>'03_Actual_Opex'!B169</f>
        <v>D02</v>
      </c>
      <c r="C898" s="3" t="str">
        <f>'03_Actual_Opex'!C169</f>
        <v>Marketing</v>
      </c>
      <c r="D898" s="3" t="str">
        <f>'03_Actual_Opex'!D169</f>
        <v>A04</v>
      </c>
      <c r="E898" s="9">
        <f>'03_Actual_Opex'!E169</f>
        <v>30000000</v>
      </c>
      <c r="F898" s="9">
        <f>E898*(1+_xlfn.XLOOKUP("Marketing",'01_Assumptions'!$A$11:$A$18,'01_Assumptions'!$B$11:$B$18))</f>
        <v>32100000.000000004</v>
      </c>
    </row>
    <row r="899" spans="1:6">
      <c r="A899" s="5">
        <f>'03_Actual_Opex'!A170</f>
        <v>45809</v>
      </c>
      <c r="B899" s="3" t="str">
        <f>'03_Actual_Opex'!B170</f>
        <v>D03</v>
      </c>
      <c r="C899" s="3" t="str">
        <f>'03_Actual_Opex'!C170</f>
        <v>R&amp;D</v>
      </c>
      <c r="D899" s="3" t="str">
        <f>'03_Actual_Opex'!D170</f>
        <v>A01</v>
      </c>
      <c r="E899" s="9">
        <f>'03_Actual_Opex'!E170</f>
        <v>20000000</v>
      </c>
      <c r="F899" s="9">
        <f>E899*(1+_xlfn.XLOOKUP("R&amp;D",'01_Assumptions'!$A$11:$A$18,'01_Assumptions'!$B$11:$B$18))</f>
        <v>21800000</v>
      </c>
    </row>
    <row r="900" spans="1:6">
      <c r="A900" s="5">
        <f>'03_Actual_Opex'!A171</f>
        <v>45809</v>
      </c>
      <c r="B900" s="3" t="str">
        <f>'03_Actual_Opex'!B171</f>
        <v>D03</v>
      </c>
      <c r="C900" s="3" t="str">
        <f>'03_Actual_Opex'!C171</f>
        <v>R&amp;D</v>
      </c>
      <c r="D900" s="3" t="str">
        <f>'03_Actual_Opex'!D171</f>
        <v>A02</v>
      </c>
      <c r="E900" s="9">
        <f>'03_Actual_Opex'!E171</f>
        <v>20000000</v>
      </c>
      <c r="F900" s="9">
        <f>E900*(1+_xlfn.XLOOKUP("R&amp;D",'01_Assumptions'!$A$11:$A$18,'01_Assumptions'!$B$11:$B$18))</f>
        <v>21800000</v>
      </c>
    </row>
    <row r="901" spans="1:6">
      <c r="A901" s="5">
        <f>'03_Actual_Opex'!A172</f>
        <v>45809</v>
      </c>
      <c r="B901" s="3" t="str">
        <f>'03_Actual_Opex'!B172</f>
        <v>D03</v>
      </c>
      <c r="C901" s="3" t="str">
        <f>'03_Actual_Opex'!C172</f>
        <v>R&amp;D</v>
      </c>
      <c r="D901" s="3" t="str">
        <f>'03_Actual_Opex'!D172</f>
        <v>A03</v>
      </c>
      <c r="E901" s="9">
        <f>'03_Actual_Opex'!E172</f>
        <v>20000000</v>
      </c>
      <c r="F901" s="9">
        <f>E901*(1+_xlfn.XLOOKUP("R&amp;D",'01_Assumptions'!$A$11:$A$18,'01_Assumptions'!$B$11:$B$18))</f>
        <v>21800000</v>
      </c>
    </row>
    <row r="902" spans="1:6">
      <c r="A902" s="5">
        <f>'03_Actual_Opex'!A173</f>
        <v>45809</v>
      </c>
      <c r="B902" s="3" t="str">
        <f>'03_Actual_Opex'!B173</f>
        <v>D03</v>
      </c>
      <c r="C902" s="3" t="str">
        <f>'03_Actual_Opex'!C173</f>
        <v>R&amp;D</v>
      </c>
      <c r="D902" s="3" t="str">
        <f>'03_Actual_Opex'!D173</f>
        <v>A04</v>
      </c>
      <c r="E902" s="9">
        <f>'03_Actual_Opex'!E173</f>
        <v>20000000</v>
      </c>
      <c r="F902" s="9">
        <f>E902*(1+_xlfn.XLOOKUP("R&amp;D",'01_Assumptions'!$A$11:$A$18,'01_Assumptions'!$B$11:$B$18))</f>
        <v>21800000</v>
      </c>
    </row>
    <row r="903" spans="1:6">
      <c r="A903" s="5">
        <f>'03_Actual_Opex'!A174</f>
        <v>45809</v>
      </c>
      <c r="B903" s="3" t="str">
        <f>'03_Actual_Opex'!B174</f>
        <v>D04</v>
      </c>
      <c r="C903" s="3" t="str">
        <f>'03_Actual_Opex'!C174</f>
        <v>G&amp;A</v>
      </c>
      <c r="D903" s="3" t="str">
        <f>'03_Actual_Opex'!D174</f>
        <v>A01</v>
      </c>
      <c r="E903" s="9">
        <f>'03_Actual_Opex'!E174</f>
        <v>8000000</v>
      </c>
      <c r="F903" s="9">
        <f>E903*(1+_xlfn.XLOOKUP("G&amp;A",'01_Assumptions'!$A$11:$A$18,'01_Assumptions'!$B$11:$B$18))</f>
        <v>8400000</v>
      </c>
    </row>
    <row r="904" spans="1:6">
      <c r="A904" s="5">
        <f>'03_Actual_Opex'!A175</f>
        <v>45809</v>
      </c>
      <c r="B904" s="3" t="str">
        <f>'03_Actual_Opex'!B175</f>
        <v>D04</v>
      </c>
      <c r="C904" s="3" t="str">
        <f>'03_Actual_Opex'!C175</f>
        <v>G&amp;A</v>
      </c>
      <c r="D904" s="3" t="str">
        <f>'03_Actual_Opex'!D175</f>
        <v>A02</v>
      </c>
      <c r="E904" s="9">
        <f>'03_Actual_Opex'!E175</f>
        <v>8000000</v>
      </c>
      <c r="F904" s="9">
        <f>E904*(1+_xlfn.XLOOKUP("G&amp;A",'01_Assumptions'!$A$11:$A$18,'01_Assumptions'!$B$11:$B$18))</f>
        <v>8400000</v>
      </c>
    </row>
    <row r="905" spans="1:6">
      <c r="A905" s="5">
        <f>'03_Actual_Opex'!A176</f>
        <v>45809</v>
      </c>
      <c r="B905" s="3" t="str">
        <f>'03_Actual_Opex'!B176</f>
        <v>D04</v>
      </c>
      <c r="C905" s="3" t="str">
        <f>'03_Actual_Opex'!C176</f>
        <v>G&amp;A</v>
      </c>
      <c r="D905" s="3" t="str">
        <f>'03_Actual_Opex'!D176</f>
        <v>A03</v>
      </c>
      <c r="E905" s="9">
        <f>'03_Actual_Opex'!E176</f>
        <v>8000000</v>
      </c>
      <c r="F905" s="9">
        <f>E905*(1+_xlfn.XLOOKUP("G&amp;A",'01_Assumptions'!$A$11:$A$18,'01_Assumptions'!$B$11:$B$18))</f>
        <v>8400000</v>
      </c>
    </row>
    <row r="906" spans="1:6">
      <c r="A906" s="5">
        <f>'03_Actual_Opex'!A177</f>
        <v>45809</v>
      </c>
      <c r="B906" s="3" t="str">
        <f>'03_Actual_Opex'!B177</f>
        <v>D04</v>
      </c>
      <c r="C906" s="3" t="str">
        <f>'03_Actual_Opex'!C177</f>
        <v>G&amp;A</v>
      </c>
      <c r="D906" s="3" t="str">
        <f>'03_Actual_Opex'!D177</f>
        <v>A04</v>
      </c>
      <c r="E906" s="9">
        <f>'03_Actual_Opex'!E177</f>
        <v>8000000</v>
      </c>
      <c r="F906" s="9">
        <f>E906*(1+_xlfn.XLOOKUP("G&amp;A",'01_Assumptions'!$A$11:$A$18,'01_Assumptions'!$B$11:$B$18))</f>
        <v>8400000</v>
      </c>
    </row>
    <row r="907" spans="1:6">
      <c r="A907" s="5">
        <f>'03_Actual_Opex'!A178</f>
        <v>45809</v>
      </c>
      <c r="B907" s="3" t="str">
        <f>'03_Actual_Opex'!B178</f>
        <v>D05</v>
      </c>
      <c r="C907" s="3" t="str">
        <f>'03_Actual_Opex'!C178</f>
        <v>IT</v>
      </c>
      <c r="D907" s="3" t="str">
        <f>'03_Actual_Opex'!D178</f>
        <v>A01</v>
      </c>
      <c r="E907" s="9">
        <f>'03_Actual_Opex'!E178</f>
        <v>12000000</v>
      </c>
      <c r="F907" s="9">
        <f>E907*(1+_xlfn.XLOOKUP("IT",'01_Assumptions'!$A$11:$A$18,'01_Assumptions'!$B$11:$B$18))</f>
        <v>12960000</v>
      </c>
    </row>
    <row r="908" spans="1:6">
      <c r="A908" s="5">
        <f>'03_Actual_Opex'!A179</f>
        <v>45809</v>
      </c>
      <c r="B908" s="3" t="str">
        <f>'03_Actual_Opex'!B179</f>
        <v>D05</v>
      </c>
      <c r="C908" s="3" t="str">
        <f>'03_Actual_Opex'!C179</f>
        <v>IT</v>
      </c>
      <c r="D908" s="3" t="str">
        <f>'03_Actual_Opex'!D179</f>
        <v>A02</v>
      </c>
      <c r="E908" s="9">
        <f>'03_Actual_Opex'!E179</f>
        <v>12000000</v>
      </c>
      <c r="F908" s="9">
        <f>E908*(1+_xlfn.XLOOKUP("IT",'01_Assumptions'!$A$11:$A$18,'01_Assumptions'!$B$11:$B$18))</f>
        <v>12960000</v>
      </c>
    </row>
    <row r="909" spans="1:6">
      <c r="A909" s="5">
        <f>'03_Actual_Opex'!A180</f>
        <v>45809</v>
      </c>
      <c r="B909" s="3" t="str">
        <f>'03_Actual_Opex'!B180</f>
        <v>D05</v>
      </c>
      <c r="C909" s="3" t="str">
        <f>'03_Actual_Opex'!C180</f>
        <v>IT</v>
      </c>
      <c r="D909" s="3" t="str">
        <f>'03_Actual_Opex'!D180</f>
        <v>A03</v>
      </c>
      <c r="E909" s="9">
        <f>'03_Actual_Opex'!E180</f>
        <v>12000000</v>
      </c>
      <c r="F909" s="9">
        <f>E909*(1+_xlfn.XLOOKUP("IT",'01_Assumptions'!$A$11:$A$18,'01_Assumptions'!$B$11:$B$18))</f>
        <v>12960000</v>
      </c>
    </row>
    <row r="910" spans="1:6">
      <c r="A910" s="5">
        <f>'03_Actual_Opex'!A181</f>
        <v>45809</v>
      </c>
      <c r="B910" s="3" t="str">
        <f>'03_Actual_Opex'!B181</f>
        <v>D05</v>
      </c>
      <c r="C910" s="3" t="str">
        <f>'03_Actual_Opex'!C181</f>
        <v>IT</v>
      </c>
      <c r="D910" s="3" t="str">
        <f>'03_Actual_Opex'!D181</f>
        <v>A04</v>
      </c>
      <c r="E910" s="9">
        <f>'03_Actual_Opex'!E181</f>
        <v>12000000</v>
      </c>
      <c r="F910" s="9">
        <f>E910*(1+_xlfn.XLOOKUP("IT",'01_Assumptions'!$A$11:$A$18,'01_Assumptions'!$B$11:$B$18))</f>
        <v>12960000</v>
      </c>
    </row>
    <row r="911" spans="1:6">
      <c r="A911" s="5">
        <f>'03_Actual_Opex'!A182</f>
        <v>45809</v>
      </c>
      <c r="B911" s="3" t="str">
        <f>'03_Actual_Opex'!B182</f>
        <v>D06</v>
      </c>
      <c r="C911" s="3" t="str">
        <f>'03_Actual_Opex'!C182</f>
        <v>Customer Operations</v>
      </c>
      <c r="D911" s="3" t="str">
        <f>'03_Actual_Opex'!D182</f>
        <v>A01</v>
      </c>
      <c r="E911" s="9">
        <f>'03_Actual_Opex'!E182</f>
        <v>10000000</v>
      </c>
      <c r="F911" s="9">
        <f>E911*(1+_xlfn.XLOOKUP("Customer Operations",'01_Assumptions'!$A$11:$A$18,'01_Assumptions'!$B$11:$B$18))</f>
        <v>10600000</v>
      </c>
    </row>
    <row r="912" spans="1:6">
      <c r="A912" s="5">
        <f>'03_Actual_Opex'!A183</f>
        <v>45809</v>
      </c>
      <c r="B912" s="3" t="str">
        <f>'03_Actual_Opex'!B183</f>
        <v>D06</v>
      </c>
      <c r="C912" s="3" t="str">
        <f>'03_Actual_Opex'!C183</f>
        <v>Customer Operations</v>
      </c>
      <c r="D912" s="3" t="str">
        <f>'03_Actual_Opex'!D183</f>
        <v>A02</v>
      </c>
      <c r="E912" s="9">
        <f>'03_Actual_Opex'!E183</f>
        <v>10000000</v>
      </c>
      <c r="F912" s="9">
        <f>E912*(1+_xlfn.XLOOKUP("Customer Operations",'01_Assumptions'!$A$11:$A$18,'01_Assumptions'!$B$11:$B$18))</f>
        <v>10600000</v>
      </c>
    </row>
    <row r="913" spans="1:6">
      <c r="A913" s="5">
        <f>'03_Actual_Opex'!A184</f>
        <v>45809</v>
      </c>
      <c r="B913" s="3" t="str">
        <f>'03_Actual_Opex'!B184</f>
        <v>D06</v>
      </c>
      <c r="C913" s="3" t="str">
        <f>'03_Actual_Opex'!C184</f>
        <v>Customer Operations</v>
      </c>
      <c r="D913" s="3" t="str">
        <f>'03_Actual_Opex'!D184</f>
        <v>A03</v>
      </c>
      <c r="E913" s="9">
        <f>'03_Actual_Opex'!E184</f>
        <v>10000000</v>
      </c>
      <c r="F913" s="9">
        <f>E913*(1+_xlfn.XLOOKUP("Customer Operations",'01_Assumptions'!$A$11:$A$18,'01_Assumptions'!$B$11:$B$18))</f>
        <v>10600000</v>
      </c>
    </row>
    <row r="914" spans="1:6">
      <c r="A914" s="5">
        <f>'03_Actual_Opex'!A185</f>
        <v>45809</v>
      </c>
      <c r="B914" s="3" t="str">
        <f>'03_Actual_Opex'!B185</f>
        <v>D06</v>
      </c>
      <c r="C914" s="3" t="str">
        <f>'03_Actual_Opex'!C185</f>
        <v>Customer Operations</v>
      </c>
      <c r="D914" s="3" t="str">
        <f>'03_Actual_Opex'!D185</f>
        <v>A04</v>
      </c>
      <c r="E914" s="9">
        <f>'03_Actual_Opex'!E185</f>
        <v>10000000</v>
      </c>
      <c r="F914" s="9">
        <f>E914*(1+_xlfn.XLOOKUP("Customer Operations",'01_Assumptions'!$A$11:$A$18,'01_Assumptions'!$B$11:$B$18))</f>
        <v>10600000</v>
      </c>
    </row>
    <row r="915" spans="1:6">
      <c r="A915" s="5">
        <f>'03_Actual_Opex'!A186</f>
        <v>45809</v>
      </c>
      <c r="B915" s="3" t="str">
        <f>'03_Actual_Opex'!B186</f>
        <v>D07</v>
      </c>
      <c r="C915" s="3" t="str">
        <f>'03_Actual_Opex'!C186</f>
        <v>HR</v>
      </c>
      <c r="D915" s="3" t="str">
        <f>'03_Actual_Opex'!D186</f>
        <v>A01</v>
      </c>
      <c r="E915" s="9">
        <f>'03_Actual_Opex'!E186</f>
        <v>3000000</v>
      </c>
      <c r="F915" s="9">
        <f>E915*(1+_xlfn.XLOOKUP("HR",'01_Assumptions'!$A$11:$A$18,'01_Assumptions'!$B$11:$B$18))</f>
        <v>3150000</v>
      </c>
    </row>
    <row r="916" spans="1:6">
      <c r="A916" s="5">
        <f>'03_Actual_Opex'!A187</f>
        <v>45809</v>
      </c>
      <c r="B916" s="3" t="str">
        <f>'03_Actual_Opex'!B187</f>
        <v>D07</v>
      </c>
      <c r="C916" s="3" t="str">
        <f>'03_Actual_Opex'!C187</f>
        <v>HR</v>
      </c>
      <c r="D916" s="3" t="str">
        <f>'03_Actual_Opex'!D187</f>
        <v>A02</v>
      </c>
      <c r="E916" s="9">
        <f>'03_Actual_Opex'!E187</f>
        <v>3000000</v>
      </c>
      <c r="F916" s="9">
        <f>E916*(1+_xlfn.XLOOKUP("HR",'01_Assumptions'!$A$11:$A$18,'01_Assumptions'!$B$11:$B$18))</f>
        <v>3150000</v>
      </c>
    </row>
    <row r="917" spans="1:6">
      <c r="A917" s="5">
        <f>'03_Actual_Opex'!A188</f>
        <v>45809</v>
      </c>
      <c r="B917" s="3" t="str">
        <f>'03_Actual_Opex'!B188</f>
        <v>D07</v>
      </c>
      <c r="C917" s="3" t="str">
        <f>'03_Actual_Opex'!C188</f>
        <v>HR</v>
      </c>
      <c r="D917" s="3" t="str">
        <f>'03_Actual_Opex'!D188</f>
        <v>A03</v>
      </c>
      <c r="E917" s="9">
        <f>'03_Actual_Opex'!E188</f>
        <v>3000000</v>
      </c>
      <c r="F917" s="9">
        <f>E917*(1+_xlfn.XLOOKUP("HR",'01_Assumptions'!$A$11:$A$18,'01_Assumptions'!$B$11:$B$18))</f>
        <v>3150000</v>
      </c>
    </row>
    <row r="918" spans="1:6">
      <c r="A918" s="5">
        <f>'03_Actual_Opex'!A189</f>
        <v>45809</v>
      </c>
      <c r="B918" s="3" t="str">
        <f>'03_Actual_Opex'!B189</f>
        <v>D07</v>
      </c>
      <c r="C918" s="3" t="str">
        <f>'03_Actual_Opex'!C189</f>
        <v>HR</v>
      </c>
      <c r="D918" s="3" t="str">
        <f>'03_Actual_Opex'!D189</f>
        <v>A04</v>
      </c>
      <c r="E918" s="9">
        <f>'03_Actual_Opex'!E189</f>
        <v>3000000</v>
      </c>
      <c r="F918" s="9">
        <f>E918*(1+_xlfn.XLOOKUP("HR",'01_Assumptions'!$A$11:$A$18,'01_Assumptions'!$B$11:$B$18))</f>
        <v>3150000</v>
      </c>
    </row>
    <row r="919" spans="1:6">
      <c r="A919" s="5">
        <f>'03_Actual_Opex'!A190</f>
        <v>45809</v>
      </c>
      <c r="B919" s="3" t="str">
        <f>'03_Actual_Opex'!B190</f>
        <v>D08</v>
      </c>
      <c r="C919" s="3" t="str">
        <f>'03_Actual_Opex'!C190</f>
        <v>Facilities</v>
      </c>
      <c r="D919" s="3" t="str">
        <f>'03_Actual_Opex'!D190</f>
        <v>A01</v>
      </c>
      <c r="E919" s="9">
        <f>'03_Actual_Opex'!E190</f>
        <v>8000000</v>
      </c>
      <c r="F919" s="9">
        <f>E919*(1+_xlfn.XLOOKUP("Facilities",'01_Assumptions'!$A$11:$A$18,'01_Assumptions'!$B$11:$B$18))</f>
        <v>8400000</v>
      </c>
    </row>
    <row r="920" spans="1:6">
      <c r="A920" s="5">
        <f>'03_Actual_Opex'!A191</f>
        <v>45809</v>
      </c>
      <c r="B920" s="3" t="str">
        <f>'03_Actual_Opex'!B191</f>
        <v>D08</v>
      </c>
      <c r="C920" s="3" t="str">
        <f>'03_Actual_Opex'!C191</f>
        <v>Facilities</v>
      </c>
      <c r="D920" s="3" t="str">
        <f>'03_Actual_Opex'!D191</f>
        <v>A02</v>
      </c>
      <c r="E920" s="9">
        <f>'03_Actual_Opex'!E191</f>
        <v>8000000</v>
      </c>
      <c r="F920" s="9">
        <f>E920*(1+_xlfn.XLOOKUP("Facilities",'01_Assumptions'!$A$11:$A$18,'01_Assumptions'!$B$11:$B$18))</f>
        <v>8400000</v>
      </c>
    </row>
    <row r="921" spans="1:6">
      <c r="A921" s="5">
        <f>'03_Actual_Opex'!A192</f>
        <v>45809</v>
      </c>
      <c r="B921" s="3" t="str">
        <f>'03_Actual_Opex'!B192</f>
        <v>D08</v>
      </c>
      <c r="C921" s="3" t="str">
        <f>'03_Actual_Opex'!C192</f>
        <v>Facilities</v>
      </c>
      <c r="D921" s="3" t="str">
        <f>'03_Actual_Opex'!D192</f>
        <v>A03</v>
      </c>
      <c r="E921" s="9">
        <f>'03_Actual_Opex'!E192</f>
        <v>8000000</v>
      </c>
      <c r="F921" s="9">
        <f>E921*(1+_xlfn.XLOOKUP("Facilities",'01_Assumptions'!$A$11:$A$18,'01_Assumptions'!$B$11:$B$18))</f>
        <v>8400000</v>
      </c>
    </row>
    <row r="922" spans="1:6">
      <c r="A922" s="5">
        <f>'03_Actual_Opex'!A193</f>
        <v>45809</v>
      </c>
      <c r="B922" s="3" t="str">
        <f>'03_Actual_Opex'!B193</f>
        <v>D08</v>
      </c>
      <c r="C922" s="3" t="str">
        <f>'03_Actual_Opex'!C193</f>
        <v>Facilities</v>
      </c>
      <c r="D922" s="3" t="str">
        <f>'03_Actual_Opex'!D193</f>
        <v>A04</v>
      </c>
      <c r="E922" s="9">
        <f>'03_Actual_Opex'!E193</f>
        <v>8000000</v>
      </c>
      <c r="F922" s="9">
        <f>E922*(1+_xlfn.XLOOKUP("Facilities",'01_Assumptions'!$A$11:$A$18,'01_Assumptions'!$B$11:$B$18))</f>
        <v>8400000</v>
      </c>
    </row>
    <row r="923" spans="1:6">
      <c r="A923" s="5">
        <f>'03_Actual_Opex'!A194</f>
        <v>45839</v>
      </c>
      <c r="B923" s="3" t="str">
        <f>'03_Actual_Opex'!B194</f>
        <v>D01</v>
      </c>
      <c r="C923" s="3" t="str">
        <f>'03_Actual_Opex'!C194</f>
        <v>Sales</v>
      </c>
      <c r="D923" s="3" t="str">
        <f>'03_Actual_Opex'!D194</f>
        <v>A01</v>
      </c>
      <c r="E923" s="9">
        <f>'03_Actual_Opex'!E194</f>
        <v>8000000</v>
      </c>
      <c r="F923" s="9">
        <f>E923*(1+_xlfn.XLOOKUP("Sales",'01_Assumptions'!$A$11:$A$18,'01_Assumptions'!$B$11:$B$18))</f>
        <v>8480000</v>
      </c>
    </row>
    <row r="924" spans="1:6">
      <c r="A924" s="5">
        <f>'03_Actual_Opex'!A195</f>
        <v>45839</v>
      </c>
      <c r="B924" s="3" t="str">
        <f>'03_Actual_Opex'!B195</f>
        <v>D01</v>
      </c>
      <c r="C924" s="3" t="str">
        <f>'03_Actual_Opex'!C195</f>
        <v>Sales</v>
      </c>
      <c r="D924" s="3" t="str">
        <f>'03_Actual_Opex'!D195</f>
        <v>A02</v>
      </c>
      <c r="E924" s="9">
        <f>'03_Actual_Opex'!E195</f>
        <v>8000000</v>
      </c>
      <c r="F924" s="9">
        <f>E924*(1+_xlfn.XLOOKUP("Sales",'01_Assumptions'!$A$11:$A$18,'01_Assumptions'!$B$11:$B$18))</f>
        <v>8480000</v>
      </c>
    </row>
    <row r="925" spans="1:6">
      <c r="A925" s="5">
        <f>'03_Actual_Opex'!A196</f>
        <v>45839</v>
      </c>
      <c r="B925" s="3" t="str">
        <f>'03_Actual_Opex'!B196</f>
        <v>D01</v>
      </c>
      <c r="C925" s="3" t="str">
        <f>'03_Actual_Opex'!C196</f>
        <v>Sales</v>
      </c>
      <c r="D925" s="3" t="str">
        <f>'03_Actual_Opex'!D196</f>
        <v>A03</v>
      </c>
      <c r="E925" s="9">
        <f>'03_Actual_Opex'!E196</f>
        <v>8000000</v>
      </c>
      <c r="F925" s="9">
        <f>E925*(1+_xlfn.XLOOKUP("Sales",'01_Assumptions'!$A$11:$A$18,'01_Assumptions'!$B$11:$B$18))</f>
        <v>8480000</v>
      </c>
    </row>
    <row r="926" spans="1:6">
      <c r="A926" s="5">
        <f>'03_Actual_Opex'!A197</f>
        <v>45839</v>
      </c>
      <c r="B926" s="3" t="str">
        <f>'03_Actual_Opex'!B197</f>
        <v>D01</v>
      </c>
      <c r="C926" s="3" t="str">
        <f>'03_Actual_Opex'!C197</f>
        <v>Sales</v>
      </c>
      <c r="D926" s="3" t="str">
        <f>'03_Actual_Opex'!D197</f>
        <v>A04</v>
      </c>
      <c r="E926" s="9">
        <f>'03_Actual_Opex'!E197</f>
        <v>8000000</v>
      </c>
      <c r="F926" s="9">
        <f>E926*(1+_xlfn.XLOOKUP("Sales",'01_Assumptions'!$A$11:$A$18,'01_Assumptions'!$B$11:$B$18))</f>
        <v>8480000</v>
      </c>
    </row>
    <row r="927" spans="1:6">
      <c r="A927" s="5">
        <f>'03_Actual_Opex'!A198</f>
        <v>45839</v>
      </c>
      <c r="B927" s="3" t="str">
        <f>'03_Actual_Opex'!B198</f>
        <v>D02</v>
      </c>
      <c r="C927" s="3" t="str">
        <f>'03_Actual_Opex'!C198</f>
        <v>Marketing</v>
      </c>
      <c r="D927" s="3" t="str">
        <f>'03_Actual_Opex'!D198</f>
        <v>A01</v>
      </c>
      <c r="E927" s="9">
        <f>'03_Actual_Opex'!E198</f>
        <v>30000000</v>
      </c>
      <c r="F927" s="9">
        <f>E927*(1+_xlfn.XLOOKUP("Marketing",'01_Assumptions'!$A$11:$A$18,'01_Assumptions'!$B$11:$B$18))</f>
        <v>32100000.000000004</v>
      </c>
    </row>
    <row r="928" spans="1:6">
      <c r="A928" s="5">
        <f>'03_Actual_Opex'!A199</f>
        <v>45839</v>
      </c>
      <c r="B928" s="3" t="str">
        <f>'03_Actual_Opex'!B199</f>
        <v>D02</v>
      </c>
      <c r="C928" s="3" t="str">
        <f>'03_Actual_Opex'!C199</f>
        <v>Marketing</v>
      </c>
      <c r="D928" s="3" t="str">
        <f>'03_Actual_Opex'!D199</f>
        <v>A02</v>
      </c>
      <c r="E928" s="9">
        <f>'03_Actual_Opex'!E199</f>
        <v>30000000</v>
      </c>
      <c r="F928" s="9">
        <f>E928*(1+_xlfn.XLOOKUP("Marketing",'01_Assumptions'!$A$11:$A$18,'01_Assumptions'!$B$11:$B$18))</f>
        <v>32100000.000000004</v>
      </c>
    </row>
    <row r="929" spans="1:6">
      <c r="A929" s="5">
        <f>'03_Actual_Opex'!A200</f>
        <v>45839</v>
      </c>
      <c r="B929" s="3" t="str">
        <f>'03_Actual_Opex'!B200</f>
        <v>D02</v>
      </c>
      <c r="C929" s="3" t="str">
        <f>'03_Actual_Opex'!C200</f>
        <v>Marketing</v>
      </c>
      <c r="D929" s="3" t="str">
        <f>'03_Actual_Opex'!D200</f>
        <v>A03</v>
      </c>
      <c r="E929" s="9">
        <f>'03_Actual_Opex'!E200</f>
        <v>30000000</v>
      </c>
      <c r="F929" s="9">
        <f>E929*(1+_xlfn.XLOOKUP("Marketing",'01_Assumptions'!$A$11:$A$18,'01_Assumptions'!$B$11:$B$18))</f>
        <v>32100000.000000004</v>
      </c>
    </row>
    <row r="930" spans="1:6">
      <c r="A930" s="5">
        <f>'03_Actual_Opex'!A201</f>
        <v>45839</v>
      </c>
      <c r="B930" s="3" t="str">
        <f>'03_Actual_Opex'!B201</f>
        <v>D02</v>
      </c>
      <c r="C930" s="3" t="str">
        <f>'03_Actual_Opex'!C201</f>
        <v>Marketing</v>
      </c>
      <c r="D930" s="3" t="str">
        <f>'03_Actual_Opex'!D201</f>
        <v>A04</v>
      </c>
      <c r="E930" s="9">
        <f>'03_Actual_Opex'!E201</f>
        <v>30000000</v>
      </c>
      <c r="F930" s="9">
        <f>E930*(1+_xlfn.XLOOKUP("Marketing",'01_Assumptions'!$A$11:$A$18,'01_Assumptions'!$B$11:$B$18))</f>
        <v>32100000.000000004</v>
      </c>
    </row>
    <row r="931" spans="1:6">
      <c r="A931" s="5">
        <f>'03_Actual_Opex'!A202</f>
        <v>45839</v>
      </c>
      <c r="B931" s="3" t="str">
        <f>'03_Actual_Opex'!B202</f>
        <v>D03</v>
      </c>
      <c r="C931" s="3" t="str">
        <f>'03_Actual_Opex'!C202</f>
        <v>R&amp;D</v>
      </c>
      <c r="D931" s="3" t="str">
        <f>'03_Actual_Opex'!D202</f>
        <v>A01</v>
      </c>
      <c r="E931" s="9">
        <f>'03_Actual_Opex'!E202</f>
        <v>20000000</v>
      </c>
      <c r="F931" s="9">
        <f>E931*(1+_xlfn.XLOOKUP("R&amp;D",'01_Assumptions'!$A$11:$A$18,'01_Assumptions'!$B$11:$B$18))</f>
        <v>21800000</v>
      </c>
    </row>
    <row r="932" spans="1:6">
      <c r="A932" s="5">
        <f>'03_Actual_Opex'!A203</f>
        <v>45839</v>
      </c>
      <c r="B932" s="3" t="str">
        <f>'03_Actual_Opex'!B203</f>
        <v>D03</v>
      </c>
      <c r="C932" s="3" t="str">
        <f>'03_Actual_Opex'!C203</f>
        <v>R&amp;D</v>
      </c>
      <c r="D932" s="3" t="str">
        <f>'03_Actual_Opex'!D203</f>
        <v>A02</v>
      </c>
      <c r="E932" s="9">
        <f>'03_Actual_Opex'!E203</f>
        <v>20000000</v>
      </c>
      <c r="F932" s="9">
        <f>E932*(1+_xlfn.XLOOKUP("R&amp;D",'01_Assumptions'!$A$11:$A$18,'01_Assumptions'!$B$11:$B$18))</f>
        <v>21800000</v>
      </c>
    </row>
    <row r="933" spans="1:6">
      <c r="A933" s="5">
        <f>'03_Actual_Opex'!A204</f>
        <v>45839</v>
      </c>
      <c r="B933" s="3" t="str">
        <f>'03_Actual_Opex'!B204</f>
        <v>D03</v>
      </c>
      <c r="C933" s="3" t="str">
        <f>'03_Actual_Opex'!C204</f>
        <v>R&amp;D</v>
      </c>
      <c r="D933" s="3" t="str">
        <f>'03_Actual_Opex'!D204</f>
        <v>A03</v>
      </c>
      <c r="E933" s="9">
        <f>'03_Actual_Opex'!E204</f>
        <v>20000000</v>
      </c>
      <c r="F933" s="9">
        <f>E933*(1+_xlfn.XLOOKUP("R&amp;D",'01_Assumptions'!$A$11:$A$18,'01_Assumptions'!$B$11:$B$18))</f>
        <v>21800000</v>
      </c>
    </row>
    <row r="934" spans="1:6">
      <c r="A934" s="5">
        <f>'03_Actual_Opex'!A205</f>
        <v>45839</v>
      </c>
      <c r="B934" s="3" t="str">
        <f>'03_Actual_Opex'!B205</f>
        <v>D03</v>
      </c>
      <c r="C934" s="3" t="str">
        <f>'03_Actual_Opex'!C205</f>
        <v>R&amp;D</v>
      </c>
      <c r="D934" s="3" t="str">
        <f>'03_Actual_Opex'!D205</f>
        <v>A04</v>
      </c>
      <c r="E934" s="9">
        <f>'03_Actual_Opex'!E205</f>
        <v>20000000</v>
      </c>
      <c r="F934" s="9">
        <f>E934*(1+_xlfn.XLOOKUP("R&amp;D",'01_Assumptions'!$A$11:$A$18,'01_Assumptions'!$B$11:$B$18))</f>
        <v>21800000</v>
      </c>
    </row>
    <row r="935" spans="1:6">
      <c r="A935" s="5">
        <f>'03_Actual_Opex'!A206</f>
        <v>45839</v>
      </c>
      <c r="B935" s="3" t="str">
        <f>'03_Actual_Opex'!B206</f>
        <v>D04</v>
      </c>
      <c r="C935" s="3" t="str">
        <f>'03_Actual_Opex'!C206</f>
        <v>G&amp;A</v>
      </c>
      <c r="D935" s="3" t="str">
        <f>'03_Actual_Opex'!D206</f>
        <v>A01</v>
      </c>
      <c r="E935" s="9">
        <f>'03_Actual_Opex'!E206</f>
        <v>8000000</v>
      </c>
      <c r="F935" s="9">
        <f>E935*(1+_xlfn.XLOOKUP("G&amp;A",'01_Assumptions'!$A$11:$A$18,'01_Assumptions'!$B$11:$B$18))</f>
        <v>8400000</v>
      </c>
    </row>
    <row r="936" spans="1:6">
      <c r="A936" s="5">
        <f>'03_Actual_Opex'!A207</f>
        <v>45839</v>
      </c>
      <c r="B936" s="3" t="str">
        <f>'03_Actual_Opex'!B207</f>
        <v>D04</v>
      </c>
      <c r="C936" s="3" t="str">
        <f>'03_Actual_Opex'!C207</f>
        <v>G&amp;A</v>
      </c>
      <c r="D936" s="3" t="str">
        <f>'03_Actual_Opex'!D207</f>
        <v>A02</v>
      </c>
      <c r="E936" s="9">
        <f>'03_Actual_Opex'!E207</f>
        <v>8000000</v>
      </c>
      <c r="F936" s="9">
        <f>E936*(1+_xlfn.XLOOKUP("G&amp;A",'01_Assumptions'!$A$11:$A$18,'01_Assumptions'!$B$11:$B$18))</f>
        <v>8400000</v>
      </c>
    </row>
    <row r="937" spans="1:6">
      <c r="A937" s="5">
        <f>'03_Actual_Opex'!A208</f>
        <v>45839</v>
      </c>
      <c r="B937" s="3" t="str">
        <f>'03_Actual_Opex'!B208</f>
        <v>D04</v>
      </c>
      <c r="C937" s="3" t="str">
        <f>'03_Actual_Opex'!C208</f>
        <v>G&amp;A</v>
      </c>
      <c r="D937" s="3" t="str">
        <f>'03_Actual_Opex'!D208</f>
        <v>A03</v>
      </c>
      <c r="E937" s="9">
        <f>'03_Actual_Opex'!E208</f>
        <v>8000000</v>
      </c>
      <c r="F937" s="9">
        <f>E937*(1+_xlfn.XLOOKUP("G&amp;A",'01_Assumptions'!$A$11:$A$18,'01_Assumptions'!$B$11:$B$18))</f>
        <v>8400000</v>
      </c>
    </row>
    <row r="938" spans="1:6">
      <c r="A938" s="5">
        <f>'03_Actual_Opex'!A209</f>
        <v>45839</v>
      </c>
      <c r="B938" s="3" t="str">
        <f>'03_Actual_Opex'!B209</f>
        <v>D04</v>
      </c>
      <c r="C938" s="3" t="str">
        <f>'03_Actual_Opex'!C209</f>
        <v>G&amp;A</v>
      </c>
      <c r="D938" s="3" t="str">
        <f>'03_Actual_Opex'!D209</f>
        <v>A04</v>
      </c>
      <c r="E938" s="9">
        <f>'03_Actual_Opex'!E209</f>
        <v>8000000</v>
      </c>
      <c r="F938" s="9">
        <f>E938*(1+_xlfn.XLOOKUP("G&amp;A",'01_Assumptions'!$A$11:$A$18,'01_Assumptions'!$B$11:$B$18))</f>
        <v>8400000</v>
      </c>
    </row>
    <row r="939" spans="1:6">
      <c r="A939" s="5">
        <f>'03_Actual_Opex'!A210</f>
        <v>45839</v>
      </c>
      <c r="B939" s="3" t="str">
        <f>'03_Actual_Opex'!B210</f>
        <v>D05</v>
      </c>
      <c r="C939" s="3" t="str">
        <f>'03_Actual_Opex'!C210</f>
        <v>IT</v>
      </c>
      <c r="D939" s="3" t="str">
        <f>'03_Actual_Opex'!D210</f>
        <v>A01</v>
      </c>
      <c r="E939" s="9">
        <f>'03_Actual_Opex'!E210</f>
        <v>12000000</v>
      </c>
      <c r="F939" s="9">
        <f>E939*(1+_xlfn.XLOOKUP("IT",'01_Assumptions'!$A$11:$A$18,'01_Assumptions'!$B$11:$B$18))</f>
        <v>12960000</v>
      </c>
    </row>
    <row r="940" spans="1:6">
      <c r="A940" s="5">
        <f>'03_Actual_Opex'!A211</f>
        <v>45839</v>
      </c>
      <c r="B940" s="3" t="str">
        <f>'03_Actual_Opex'!B211</f>
        <v>D05</v>
      </c>
      <c r="C940" s="3" t="str">
        <f>'03_Actual_Opex'!C211</f>
        <v>IT</v>
      </c>
      <c r="D940" s="3" t="str">
        <f>'03_Actual_Opex'!D211</f>
        <v>A02</v>
      </c>
      <c r="E940" s="9">
        <f>'03_Actual_Opex'!E211</f>
        <v>12000000</v>
      </c>
      <c r="F940" s="9">
        <f>E940*(1+_xlfn.XLOOKUP("IT",'01_Assumptions'!$A$11:$A$18,'01_Assumptions'!$B$11:$B$18))</f>
        <v>12960000</v>
      </c>
    </row>
    <row r="941" spans="1:6">
      <c r="A941" s="5">
        <f>'03_Actual_Opex'!A212</f>
        <v>45839</v>
      </c>
      <c r="B941" s="3" t="str">
        <f>'03_Actual_Opex'!B212</f>
        <v>D05</v>
      </c>
      <c r="C941" s="3" t="str">
        <f>'03_Actual_Opex'!C212</f>
        <v>IT</v>
      </c>
      <c r="D941" s="3" t="str">
        <f>'03_Actual_Opex'!D212</f>
        <v>A03</v>
      </c>
      <c r="E941" s="9">
        <f>'03_Actual_Opex'!E212</f>
        <v>12000000</v>
      </c>
      <c r="F941" s="9">
        <f>E941*(1+_xlfn.XLOOKUP("IT",'01_Assumptions'!$A$11:$A$18,'01_Assumptions'!$B$11:$B$18))</f>
        <v>12960000</v>
      </c>
    </row>
    <row r="942" spans="1:6">
      <c r="A942" s="5">
        <f>'03_Actual_Opex'!A213</f>
        <v>45839</v>
      </c>
      <c r="B942" s="3" t="str">
        <f>'03_Actual_Opex'!B213</f>
        <v>D05</v>
      </c>
      <c r="C942" s="3" t="str">
        <f>'03_Actual_Opex'!C213</f>
        <v>IT</v>
      </c>
      <c r="D942" s="3" t="str">
        <f>'03_Actual_Opex'!D213</f>
        <v>A04</v>
      </c>
      <c r="E942" s="9">
        <f>'03_Actual_Opex'!E213</f>
        <v>12000000</v>
      </c>
      <c r="F942" s="9">
        <f>E942*(1+_xlfn.XLOOKUP("IT",'01_Assumptions'!$A$11:$A$18,'01_Assumptions'!$B$11:$B$18))</f>
        <v>12960000</v>
      </c>
    </row>
    <row r="943" spans="1:6">
      <c r="A943" s="5">
        <f>'03_Actual_Opex'!A214</f>
        <v>45839</v>
      </c>
      <c r="B943" s="3" t="str">
        <f>'03_Actual_Opex'!B214</f>
        <v>D06</v>
      </c>
      <c r="C943" s="3" t="str">
        <f>'03_Actual_Opex'!C214</f>
        <v>Customer Operations</v>
      </c>
      <c r="D943" s="3" t="str">
        <f>'03_Actual_Opex'!D214</f>
        <v>A01</v>
      </c>
      <c r="E943" s="9">
        <f>'03_Actual_Opex'!E214</f>
        <v>10000000</v>
      </c>
      <c r="F943" s="9">
        <f>E943*(1+_xlfn.XLOOKUP("Customer Operations",'01_Assumptions'!$A$11:$A$18,'01_Assumptions'!$B$11:$B$18))</f>
        <v>10600000</v>
      </c>
    </row>
    <row r="944" spans="1:6">
      <c r="A944" s="5">
        <f>'03_Actual_Opex'!A215</f>
        <v>45839</v>
      </c>
      <c r="B944" s="3" t="str">
        <f>'03_Actual_Opex'!B215</f>
        <v>D06</v>
      </c>
      <c r="C944" s="3" t="str">
        <f>'03_Actual_Opex'!C215</f>
        <v>Customer Operations</v>
      </c>
      <c r="D944" s="3" t="str">
        <f>'03_Actual_Opex'!D215</f>
        <v>A02</v>
      </c>
      <c r="E944" s="9">
        <f>'03_Actual_Opex'!E215</f>
        <v>10000000</v>
      </c>
      <c r="F944" s="9">
        <f>E944*(1+_xlfn.XLOOKUP("Customer Operations",'01_Assumptions'!$A$11:$A$18,'01_Assumptions'!$B$11:$B$18))</f>
        <v>10600000</v>
      </c>
    </row>
    <row r="945" spans="1:6">
      <c r="A945" s="5">
        <f>'03_Actual_Opex'!A216</f>
        <v>45839</v>
      </c>
      <c r="B945" s="3" t="str">
        <f>'03_Actual_Opex'!B216</f>
        <v>D06</v>
      </c>
      <c r="C945" s="3" t="str">
        <f>'03_Actual_Opex'!C216</f>
        <v>Customer Operations</v>
      </c>
      <c r="D945" s="3" t="str">
        <f>'03_Actual_Opex'!D216</f>
        <v>A03</v>
      </c>
      <c r="E945" s="9">
        <f>'03_Actual_Opex'!E216</f>
        <v>10000000</v>
      </c>
      <c r="F945" s="9">
        <f>E945*(1+_xlfn.XLOOKUP("Customer Operations",'01_Assumptions'!$A$11:$A$18,'01_Assumptions'!$B$11:$B$18))</f>
        <v>10600000</v>
      </c>
    </row>
    <row r="946" spans="1:6">
      <c r="A946" s="5">
        <f>'03_Actual_Opex'!A217</f>
        <v>45839</v>
      </c>
      <c r="B946" s="3" t="str">
        <f>'03_Actual_Opex'!B217</f>
        <v>D06</v>
      </c>
      <c r="C946" s="3" t="str">
        <f>'03_Actual_Opex'!C217</f>
        <v>Customer Operations</v>
      </c>
      <c r="D946" s="3" t="str">
        <f>'03_Actual_Opex'!D217</f>
        <v>A04</v>
      </c>
      <c r="E946" s="9">
        <f>'03_Actual_Opex'!E217</f>
        <v>10000000</v>
      </c>
      <c r="F946" s="9">
        <f>E946*(1+_xlfn.XLOOKUP("Customer Operations",'01_Assumptions'!$A$11:$A$18,'01_Assumptions'!$B$11:$B$18))</f>
        <v>10600000</v>
      </c>
    </row>
    <row r="947" spans="1:6">
      <c r="A947" s="5">
        <f>'03_Actual_Opex'!A218</f>
        <v>45839</v>
      </c>
      <c r="B947" s="3" t="str">
        <f>'03_Actual_Opex'!B218</f>
        <v>D07</v>
      </c>
      <c r="C947" s="3" t="str">
        <f>'03_Actual_Opex'!C218</f>
        <v>HR</v>
      </c>
      <c r="D947" s="3" t="str">
        <f>'03_Actual_Opex'!D218</f>
        <v>A01</v>
      </c>
      <c r="E947" s="9">
        <f>'03_Actual_Opex'!E218</f>
        <v>3000000</v>
      </c>
      <c r="F947" s="9">
        <f>E947*(1+_xlfn.XLOOKUP("HR",'01_Assumptions'!$A$11:$A$18,'01_Assumptions'!$B$11:$B$18))</f>
        <v>3150000</v>
      </c>
    </row>
    <row r="948" spans="1:6">
      <c r="A948" s="5">
        <f>'03_Actual_Opex'!A219</f>
        <v>45839</v>
      </c>
      <c r="B948" s="3" t="str">
        <f>'03_Actual_Opex'!B219</f>
        <v>D07</v>
      </c>
      <c r="C948" s="3" t="str">
        <f>'03_Actual_Opex'!C219</f>
        <v>HR</v>
      </c>
      <c r="D948" s="3" t="str">
        <f>'03_Actual_Opex'!D219</f>
        <v>A02</v>
      </c>
      <c r="E948" s="9">
        <f>'03_Actual_Opex'!E219</f>
        <v>3000000</v>
      </c>
      <c r="F948" s="9">
        <f>E948*(1+_xlfn.XLOOKUP("HR",'01_Assumptions'!$A$11:$A$18,'01_Assumptions'!$B$11:$B$18))</f>
        <v>3150000</v>
      </c>
    </row>
    <row r="949" spans="1:6">
      <c r="A949" s="5">
        <f>'03_Actual_Opex'!A220</f>
        <v>45839</v>
      </c>
      <c r="B949" s="3" t="str">
        <f>'03_Actual_Opex'!B220</f>
        <v>D07</v>
      </c>
      <c r="C949" s="3" t="str">
        <f>'03_Actual_Opex'!C220</f>
        <v>HR</v>
      </c>
      <c r="D949" s="3" t="str">
        <f>'03_Actual_Opex'!D220</f>
        <v>A03</v>
      </c>
      <c r="E949" s="9">
        <f>'03_Actual_Opex'!E220</f>
        <v>3000000</v>
      </c>
      <c r="F949" s="9">
        <f>E949*(1+_xlfn.XLOOKUP("HR",'01_Assumptions'!$A$11:$A$18,'01_Assumptions'!$B$11:$B$18))</f>
        <v>3150000</v>
      </c>
    </row>
    <row r="950" spans="1:6">
      <c r="A950" s="5">
        <f>'03_Actual_Opex'!A221</f>
        <v>45839</v>
      </c>
      <c r="B950" s="3" t="str">
        <f>'03_Actual_Opex'!B221</f>
        <v>D07</v>
      </c>
      <c r="C950" s="3" t="str">
        <f>'03_Actual_Opex'!C221</f>
        <v>HR</v>
      </c>
      <c r="D950" s="3" t="str">
        <f>'03_Actual_Opex'!D221</f>
        <v>A04</v>
      </c>
      <c r="E950" s="9">
        <f>'03_Actual_Opex'!E221</f>
        <v>3000000</v>
      </c>
      <c r="F950" s="9">
        <f>E950*(1+_xlfn.XLOOKUP("HR",'01_Assumptions'!$A$11:$A$18,'01_Assumptions'!$B$11:$B$18))</f>
        <v>3150000</v>
      </c>
    </row>
    <row r="951" spans="1:6">
      <c r="A951" s="5">
        <f>'03_Actual_Opex'!A222</f>
        <v>45839</v>
      </c>
      <c r="B951" s="3" t="str">
        <f>'03_Actual_Opex'!B222</f>
        <v>D08</v>
      </c>
      <c r="C951" s="3" t="str">
        <f>'03_Actual_Opex'!C222</f>
        <v>Facilities</v>
      </c>
      <c r="D951" s="3" t="str">
        <f>'03_Actual_Opex'!D222</f>
        <v>A01</v>
      </c>
      <c r="E951" s="9">
        <f>'03_Actual_Opex'!E222</f>
        <v>8000000</v>
      </c>
      <c r="F951" s="9">
        <f>E951*(1+_xlfn.XLOOKUP("Facilities",'01_Assumptions'!$A$11:$A$18,'01_Assumptions'!$B$11:$B$18))</f>
        <v>8400000</v>
      </c>
    </row>
    <row r="952" spans="1:6">
      <c r="A952" s="5">
        <f>'03_Actual_Opex'!A223</f>
        <v>45839</v>
      </c>
      <c r="B952" s="3" t="str">
        <f>'03_Actual_Opex'!B223</f>
        <v>D08</v>
      </c>
      <c r="C952" s="3" t="str">
        <f>'03_Actual_Opex'!C223</f>
        <v>Facilities</v>
      </c>
      <c r="D952" s="3" t="str">
        <f>'03_Actual_Opex'!D223</f>
        <v>A02</v>
      </c>
      <c r="E952" s="9">
        <f>'03_Actual_Opex'!E223</f>
        <v>8000000</v>
      </c>
      <c r="F952" s="9">
        <f>E952*(1+_xlfn.XLOOKUP("Facilities",'01_Assumptions'!$A$11:$A$18,'01_Assumptions'!$B$11:$B$18))</f>
        <v>8400000</v>
      </c>
    </row>
    <row r="953" spans="1:6">
      <c r="A953" s="5">
        <f>'03_Actual_Opex'!A224</f>
        <v>45839</v>
      </c>
      <c r="B953" s="3" t="str">
        <f>'03_Actual_Opex'!B224</f>
        <v>D08</v>
      </c>
      <c r="C953" s="3" t="str">
        <f>'03_Actual_Opex'!C224</f>
        <v>Facilities</v>
      </c>
      <c r="D953" s="3" t="str">
        <f>'03_Actual_Opex'!D224</f>
        <v>A03</v>
      </c>
      <c r="E953" s="9">
        <f>'03_Actual_Opex'!E224</f>
        <v>8000000</v>
      </c>
      <c r="F953" s="9">
        <f>E953*(1+_xlfn.XLOOKUP("Facilities",'01_Assumptions'!$A$11:$A$18,'01_Assumptions'!$B$11:$B$18))</f>
        <v>8400000</v>
      </c>
    </row>
    <row r="954" spans="1:6">
      <c r="A954" s="5">
        <f>'03_Actual_Opex'!A225</f>
        <v>45839</v>
      </c>
      <c r="B954" s="3" t="str">
        <f>'03_Actual_Opex'!B225</f>
        <v>D08</v>
      </c>
      <c r="C954" s="3" t="str">
        <f>'03_Actual_Opex'!C225</f>
        <v>Facilities</v>
      </c>
      <c r="D954" s="3" t="str">
        <f>'03_Actual_Opex'!D225</f>
        <v>A04</v>
      </c>
      <c r="E954" s="9">
        <f>'03_Actual_Opex'!E225</f>
        <v>8000000</v>
      </c>
      <c r="F954" s="9">
        <f>E954*(1+_xlfn.XLOOKUP("Facilities",'01_Assumptions'!$A$11:$A$18,'01_Assumptions'!$B$11:$B$18))</f>
        <v>8400000</v>
      </c>
    </row>
    <row r="955" spans="1:6">
      <c r="A955" s="5">
        <f>'03_Actual_Opex'!A226</f>
        <v>45870</v>
      </c>
      <c r="B955" s="3" t="str">
        <f>'03_Actual_Opex'!B226</f>
        <v>D01</v>
      </c>
      <c r="C955" s="3" t="str">
        <f>'03_Actual_Opex'!C226</f>
        <v>Sales</v>
      </c>
      <c r="D955" s="3" t="str">
        <f>'03_Actual_Opex'!D226</f>
        <v>A01</v>
      </c>
      <c r="E955" s="9">
        <f>'03_Actual_Opex'!E226</f>
        <v>8000000</v>
      </c>
      <c r="F955" s="9">
        <f>E955*(1+_xlfn.XLOOKUP("Sales",'01_Assumptions'!$A$11:$A$18,'01_Assumptions'!$B$11:$B$18))</f>
        <v>8480000</v>
      </c>
    </row>
    <row r="956" spans="1:6">
      <c r="A956" s="5">
        <f>'03_Actual_Opex'!A227</f>
        <v>45870</v>
      </c>
      <c r="B956" s="3" t="str">
        <f>'03_Actual_Opex'!B227</f>
        <v>D01</v>
      </c>
      <c r="C956" s="3" t="str">
        <f>'03_Actual_Opex'!C227</f>
        <v>Sales</v>
      </c>
      <c r="D956" s="3" t="str">
        <f>'03_Actual_Opex'!D227</f>
        <v>A02</v>
      </c>
      <c r="E956" s="9">
        <f>'03_Actual_Opex'!E227</f>
        <v>8000000</v>
      </c>
      <c r="F956" s="9">
        <f>E956*(1+_xlfn.XLOOKUP("Sales",'01_Assumptions'!$A$11:$A$18,'01_Assumptions'!$B$11:$B$18))</f>
        <v>8480000</v>
      </c>
    </row>
    <row r="957" spans="1:6">
      <c r="A957" s="5">
        <f>'03_Actual_Opex'!A228</f>
        <v>45870</v>
      </c>
      <c r="B957" s="3" t="str">
        <f>'03_Actual_Opex'!B228</f>
        <v>D01</v>
      </c>
      <c r="C957" s="3" t="str">
        <f>'03_Actual_Opex'!C228</f>
        <v>Sales</v>
      </c>
      <c r="D957" s="3" t="str">
        <f>'03_Actual_Opex'!D228</f>
        <v>A03</v>
      </c>
      <c r="E957" s="9">
        <f>'03_Actual_Opex'!E228</f>
        <v>8000000</v>
      </c>
      <c r="F957" s="9">
        <f>E957*(1+_xlfn.XLOOKUP("Sales",'01_Assumptions'!$A$11:$A$18,'01_Assumptions'!$B$11:$B$18))</f>
        <v>8480000</v>
      </c>
    </row>
    <row r="958" spans="1:6">
      <c r="A958" s="5">
        <f>'03_Actual_Opex'!A229</f>
        <v>45870</v>
      </c>
      <c r="B958" s="3" t="str">
        <f>'03_Actual_Opex'!B229</f>
        <v>D01</v>
      </c>
      <c r="C958" s="3" t="str">
        <f>'03_Actual_Opex'!C229</f>
        <v>Sales</v>
      </c>
      <c r="D958" s="3" t="str">
        <f>'03_Actual_Opex'!D229</f>
        <v>A04</v>
      </c>
      <c r="E958" s="9">
        <f>'03_Actual_Opex'!E229</f>
        <v>8000000</v>
      </c>
      <c r="F958" s="9">
        <f>E958*(1+_xlfn.XLOOKUP("Sales",'01_Assumptions'!$A$11:$A$18,'01_Assumptions'!$B$11:$B$18))</f>
        <v>8480000</v>
      </c>
    </row>
    <row r="959" spans="1:6">
      <c r="A959" s="5">
        <f>'03_Actual_Opex'!A230</f>
        <v>45870</v>
      </c>
      <c r="B959" s="3" t="str">
        <f>'03_Actual_Opex'!B230</f>
        <v>D02</v>
      </c>
      <c r="C959" s="3" t="str">
        <f>'03_Actual_Opex'!C230</f>
        <v>Marketing</v>
      </c>
      <c r="D959" s="3" t="str">
        <f>'03_Actual_Opex'!D230</f>
        <v>A01</v>
      </c>
      <c r="E959" s="9">
        <f>'03_Actual_Opex'!E230</f>
        <v>30000000</v>
      </c>
      <c r="F959" s="9">
        <f>E959*(1+_xlfn.XLOOKUP("Marketing",'01_Assumptions'!$A$11:$A$18,'01_Assumptions'!$B$11:$B$18))</f>
        <v>32100000.000000004</v>
      </c>
    </row>
    <row r="960" spans="1:6">
      <c r="A960" s="5">
        <f>'03_Actual_Opex'!A231</f>
        <v>45870</v>
      </c>
      <c r="B960" s="3" t="str">
        <f>'03_Actual_Opex'!B231</f>
        <v>D02</v>
      </c>
      <c r="C960" s="3" t="str">
        <f>'03_Actual_Opex'!C231</f>
        <v>Marketing</v>
      </c>
      <c r="D960" s="3" t="str">
        <f>'03_Actual_Opex'!D231</f>
        <v>A02</v>
      </c>
      <c r="E960" s="9">
        <f>'03_Actual_Opex'!E231</f>
        <v>30000000</v>
      </c>
      <c r="F960" s="9">
        <f>E960*(1+_xlfn.XLOOKUP("Marketing",'01_Assumptions'!$A$11:$A$18,'01_Assumptions'!$B$11:$B$18))</f>
        <v>32100000.000000004</v>
      </c>
    </row>
    <row r="961" spans="1:6">
      <c r="A961" s="5">
        <f>'03_Actual_Opex'!A232</f>
        <v>45870</v>
      </c>
      <c r="B961" s="3" t="str">
        <f>'03_Actual_Opex'!B232</f>
        <v>D02</v>
      </c>
      <c r="C961" s="3" t="str">
        <f>'03_Actual_Opex'!C232</f>
        <v>Marketing</v>
      </c>
      <c r="D961" s="3" t="str">
        <f>'03_Actual_Opex'!D232</f>
        <v>A03</v>
      </c>
      <c r="E961" s="9">
        <f>'03_Actual_Opex'!E232</f>
        <v>30000000</v>
      </c>
      <c r="F961" s="9">
        <f>E961*(1+_xlfn.XLOOKUP("Marketing",'01_Assumptions'!$A$11:$A$18,'01_Assumptions'!$B$11:$B$18))</f>
        <v>32100000.000000004</v>
      </c>
    </row>
    <row r="962" spans="1:6">
      <c r="A962" s="5">
        <f>'03_Actual_Opex'!A233</f>
        <v>45870</v>
      </c>
      <c r="B962" s="3" t="str">
        <f>'03_Actual_Opex'!B233</f>
        <v>D02</v>
      </c>
      <c r="C962" s="3" t="str">
        <f>'03_Actual_Opex'!C233</f>
        <v>Marketing</v>
      </c>
      <c r="D962" s="3" t="str">
        <f>'03_Actual_Opex'!D233</f>
        <v>A04</v>
      </c>
      <c r="E962" s="9">
        <f>'03_Actual_Opex'!E233</f>
        <v>30000000</v>
      </c>
      <c r="F962" s="9">
        <f>E962*(1+_xlfn.XLOOKUP("Marketing",'01_Assumptions'!$A$11:$A$18,'01_Assumptions'!$B$11:$B$18))</f>
        <v>32100000.000000004</v>
      </c>
    </row>
    <row r="963" spans="1:6">
      <c r="A963" s="5">
        <f>'03_Actual_Opex'!A234</f>
        <v>45870</v>
      </c>
      <c r="B963" s="3" t="str">
        <f>'03_Actual_Opex'!B234</f>
        <v>D03</v>
      </c>
      <c r="C963" s="3" t="str">
        <f>'03_Actual_Opex'!C234</f>
        <v>R&amp;D</v>
      </c>
      <c r="D963" s="3" t="str">
        <f>'03_Actual_Opex'!D234</f>
        <v>A01</v>
      </c>
      <c r="E963" s="9">
        <f>'03_Actual_Opex'!E234</f>
        <v>20000000</v>
      </c>
      <c r="F963" s="9">
        <f>E963*(1+_xlfn.XLOOKUP("R&amp;D",'01_Assumptions'!$A$11:$A$18,'01_Assumptions'!$B$11:$B$18))</f>
        <v>21800000</v>
      </c>
    </row>
    <row r="964" spans="1:6">
      <c r="A964" s="5">
        <f>'03_Actual_Opex'!A235</f>
        <v>45870</v>
      </c>
      <c r="B964" s="3" t="str">
        <f>'03_Actual_Opex'!B235</f>
        <v>D03</v>
      </c>
      <c r="C964" s="3" t="str">
        <f>'03_Actual_Opex'!C235</f>
        <v>R&amp;D</v>
      </c>
      <c r="D964" s="3" t="str">
        <f>'03_Actual_Opex'!D235</f>
        <v>A02</v>
      </c>
      <c r="E964" s="9">
        <f>'03_Actual_Opex'!E235</f>
        <v>20000000</v>
      </c>
      <c r="F964" s="9">
        <f>E964*(1+_xlfn.XLOOKUP("R&amp;D",'01_Assumptions'!$A$11:$A$18,'01_Assumptions'!$B$11:$B$18))</f>
        <v>21800000</v>
      </c>
    </row>
    <row r="965" spans="1:6">
      <c r="A965" s="5">
        <f>'03_Actual_Opex'!A236</f>
        <v>45870</v>
      </c>
      <c r="B965" s="3" t="str">
        <f>'03_Actual_Opex'!B236</f>
        <v>D03</v>
      </c>
      <c r="C965" s="3" t="str">
        <f>'03_Actual_Opex'!C236</f>
        <v>R&amp;D</v>
      </c>
      <c r="D965" s="3" t="str">
        <f>'03_Actual_Opex'!D236</f>
        <v>A03</v>
      </c>
      <c r="E965" s="9">
        <f>'03_Actual_Opex'!E236</f>
        <v>20000000</v>
      </c>
      <c r="F965" s="9">
        <f>E965*(1+_xlfn.XLOOKUP("R&amp;D",'01_Assumptions'!$A$11:$A$18,'01_Assumptions'!$B$11:$B$18))</f>
        <v>21800000</v>
      </c>
    </row>
    <row r="966" spans="1:6">
      <c r="A966" s="5">
        <f>'03_Actual_Opex'!A237</f>
        <v>45870</v>
      </c>
      <c r="B966" s="3" t="str">
        <f>'03_Actual_Opex'!B237</f>
        <v>D03</v>
      </c>
      <c r="C966" s="3" t="str">
        <f>'03_Actual_Opex'!C237</f>
        <v>R&amp;D</v>
      </c>
      <c r="D966" s="3" t="str">
        <f>'03_Actual_Opex'!D237</f>
        <v>A04</v>
      </c>
      <c r="E966" s="9">
        <f>'03_Actual_Opex'!E237</f>
        <v>20000000</v>
      </c>
      <c r="F966" s="9">
        <f>E966*(1+_xlfn.XLOOKUP("R&amp;D",'01_Assumptions'!$A$11:$A$18,'01_Assumptions'!$B$11:$B$18))</f>
        <v>21800000</v>
      </c>
    </row>
    <row r="967" spans="1:6">
      <c r="A967" s="5">
        <f>'03_Actual_Opex'!A238</f>
        <v>45870</v>
      </c>
      <c r="B967" s="3" t="str">
        <f>'03_Actual_Opex'!B238</f>
        <v>D04</v>
      </c>
      <c r="C967" s="3" t="str">
        <f>'03_Actual_Opex'!C238</f>
        <v>G&amp;A</v>
      </c>
      <c r="D967" s="3" t="str">
        <f>'03_Actual_Opex'!D238</f>
        <v>A01</v>
      </c>
      <c r="E967" s="9">
        <f>'03_Actual_Opex'!E238</f>
        <v>8000000</v>
      </c>
      <c r="F967" s="9">
        <f>E967*(1+_xlfn.XLOOKUP("G&amp;A",'01_Assumptions'!$A$11:$A$18,'01_Assumptions'!$B$11:$B$18))</f>
        <v>8400000</v>
      </c>
    </row>
    <row r="968" spans="1:6">
      <c r="A968" s="5">
        <f>'03_Actual_Opex'!A239</f>
        <v>45870</v>
      </c>
      <c r="B968" s="3" t="str">
        <f>'03_Actual_Opex'!B239</f>
        <v>D04</v>
      </c>
      <c r="C968" s="3" t="str">
        <f>'03_Actual_Opex'!C239</f>
        <v>G&amp;A</v>
      </c>
      <c r="D968" s="3" t="str">
        <f>'03_Actual_Opex'!D239</f>
        <v>A02</v>
      </c>
      <c r="E968" s="9">
        <f>'03_Actual_Opex'!E239</f>
        <v>8000000</v>
      </c>
      <c r="F968" s="9">
        <f>E968*(1+_xlfn.XLOOKUP("G&amp;A",'01_Assumptions'!$A$11:$A$18,'01_Assumptions'!$B$11:$B$18))</f>
        <v>8400000</v>
      </c>
    </row>
    <row r="969" spans="1:6">
      <c r="A969" s="5">
        <f>'03_Actual_Opex'!A240</f>
        <v>45870</v>
      </c>
      <c r="B969" s="3" t="str">
        <f>'03_Actual_Opex'!B240</f>
        <v>D04</v>
      </c>
      <c r="C969" s="3" t="str">
        <f>'03_Actual_Opex'!C240</f>
        <v>G&amp;A</v>
      </c>
      <c r="D969" s="3" t="str">
        <f>'03_Actual_Opex'!D240</f>
        <v>A03</v>
      </c>
      <c r="E969" s="9">
        <f>'03_Actual_Opex'!E240</f>
        <v>8000000</v>
      </c>
      <c r="F969" s="9">
        <f>E969*(1+_xlfn.XLOOKUP("G&amp;A",'01_Assumptions'!$A$11:$A$18,'01_Assumptions'!$B$11:$B$18))</f>
        <v>8400000</v>
      </c>
    </row>
    <row r="970" spans="1:6">
      <c r="A970" s="5">
        <f>'03_Actual_Opex'!A241</f>
        <v>45870</v>
      </c>
      <c r="B970" s="3" t="str">
        <f>'03_Actual_Opex'!B241</f>
        <v>D04</v>
      </c>
      <c r="C970" s="3" t="str">
        <f>'03_Actual_Opex'!C241</f>
        <v>G&amp;A</v>
      </c>
      <c r="D970" s="3" t="str">
        <f>'03_Actual_Opex'!D241</f>
        <v>A04</v>
      </c>
      <c r="E970" s="9">
        <f>'03_Actual_Opex'!E241</f>
        <v>8000000</v>
      </c>
      <c r="F970" s="9">
        <f>E970*(1+_xlfn.XLOOKUP("G&amp;A",'01_Assumptions'!$A$11:$A$18,'01_Assumptions'!$B$11:$B$18))</f>
        <v>8400000</v>
      </c>
    </row>
    <row r="971" spans="1:6">
      <c r="A971" s="5">
        <f>'03_Actual_Opex'!A242</f>
        <v>45870</v>
      </c>
      <c r="B971" s="3" t="str">
        <f>'03_Actual_Opex'!B242</f>
        <v>D05</v>
      </c>
      <c r="C971" s="3" t="str">
        <f>'03_Actual_Opex'!C242</f>
        <v>IT</v>
      </c>
      <c r="D971" s="3" t="str">
        <f>'03_Actual_Opex'!D242</f>
        <v>A01</v>
      </c>
      <c r="E971" s="9">
        <f>'03_Actual_Opex'!E242</f>
        <v>12000000</v>
      </c>
      <c r="F971" s="9">
        <f>E971*(1+_xlfn.XLOOKUP("IT",'01_Assumptions'!$A$11:$A$18,'01_Assumptions'!$B$11:$B$18))</f>
        <v>12960000</v>
      </c>
    </row>
    <row r="972" spans="1:6">
      <c r="A972" s="5">
        <f>'03_Actual_Opex'!A243</f>
        <v>45870</v>
      </c>
      <c r="B972" s="3" t="str">
        <f>'03_Actual_Opex'!B243</f>
        <v>D05</v>
      </c>
      <c r="C972" s="3" t="str">
        <f>'03_Actual_Opex'!C243</f>
        <v>IT</v>
      </c>
      <c r="D972" s="3" t="str">
        <f>'03_Actual_Opex'!D243</f>
        <v>A02</v>
      </c>
      <c r="E972" s="9">
        <f>'03_Actual_Opex'!E243</f>
        <v>12000000</v>
      </c>
      <c r="F972" s="9">
        <f>E972*(1+_xlfn.XLOOKUP("IT",'01_Assumptions'!$A$11:$A$18,'01_Assumptions'!$B$11:$B$18))</f>
        <v>12960000</v>
      </c>
    </row>
    <row r="973" spans="1:6">
      <c r="A973" s="5">
        <f>'03_Actual_Opex'!A244</f>
        <v>45870</v>
      </c>
      <c r="B973" s="3" t="str">
        <f>'03_Actual_Opex'!B244</f>
        <v>D05</v>
      </c>
      <c r="C973" s="3" t="str">
        <f>'03_Actual_Opex'!C244</f>
        <v>IT</v>
      </c>
      <c r="D973" s="3" t="str">
        <f>'03_Actual_Opex'!D244</f>
        <v>A03</v>
      </c>
      <c r="E973" s="9">
        <f>'03_Actual_Opex'!E244</f>
        <v>12000000</v>
      </c>
      <c r="F973" s="9">
        <f>E973*(1+_xlfn.XLOOKUP("IT",'01_Assumptions'!$A$11:$A$18,'01_Assumptions'!$B$11:$B$18))</f>
        <v>12960000</v>
      </c>
    </row>
    <row r="974" spans="1:6">
      <c r="A974" s="5">
        <f>'03_Actual_Opex'!A245</f>
        <v>45870</v>
      </c>
      <c r="B974" s="3" t="str">
        <f>'03_Actual_Opex'!B245</f>
        <v>D05</v>
      </c>
      <c r="C974" s="3" t="str">
        <f>'03_Actual_Opex'!C245</f>
        <v>IT</v>
      </c>
      <c r="D974" s="3" t="str">
        <f>'03_Actual_Opex'!D245</f>
        <v>A04</v>
      </c>
      <c r="E974" s="9">
        <f>'03_Actual_Opex'!E245</f>
        <v>12000000</v>
      </c>
      <c r="F974" s="9">
        <f>E974*(1+_xlfn.XLOOKUP("IT",'01_Assumptions'!$A$11:$A$18,'01_Assumptions'!$B$11:$B$18))</f>
        <v>12960000</v>
      </c>
    </row>
    <row r="975" spans="1:6">
      <c r="A975" s="5">
        <f>'03_Actual_Opex'!A246</f>
        <v>45870</v>
      </c>
      <c r="B975" s="3" t="str">
        <f>'03_Actual_Opex'!B246</f>
        <v>D06</v>
      </c>
      <c r="C975" s="3" t="str">
        <f>'03_Actual_Opex'!C246</f>
        <v>Customer Operations</v>
      </c>
      <c r="D975" s="3" t="str">
        <f>'03_Actual_Opex'!D246</f>
        <v>A01</v>
      </c>
      <c r="E975" s="9">
        <f>'03_Actual_Opex'!E246</f>
        <v>10000000</v>
      </c>
      <c r="F975" s="9">
        <f>E975*(1+_xlfn.XLOOKUP("Customer Operations",'01_Assumptions'!$A$11:$A$18,'01_Assumptions'!$B$11:$B$18))</f>
        <v>10600000</v>
      </c>
    </row>
    <row r="976" spans="1:6">
      <c r="A976" s="5">
        <f>'03_Actual_Opex'!A247</f>
        <v>45870</v>
      </c>
      <c r="B976" s="3" t="str">
        <f>'03_Actual_Opex'!B247</f>
        <v>D06</v>
      </c>
      <c r="C976" s="3" t="str">
        <f>'03_Actual_Opex'!C247</f>
        <v>Customer Operations</v>
      </c>
      <c r="D976" s="3" t="str">
        <f>'03_Actual_Opex'!D247</f>
        <v>A02</v>
      </c>
      <c r="E976" s="9">
        <f>'03_Actual_Opex'!E247</f>
        <v>10000000</v>
      </c>
      <c r="F976" s="9">
        <f>E976*(1+_xlfn.XLOOKUP("Customer Operations",'01_Assumptions'!$A$11:$A$18,'01_Assumptions'!$B$11:$B$18))</f>
        <v>10600000</v>
      </c>
    </row>
    <row r="977" spans="1:6">
      <c r="A977" s="5">
        <f>'03_Actual_Opex'!A248</f>
        <v>45870</v>
      </c>
      <c r="B977" s="3" t="str">
        <f>'03_Actual_Opex'!B248</f>
        <v>D06</v>
      </c>
      <c r="C977" s="3" t="str">
        <f>'03_Actual_Opex'!C248</f>
        <v>Customer Operations</v>
      </c>
      <c r="D977" s="3" t="str">
        <f>'03_Actual_Opex'!D248</f>
        <v>A03</v>
      </c>
      <c r="E977" s="9">
        <f>'03_Actual_Opex'!E248</f>
        <v>10000000</v>
      </c>
      <c r="F977" s="9">
        <f>E977*(1+_xlfn.XLOOKUP("Customer Operations",'01_Assumptions'!$A$11:$A$18,'01_Assumptions'!$B$11:$B$18))</f>
        <v>10600000</v>
      </c>
    </row>
    <row r="978" spans="1:6">
      <c r="A978" s="5">
        <f>'03_Actual_Opex'!A249</f>
        <v>45870</v>
      </c>
      <c r="B978" s="3" t="str">
        <f>'03_Actual_Opex'!B249</f>
        <v>D06</v>
      </c>
      <c r="C978" s="3" t="str">
        <f>'03_Actual_Opex'!C249</f>
        <v>Customer Operations</v>
      </c>
      <c r="D978" s="3" t="str">
        <f>'03_Actual_Opex'!D249</f>
        <v>A04</v>
      </c>
      <c r="E978" s="9">
        <f>'03_Actual_Opex'!E249</f>
        <v>10000000</v>
      </c>
      <c r="F978" s="9">
        <f>E978*(1+_xlfn.XLOOKUP("Customer Operations",'01_Assumptions'!$A$11:$A$18,'01_Assumptions'!$B$11:$B$18))</f>
        <v>10600000</v>
      </c>
    </row>
    <row r="979" spans="1:6">
      <c r="A979" s="5">
        <f>'03_Actual_Opex'!A250</f>
        <v>45870</v>
      </c>
      <c r="B979" s="3" t="str">
        <f>'03_Actual_Opex'!B250</f>
        <v>D07</v>
      </c>
      <c r="C979" s="3" t="str">
        <f>'03_Actual_Opex'!C250</f>
        <v>HR</v>
      </c>
      <c r="D979" s="3" t="str">
        <f>'03_Actual_Opex'!D250</f>
        <v>A01</v>
      </c>
      <c r="E979" s="9">
        <f>'03_Actual_Opex'!E250</f>
        <v>3000000</v>
      </c>
      <c r="F979" s="9">
        <f>E979*(1+_xlfn.XLOOKUP("HR",'01_Assumptions'!$A$11:$A$18,'01_Assumptions'!$B$11:$B$18))</f>
        <v>3150000</v>
      </c>
    </row>
    <row r="980" spans="1:6">
      <c r="A980" s="5">
        <f>'03_Actual_Opex'!A251</f>
        <v>45870</v>
      </c>
      <c r="B980" s="3" t="str">
        <f>'03_Actual_Opex'!B251</f>
        <v>D07</v>
      </c>
      <c r="C980" s="3" t="str">
        <f>'03_Actual_Opex'!C251</f>
        <v>HR</v>
      </c>
      <c r="D980" s="3" t="str">
        <f>'03_Actual_Opex'!D251</f>
        <v>A02</v>
      </c>
      <c r="E980" s="9">
        <f>'03_Actual_Opex'!E251</f>
        <v>3000000</v>
      </c>
      <c r="F980" s="9">
        <f>E980*(1+_xlfn.XLOOKUP("HR",'01_Assumptions'!$A$11:$A$18,'01_Assumptions'!$B$11:$B$18))</f>
        <v>3150000</v>
      </c>
    </row>
    <row r="981" spans="1:6">
      <c r="A981" s="5">
        <f>'03_Actual_Opex'!A252</f>
        <v>45870</v>
      </c>
      <c r="B981" s="3" t="str">
        <f>'03_Actual_Opex'!B252</f>
        <v>D07</v>
      </c>
      <c r="C981" s="3" t="str">
        <f>'03_Actual_Opex'!C252</f>
        <v>HR</v>
      </c>
      <c r="D981" s="3" t="str">
        <f>'03_Actual_Opex'!D252</f>
        <v>A03</v>
      </c>
      <c r="E981" s="9">
        <f>'03_Actual_Opex'!E252</f>
        <v>3000000</v>
      </c>
      <c r="F981" s="9">
        <f>E981*(1+_xlfn.XLOOKUP("HR",'01_Assumptions'!$A$11:$A$18,'01_Assumptions'!$B$11:$B$18))</f>
        <v>3150000</v>
      </c>
    </row>
    <row r="982" spans="1:6">
      <c r="A982" s="5">
        <f>'03_Actual_Opex'!A253</f>
        <v>45870</v>
      </c>
      <c r="B982" s="3" t="str">
        <f>'03_Actual_Opex'!B253</f>
        <v>D07</v>
      </c>
      <c r="C982" s="3" t="str">
        <f>'03_Actual_Opex'!C253</f>
        <v>HR</v>
      </c>
      <c r="D982" s="3" t="str">
        <f>'03_Actual_Opex'!D253</f>
        <v>A04</v>
      </c>
      <c r="E982" s="9">
        <f>'03_Actual_Opex'!E253</f>
        <v>3000000</v>
      </c>
      <c r="F982" s="9">
        <f>E982*(1+_xlfn.XLOOKUP("HR",'01_Assumptions'!$A$11:$A$18,'01_Assumptions'!$B$11:$B$18))</f>
        <v>3150000</v>
      </c>
    </row>
    <row r="983" spans="1:6">
      <c r="A983" s="5">
        <f>'03_Actual_Opex'!A254</f>
        <v>45870</v>
      </c>
      <c r="B983" s="3" t="str">
        <f>'03_Actual_Opex'!B254</f>
        <v>D08</v>
      </c>
      <c r="C983" s="3" t="str">
        <f>'03_Actual_Opex'!C254</f>
        <v>Facilities</v>
      </c>
      <c r="D983" s="3" t="str">
        <f>'03_Actual_Opex'!D254</f>
        <v>A01</v>
      </c>
      <c r="E983" s="9">
        <f>'03_Actual_Opex'!E254</f>
        <v>8000000</v>
      </c>
      <c r="F983" s="9">
        <f>E983*(1+_xlfn.XLOOKUP("Facilities",'01_Assumptions'!$A$11:$A$18,'01_Assumptions'!$B$11:$B$18))</f>
        <v>8400000</v>
      </c>
    </row>
    <row r="984" spans="1:6">
      <c r="A984" s="5">
        <f>'03_Actual_Opex'!A255</f>
        <v>45870</v>
      </c>
      <c r="B984" s="3" t="str">
        <f>'03_Actual_Opex'!B255</f>
        <v>D08</v>
      </c>
      <c r="C984" s="3" t="str">
        <f>'03_Actual_Opex'!C255</f>
        <v>Facilities</v>
      </c>
      <c r="D984" s="3" t="str">
        <f>'03_Actual_Opex'!D255</f>
        <v>A02</v>
      </c>
      <c r="E984" s="9">
        <f>'03_Actual_Opex'!E255</f>
        <v>8000000</v>
      </c>
      <c r="F984" s="9">
        <f>E984*(1+_xlfn.XLOOKUP("Facilities",'01_Assumptions'!$A$11:$A$18,'01_Assumptions'!$B$11:$B$18))</f>
        <v>8400000</v>
      </c>
    </row>
    <row r="985" spans="1:6">
      <c r="A985" s="5">
        <f>'03_Actual_Opex'!A256</f>
        <v>45870</v>
      </c>
      <c r="B985" s="3" t="str">
        <f>'03_Actual_Opex'!B256</f>
        <v>D08</v>
      </c>
      <c r="C985" s="3" t="str">
        <f>'03_Actual_Opex'!C256</f>
        <v>Facilities</v>
      </c>
      <c r="D985" s="3" t="str">
        <f>'03_Actual_Opex'!D256</f>
        <v>A03</v>
      </c>
      <c r="E985" s="9">
        <f>'03_Actual_Opex'!E256</f>
        <v>8000000</v>
      </c>
      <c r="F985" s="9">
        <f>E985*(1+_xlfn.XLOOKUP("Facilities",'01_Assumptions'!$A$11:$A$18,'01_Assumptions'!$B$11:$B$18))</f>
        <v>8400000</v>
      </c>
    </row>
    <row r="986" spans="1:6">
      <c r="A986" s="5">
        <f>'03_Actual_Opex'!A257</f>
        <v>45870</v>
      </c>
      <c r="B986" s="3" t="str">
        <f>'03_Actual_Opex'!B257</f>
        <v>D08</v>
      </c>
      <c r="C986" s="3" t="str">
        <f>'03_Actual_Opex'!C257</f>
        <v>Facilities</v>
      </c>
      <c r="D986" s="3" t="str">
        <f>'03_Actual_Opex'!D257</f>
        <v>A04</v>
      </c>
      <c r="E986" s="9">
        <f>'03_Actual_Opex'!E257</f>
        <v>8000000</v>
      </c>
      <c r="F986" s="9">
        <f>E986*(1+_xlfn.XLOOKUP("Facilities",'01_Assumptions'!$A$11:$A$18,'01_Assumptions'!$B$11:$B$18))</f>
        <v>8400000</v>
      </c>
    </row>
    <row r="987" spans="1:6">
      <c r="A987" s="5">
        <f>'03_Actual_Opex'!A258</f>
        <v>45901</v>
      </c>
      <c r="B987" s="3" t="str">
        <f>'03_Actual_Opex'!B258</f>
        <v>D01</v>
      </c>
      <c r="C987" s="3" t="str">
        <f>'03_Actual_Opex'!C258</f>
        <v>Sales</v>
      </c>
      <c r="D987" s="3" t="str">
        <f>'03_Actual_Opex'!D258</f>
        <v>A01</v>
      </c>
      <c r="E987" s="9">
        <f>'03_Actual_Opex'!E258</f>
        <v>8000000</v>
      </c>
      <c r="F987" s="9">
        <f>E987*(1+_xlfn.XLOOKUP("Sales",'01_Assumptions'!$A$11:$A$18,'01_Assumptions'!$B$11:$B$18))</f>
        <v>8480000</v>
      </c>
    </row>
    <row r="988" spans="1:6">
      <c r="A988" s="5">
        <f>'03_Actual_Opex'!A259</f>
        <v>45901</v>
      </c>
      <c r="B988" s="3" t="str">
        <f>'03_Actual_Opex'!B259</f>
        <v>D01</v>
      </c>
      <c r="C988" s="3" t="str">
        <f>'03_Actual_Opex'!C259</f>
        <v>Sales</v>
      </c>
      <c r="D988" s="3" t="str">
        <f>'03_Actual_Opex'!D259</f>
        <v>A02</v>
      </c>
      <c r="E988" s="9">
        <f>'03_Actual_Opex'!E259</f>
        <v>8000000</v>
      </c>
      <c r="F988" s="9">
        <f>E988*(1+_xlfn.XLOOKUP("Sales",'01_Assumptions'!$A$11:$A$18,'01_Assumptions'!$B$11:$B$18))</f>
        <v>8480000</v>
      </c>
    </row>
    <row r="989" spans="1:6">
      <c r="A989" s="5">
        <f>'03_Actual_Opex'!A260</f>
        <v>45901</v>
      </c>
      <c r="B989" s="3" t="str">
        <f>'03_Actual_Opex'!B260</f>
        <v>D01</v>
      </c>
      <c r="C989" s="3" t="str">
        <f>'03_Actual_Opex'!C260</f>
        <v>Sales</v>
      </c>
      <c r="D989" s="3" t="str">
        <f>'03_Actual_Opex'!D260</f>
        <v>A03</v>
      </c>
      <c r="E989" s="9">
        <f>'03_Actual_Opex'!E260</f>
        <v>8000000</v>
      </c>
      <c r="F989" s="9">
        <f>E989*(1+_xlfn.XLOOKUP("Sales",'01_Assumptions'!$A$11:$A$18,'01_Assumptions'!$B$11:$B$18))</f>
        <v>8480000</v>
      </c>
    </row>
    <row r="990" spans="1:6">
      <c r="A990" s="5">
        <f>'03_Actual_Opex'!A261</f>
        <v>45901</v>
      </c>
      <c r="B990" s="3" t="str">
        <f>'03_Actual_Opex'!B261</f>
        <v>D01</v>
      </c>
      <c r="C990" s="3" t="str">
        <f>'03_Actual_Opex'!C261</f>
        <v>Sales</v>
      </c>
      <c r="D990" s="3" t="str">
        <f>'03_Actual_Opex'!D261</f>
        <v>A04</v>
      </c>
      <c r="E990" s="9">
        <f>'03_Actual_Opex'!E261</f>
        <v>8000000</v>
      </c>
      <c r="F990" s="9">
        <f>E990*(1+_xlfn.XLOOKUP("Sales",'01_Assumptions'!$A$11:$A$18,'01_Assumptions'!$B$11:$B$18))</f>
        <v>8480000</v>
      </c>
    </row>
    <row r="991" spans="1:6">
      <c r="A991" s="5">
        <f>'03_Actual_Opex'!A262</f>
        <v>45901</v>
      </c>
      <c r="B991" s="3" t="str">
        <f>'03_Actual_Opex'!B262</f>
        <v>D02</v>
      </c>
      <c r="C991" s="3" t="str">
        <f>'03_Actual_Opex'!C262</f>
        <v>Marketing</v>
      </c>
      <c r="D991" s="3" t="str">
        <f>'03_Actual_Opex'!D262</f>
        <v>A01</v>
      </c>
      <c r="E991" s="9">
        <f>'03_Actual_Opex'!E262</f>
        <v>30000000</v>
      </c>
      <c r="F991" s="9">
        <f>E991*(1+_xlfn.XLOOKUP("Marketing",'01_Assumptions'!$A$11:$A$18,'01_Assumptions'!$B$11:$B$18))</f>
        <v>32100000.000000004</v>
      </c>
    </row>
    <row r="992" spans="1:6">
      <c r="A992" s="5">
        <f>'03_Actual_Opex'!A263</f>
        <v>45901</v>
      </c>
      <c r="B992" s="3" t="str">
        <f>'03_Actual_Opex'!B263</f>
        <v>D02</v>
      </c>
      <c r="C992" s="3" t="str">
        <f>'03_Actual_Opex'!C263</f>
        <v>Marketing</v>
      </c>
      <c r="D992" s="3" t="str">
        <f>'03_Actual_Opex'!D263</f>
        <v>A02</v>
      </c>
      <c r="E992" s="9">
        <f>'03_Actual_Opex'!E263</f>
        <v>30000000</v>
      </c>
      <c r="F992" s="9">
        <f>E992*(1+_xlfn.XLOOKUP("Marketing",'01_Assumptions'!$A$11:$A$18,'01_Assumptions'!$B$11:$B$18))</f>
        <v>32100000.000000004</v>
      </c>
    </row>
    <row r="993" spans="1:6">
      <c r="A993" s="5">
        <f>'03_Actual_Opex'!A264</f>
        <v>45901</v>
      </c>
      <c r="B993" s="3" t="str">
        <f>'03_Actual_Opex'!B264</f>
        <v>D02</v>
      </c>
      <c r="C993" s="3" t="str">
        <f>'03_Actual_Opex'!C264</f>
        <v>Marketing</v>
      </c>
      <c r="D993" s="3" t="str">
        <f>'03_Actual_Opex'!D264</f>
        <v>A03</v>
      </c>
      <c r="E993" s="9">
        <f>'03_Actual_Opex'!E264</f>
        <v>30000000</v>
      </c>
      <c r="F993" s="9">
        <f>E993*(1+_xlfn.XLOOKUP("Marketing",'01_Assumptions'!$A$11:$A$18,'01_Assumptions'!$B$11:$B$18))</f>
        <v>32100000.000000004</v>
      </c>
    </row>
    <row r="994" spans="1:6">
      <c r="A994" s="5">
        <f>'03_Actual_Opex'!A265</f>
        <v>45901</v>
      </c>
      <c r="B994" s="3" t="str">
        <f>'03_Actual_Opex'!B265</f>
        <v>D02</v>
      </c>
      <c r="C994" s="3" t="str">
        <f>'03_Actual_Opex'!C265</f>
        <v>Marketing</v>
      </c>
      <c r="D994" s="3" t="str">
        <f>'03_Actual_Opex'!D265</f>
        <v>A04</v>
      </c>
      <c r="E994" s="9">
        <f>'03_Actual_Opex'!E265</f>
        <v>30000000</v>
      </c>
      <c r="F994" s="9">
        <f>E994*(1+_xlfn.XLOOKUP("Marketing",'01_Assumptions'!$A$11:$A$18,'01_Assumptions'!$B$11:$B$18))</f>
        <v>32100000.000000004</v>
      </c>
    </row>
    <row r="995" spans="1:6">
      <c r="A995" s="5">
        <f>'03_Actual_Opex'!A266</f>
        <v>45901</v>
      </c>
      <c r="B995" s="3" t="str">
        <f>'03_Actual_Opex'!B266</f>
        <v>D03</v>
      </c>
      <c r="C995" s="3" t="str">
        <f>'03_Actual_Opex'!C266</f>
        <v>R&amp;D</v>
      </c>
      <c r="D995" s="3" t="str">
        <f>'03_Actual_Opex'!D266</f>
        <v>A01</v>
      </c>
      <c r="E995" s="9">
        <f>'03_Actual_Opex'!E266</f>
        <v>20000000</v>
      </c>
      <c r="F995" s="9">
        <f>E995*(1+_xlfn.XLOOKUP("R&amp;D",'01_Assumptions'!$A$11:$A$18,'01_Assumptions'!$B$11:$B$18))</f>
        <v>21800000</v>
      </c>
    </row>
    <row r="996" spans="1:6">
      <c r="A996" s="5">
        <f>'03_Actual_Opex'!A267</f>
        <v>45901</v>
      </c>
      <c r="B996" s="3" t="str">
        <f>'03_Actual_Opex'!B267</f>
        <v>D03</v>
      </c>
      <c r="C996" s="3" t="str">
        <f>'03_Actual_Opex'!C267</f>
        <v>R&amp;D</v>
      </c>
      <c r="D996" s="3" t="str">
        <f>'03_Actual_Opex'!D267</f>
        <v>A02</v>
      </c>
      <c r="E996" s="9">
        <f>'03_Actual_Opex'!E267</f>
        <v>20000000</v>
      </c>
      <c r="F996" s="9">
        <f>E996*(1+_xlfn.XLOOKUP("R&amp;D",'01_Assumptions'!$A$11:$A$18,'01_Assumptions'!$B$11:$B$18))</f>
        <v>21800000</v>
      </c>
    </row>
    <row r="997" spans="1:6">
      <c r="A997" s="5">
        <f>'03_Actual_Opex'!A268</f>
        <v>45901</v>
      </c>
      <c r="B997" s="3" t="str">
        <f>'03_Actual_Opex'!B268</f>
        <v>D03</v>
      </c>
      <c r="C997" s="3" t="str">
        <f>'03_Actual_Opex'!C268</f>
        <v>R&amp;D</v>
      </c>
      <c r="D997" s="3" t="str">
        <f>'03_Actual_Opex'!D268</f>
        <v>A03</v>
      </c>
      <c r="E997" s="9">
        <f>'03_Actual_Opex'!E268</f>
        <v>20000000</v>
      </c>
      <c r="F997" s="9">
        <f>E997*(1+_xlfn.XLOOKUP("R&amp;D",'01_Assumptions'!$A$11:$A$18,'01_Assumptions'!$B$11:$B$18))</f>
        <v>21800000</v>
      </c>
    </row>
    <row r="998" spans="1:6">
      <c r="A998" s="5">
        <f>'03_Actual_Opex'!A269</f>
        <v>45901</v>
      </c>
      <c r="B998" s="3" t="str">
        <f>'03_Actual_Opex'!B269</f>
        <v>D03</v>
      </c>
      <c r="C998" s="3" t="str">
        <f>'03_Actual_Opex'!C269</f>
        <v>R&amp;D</v>
      </c>
      <c r="D998" s="3" t="str">
        <f>'03_Actual_Opex'!D269</f>
        <v>A04</v>
      </c>
      <c r="E998" s="9">
        <f>'03_Actual_Opex'!E269</f>
        <v>20000000</v>
      </c>
      <c r="F998" s="9">
        <f>E998*(1+_xlfn.XLOOKUP("R&amp;D",'01_Assumptions'!$A$11:$A$18,'01_Assumptions'!$B$11:$B$18))</f>
        <v>21800000</v>
      </c>
    </row>
    <row r="999" spans="1:6">
      <c r="A999" s="5">
        <f>'03_Actual_Opex'!A270</f>
        <v>45901</v>
      </c>
      <c r="B999" s="3" t="str">
        <f>'03_Actual_Opex'!B270</f>
        <v>D04</v>
      </c>
      <c r="C999" s="3" t="str">
        <f>'03_Actual_Opex'!C270</f>
        <v>G&amp;A</v>
      </c>
      <c r="D999" s="3" t="str">
        <f>'03_Actual_Opex'!D270</f>
        <v>A01</v>
      </c>
      <c r="E999" s="9">
        <f>'03_Actual_Opex'!E270</f>
        <v>8000000</v>
      </c>
      <c r="F999" s="9">
        <f>E999*(1+_xlfn.XLOOKUP("G&amp;A",'01_Assumptions'!$A$11:$A$18,'01_Assumptions'!$B$11:$B$18))</f>
        <v>8400000</v>
      </c>
    </row>
    <row r="1000" spans="1:6">
      <c r="A1000" s="5">
        <f>'03_Actual_Opex'!A271</f>
        <v>45901</v>
      </c>
      <c r="B1000" s="3" t="str">
        <f>'03_Actual_Opex'!B271</f>
        <v>D04</v>
      </c>
      <c r="C1000" s="3" t="str">
        <f>'03_Actual_Opex'!C271</f>
        <v>G&amp;A</v>
      </c>
      <c r="D1000" s="3" t="str">
        <f>'03_Actual_Opex'!D271</f>
        <v>A02</v>
      </c>
      <c r="E1000" s="9">
        <f>'03_Actual_Opex'!E271</f>
        <v>8000000</v>
      </c>
      <c r="F1000" s="9">
        <f>E1000*(1+_xlfn.XLOOKUP("G&amp;A",'01_Assumptions'!$A$11:$A$18,'01_Assumptions'!$B$11:$B$18))</f>
        <v>8400000</v>
      </c>
    </row>
    <row r="1001" spans="1:6">
      <c r="A1001" s="5">
        <f>'03_Actual_Opex'!A272</f>
        <v>45901</v>
      </c>
      <c r="B1001" s="3" t="str">
        <f>'03_Actual_Opex'!B272</f>
        <v>D04</v>
      </c>
      <c r="C1001" s="3" t="str">
        <f>'03_Actual_Opex'!C272</f>
        <v>G&amp;A</v>
      </c>
      <c r="D1001" s="3" t="str">
        <f>'03_Actual_Opex'!D272</f>
        <v>A03</v>
      </c>
      <c r="E1001" s="9">
        <f>'03_Actual_Opex'!E272</f>
        <v>8000000</v>
      </c>
      <c r="F1001" s="9">
        <f>E1001*(1+_xlfn.XLOOKUP("G&amp;A",'01_Assumptions'!$A$11:$A$18,'01_Assumptions'!$B$11:$B$18))</f>
        <v>8400000</v>
      </c>
    </row>
    <row r="1002" spans="1:6">
      <c r="A1002" s="5">
        <f>'03_Actual_Opex'!A273</f>
        <v>45901</v>
      </c>
      <c r="B1002" s="3" t="str">
        <f>'03_Actual_Opex'!B273</f>
        <v>D04</v>
      </c>
      <c r="C1002" s="3" t="str">
        <f>'03_Actual_Opex'!C273</f>
        <v>G&amp;A</v>
      </c>
      <c r="D1002" s="3" t="str">
        <f>'03_Actual_Opex'!D273</f>
        <v>A04</v>
      </c>
      <c r="E1002" s="9">
        <f>'03_Actual_Opex'!E273</f>
        <v>8000000</v>
      </c>
      <c r="F1002" s="9">
        <f>E1002*(1+_xlfn.XLOOKUP("G&amp;A",'01_Assumptions'!$A$11:$A$18,'01_Assumptions'!$B$11:$B$18))</f>
        <v>8400000</v>
      </c>
    </row>
    <row r="1003" spans="1:6">
      <c r="A1003" s="5">
        <f>'03_Actual_Opex'!A274</f>
        <v>45901</v>
      </c>
      <c r="B1003" s="3" t="str">
        <f>'03_Actual_Opex'!B274</f>
        <v>D05</v>
      </c>
      <c r="C1003" s="3" t="str">
        <f>'03_Actual_Opex'!C274</f>
        <v>IT</v>
      </c>
      <c r="D1003" s="3" t="str">
        <f>'03_Actual_Opex'!D274</f>
        <v>A01</v>
      </c>
      <c r="E1003" s="9">
        <f>'03_Actual_Opex'!E274</f>
        <v>12000000</v>
      </c>
      <c r="F1003" s="9">
        <f>E1003*(1+_xlfn.XLOOKUP("IT",'01_Assumptions'!$A$11:$A$18,'01_Assumptions'!$B$11:$B$18))</f>
        <v>12960000</v>
      </c>
    </row>
    <row r="1004" spans="1:6">
      <c r="A1004" s="5">
        <f>'03_Actual_Opex'!A275</f>
        <v>45901</v>
      </c>
      <c r="B1004" s="3" t="str">
        <f>'03_Actual_Opex'!B275</f>
        <v>D05</v>
      </c>
      <c r="C1004" s="3" t="str">
        <f>'03_Actual_Opex'!C275</f>
        <v>IT</v>
      </c>
      <c r="D1004" s="3" t="str">
        <f>'03_Actual_Opex'!D275</f>
        <v>A02</v>
      </c>
      <c r="E1004" s="9">
        <f>'03_Actual_Opex'!E275</f>
        <v>12000000</v>
      </c>
      <c r="F1004" s="9">
        <f>E1004*(1+_xlfn.XLOOKUP("IT",'01_Assumptions'!$A$11:$A$18,'01_Assumptions'!$B$11:$B$18))</f>
        <v>12960000</v>
      </c>
    </row>
    <row r="1005" spans="1:6">
      <c r="A1005" s="5">
        <f>'03_Actual_Opex'!A276</f>
        <v>45901</v>
      </c>
      <c r="B1005" s="3" t="str">
        <f>'03_Actual_Opex'!B276</f>
        <v>D05</v>
      </c>
      <c r="C1005" s="3" t="str">
        <f>'03_Actual_Opex'!C276</f>
        <v>IT</v>
      </c>
      <c r="D1005" s="3" t="str">
        <f>'03_Actual_Opex'!D276</f>
        <v>A03</v>
      </c>
      <c r="E1005" s="9">
        <f>'03_Actual_Opex'!E276</f>
        <v>12000000</v>
      </c>
      <c r="F1005" s="9">
        <f>E1005*(1+_xlfn.XLOOKUP("IT",'01_Assumptions'!$A$11:$A$18,'01_Assumptions'!$B$11:$B$18))</f>
        <v>12960000</v>
      </c>
    </row>
    <row r="1006" spans="1:6">
      <c r="A1006" s="5">
        <f>'03_Actual_Opex'!A277</f>
        <v>45901</v>
      </c>
      <c r="B1006" s="3" t="str">
        <f>'03_Actual_Opex'!B277</f>
        <v>D05</v>
      </c>
      <c r="C1006" s="3" t="str">
        <f>'03_Actual_Opex'!C277</f>
        <v>IT</v>
      </c>
      <c r="D1006" s="3" t="str">
        <f>'03_Actual_Opex'!D277</f>
        <v>A04</v>
      </c>
      <c r="E1006" s="9">
        <f>'03_Actual_Opex'!E277</f>
        <v>12000000</v>
      </c>
      <c r="F1006" s="9">
        <f>E1006*(1+_xlfn.XLOOKUP("IT",'01_Assumptions'!$A$11:$A$18,'01_Assumptions'!$B$11:$B$18))</f>
        <v>12960000</v>
      </c>
    </row>
    <row r="1007" spans="1:6">
      <c r="A1007" s="5">
        <f>'03_Actual_Opex'!A278</f>
        <v>45901</v>
      </c>
      <c r="B1007" s="3" t="str">
        <f>'03_Actual_Opex'!B278</f>
        <v>D06</v>
      </c>
      <c r="C1007" s="3" t="str">
        <f>'03_Actual_Opex'!C278</f>
        <v>Customer Operations</v>
      </c>
      <c r="D1007" s="3" t="str">
        <f>'03_Actual_Opex'!D278</f>
        <v>A01</v>
      </c>
      <c r="E1007" s="9">
        <f>'03_Actual_Opex'!E278</f>
        <v>10000000</v>
      </c>
      <c r="F1007" s="9">
        <f>E1007*(1+_xlfn.XLOOKUP("Customer Operations",'01_Assumptions'!$A$11:$A$18,'01_Assumptions'!$B$11:$B$18))</f>
        <v>10600000</v>
      </c>
    </row>
    <row r="1008" spans="1:6">
      <c r="A1008" s="5">
        <f>'03_Actual_Opex'!A279</f>
        <v>45901</v>
      </c>
      <c r="B1008" s="3" t="str">
        <f>'03_Actual_Opex'!B279</f>
        <v>D06</v>
      </c>
      <c r="C1008" s="3" t="str">
        <f>'03_Actual_Opex'!C279</f>
        <v>Customer Operations</v>
      </c>
      <c r="D1008" s="3" t="str">
        <f>'03_Actual_Opex'!D279</f>
        <v>A02</v>
      </c>
      <c r="E1008" s="9">
        <f>'03_Actual_Opex'!E279</f>
        <v>10000000</v>
      </c>
      <c r="F1008" s="9">
        <f>E1008*(1+_xlfn.XLOOKUP("Customer Operations",'01_Assumptions'!$A$11:$A$18,'01_Assumptions'!$B$11:$B$18))</f>
        <v>10600000</v>
      </c>
    </row>
    <row r="1009" spans="1:6">
      <c r="A1009" s="5">
        <f>'03_Actual_Opex'!A280</f>
        <v>45901</v>
      </c>
      <c r="B1009" s="3" t="str">
        <f>'03_Actual_Opex'!B280</f>
        <v>D06</v>
      </c>
      <c r="C1009" s="3" t="str">
        <f>'03_Actual_Opex'!C280</f>
        <v>Customer Operations</v>
      </c>
      <c r="D1009" s="3" t="str">
        <f>'03_Actual_Opex'!D280</f>
        <v>A03</v>
      </c>
      <c r="E1009" s="9">
        <f>'03_Actual_Opex'!E280</f>
        <v>10000000</v>
      </c>
      <c r="F1009" s="9">
        <f>E1009*(1+_xlfn.XLOOKUP("Customer Operations",'01_Assumptions'!$A$11:$A$18,'01_Assumptions'!$B$11:$B$18))</f>
        <v>10600000</v>
      </c>
    </row>
    <row r="1010" spans="1:6">
      <c r="A1010" s="5">
        <f>'03_Actual_Opex'!A281</f>
        <v>45901</v>
      </c>
      <c r="B1010" s="3" t="str">
        <f>'03_Actual_Opex'!B281</f>
        <v>D06</v>
      </c>
      <c r="C1010" s="3" t="str">
        <f>'03_Actual_Opex'!C281</f>
        <v>Customer Operations</v>
      </c>
      <c r="D1010" s="3" t="str">
        <f>'03_Actual_Opex'!D281</f>
        <v>A04</v>
      </c>
      <c r="E1010" s="9">
        <f>'03_Actual_Opex'!E281</f>
        <v>10000000</v>
      </c>
      <c r="F1010" s="9">
        <f>E1010*(1+_xlfn.XLOOKUP("Customer Operations",'01_Assumptions'!$A$11:$A$18,'01_Assumptions'!$B$11:$B$18))</f>
        <v>10600000</v>
      </c>
    </row>
    <row r="1011" spans="1:6">
      <c r="A1011" s="5">
        <f>'03_Actual_Opex'!A282</f>
        <v>45901</v>
      </c>
      <c r="B1011" s="3" t="str">
        <f>'03_Actual_Opex'!B282</f>
        <v>D07</v>
      </c>
      <c r="C1011" s="3" t="str">
        <f>'03_Actual_Opex'!C282</f>
        <v>HR</v>
      </c>
      <c r="D1011" s="3" t="str">
        <f>'03_Actual_Opex'!D282</f>
        <v>A01</v>
      </c>
      <c r="E1011" s="9">
        <f>'03_Actual_Opex'!E282</f>
        <v>3000000</v>
      </c>
      <c r="F1011" s="9">
        <f>E1011*(1+_xlfn.XLOOKUP("HR",'01_Assumptions'!$A$11:$A$18,'01_Assumptions'!$B$11:$B$18))</f>
        <v>3150000</v>
      </c>
    </row>
    <row r="1012" spans="1:6">
      <c r="A1012" s="5">
        <f>'03_Actual_Opex'!A283</f>
        <v>45901</v>
      </c>
      <c r="B1012" s="3" t="str">
        <f>'03_Actual_Opex'!B283</f>
        <v>D07</v>
      </c>
      <c r="C1012" s="3" t="str">
        <f>'03_Actual_Opex'!C283</f>
        <v>HR</v>
      </c>
      <c r="D1012" s="3" t="str">
        <f>'03_Actual_Opex'!D283</f>
        <v>A02</v>
      </c>
      <c r="E1012" s="9">
        <f>'03_Actual_Opex'!E283</f>
        <v>3000000</v>
      </c>
      <c r="F1012" s="9">
        <f>E1012*(1+_xlfn.XLOOKUP("HR",'01_Assumptions'!$A$11:$A$18,'01_Assumptions'!$B$11:$B$18))</f>
        <v>3150000</v>
      </c>
    </row>
    <row r="1013" spans="1:6">
      <c r="A1013" s="5">
        <f>'03_Actual_Opex'!A284</f>
        <v>45901</v>
      </c>
      <c r="B1013" s="3" t="str">
        <f>'03_Actual_Opex'!B284</f>
        <v>D07</v>
      </c>
      <c r="C1013" s="3" t="str">
        <f>'03_Actual_Opex'!C284</f>
        <v>HR</v>
      </c>
      <c r="D1013" s="3" t="str">
        <f>'03_Actual_Opex'!D284</f>
        <v>A03</v>
      </c>
      <c r="E1013" s="9">
        <f>'03_Actual_Opex'!E284</f>
        <v>3000000</v>
      </c>
      <c r="F1013" s="9">
        <f>E1013*(1+_xlfn.XLOOKUP("HR",'01_Assumptions'!$A$11:$A$18,'01_Assumptions'!$B$11:$B$18))</f>
        <v>3150000</v>
      </c>
    </row>
    <row r="1014" spans="1:6">
      <c r="A1014" s="5">
        <f>'03_Actual_Opex'!A285</f>
        <v>45901</v>
      </c>
      <c r="B1014" s="3" t="str">
        <f>'03_Actual_Opex'!B285</f>
        <v>D07</v>
      </c>
      <c r="C1014" s="3" t="str">
        <f>'03_Actual_Opex'!C285</f>
        <v>HR</v>
      </c>
      <c r="D1014" s="3" t="str">
        <f>'03_Actual_Opex'!D285</f>
        <v>A04</v>
      </c>
      <c r="E1014" s="9">
        <f>'03_Actual_Opex'!E285</f>
        <v>3000000</v>
      </c>
      <c r="F1014" s="9">
        <f>E1014*(1+_xlfn.XLOOKUP("HR",'01_Assumptions'!$A$11:$A$18,'01_Assumptions'!$B$11:$B$18))</f>
        <v>3150000</v>
      </c>
    </row>
    <row r="1015" spans="1:6">
      <c r="A1015" s="5">
        <f>'03_Actual_Opex'!A286</f>
        <v>45901</v>
      </c>
      <c r="B1015" s="3" t="str">
        <f>'03_Actual_Opex'!B286</f>
        <v>D08</v>
      </c>
      <c r="C1015" s="3" t="str">
        <f>'03_Actual_Opex'!C286</f>
        <v>Facilities</v>
      </c>
      <c r="D1015" s="3" t="str">
        <f>'03_Actual_Opex'!D286</f>
        <v>A01</v>
      </c>
      <c r="E1015" s="9">
        <f>'03_Actual_Opex'!E286</f>
        <v>8000000</v>
      </c>
      <c r="F1015" s="9">
        <f>E1015*(1+_xlfn.XLOOKUP("Facilities",'01_Assumptions'!$A$11:$A$18,'01_Assumptions'!$B$11:$B$18))</f>
        <v>8400000</v>
      </c>
    </row>
    <row r="1016" spans="1:6">
      <c r="A1016" s="5">
        <f>'03_Actual_Opex'!A287</f>
        <v>45901</v>
      </c>
      <c r="B1016" s="3" t="str">
        <f>'03_Actual_Opex'!B287</f>
        <v>D08</v>
      </c>
      <c r="C1016" s="3" t="str">
        <f>'03_Actual_Opex'!C287</f>
        <v>Facilities</v>
      </c>
      <c r="D1016" s="3" t="str">
        <f>'03_Actual_Opex'!D287</f>
        <v>A02</v>
      </c>
      <c r="E1016" s="9">
        <f>'03_Actual_Opex'!E287</f>
        <v>8000000</v>
      </c>
      <c r="F1016" s="9">
        <f>E1016*(1+_xlfn.XLOOKUP("Facilities",'01_Assumptions'!$A$11:$A$18,'01_Assumptions'!$B$11:$B$18))</f>
        <v>8400000</v>
      </c>
    </row>
    <row r="1017" spans="1:6">
      <c r="A1017" s="5">
        <f>'03_Actual_Opex'!A288</f>
        <v>45901</v>
      </c>
      <c r="B1017" s="3" t="str">
        <f>'03_Actual_Opex'!B288</f>
        <v>D08</v>
      </c>
      <c r="C1017" s="3" t="str">
        <f>'03_Actual_Opex'!C288</f>
        <v>Facilities</v>
      </c>
      <c r="D1017" s="3" t="str">
        <f>'03_Actual_Opex'!D288</f>
        <v>A03</v>
      </c>
      <c r="E1017" s="9">
        <f>'03_Actual_Opex'!E288</f>
        <v>8000000</v>
      </c>
      <c r="F1017" s="9">
        <f>E1017*(1+_xlfn.XLOOKUP("Facilities",'01_Assumptions'!$A$11:$A$18,'01_Assumptions'!$B$11:$B$18))</f>
        <v>8400000</v>
      </c>
    </row>
    <row r="1018" spans="1:6">
      <c r="A1018" s="5">
        <f>'03_Actual_Opex'!A289</f>
        <v>45901</v>
      </c>
      <c r="B1018" s="3" t="str">
        <f>'03_Actual_Opex'!B289</f>
        <v>D08</v>
      </c>
      <c r="C1018" s="3" t="str">
        <f>'03_Actual_Opex'!C289</f>
        <v>Facilities</v>
      </c>
      <c r="D1018" s="3" t="str">
        <f>'03_Actual_Opex'!D289</f>
        <v>A04</v>
      </c>
      <c r="E1018" s="9">
        <f>'03_Actual_Opex'!E289</f>
        <v>8000000</v>
      </c>
      <c r="F1018" s="9">
        <f>E1018*(1+_xlfn.XLOOKUP("Facilities",'01_Assumptions'!$A$11:$A$18,'01_Assumptions'!$B$11:$B$18))</f>
        <v>8400000</v>
      </c>
    </row>
    <row r="1019" spans="1:6">
      <c r="A1019" s="5">
        <f>'03_Actual_Opex'!A290</f>
        <v>45931</v>
      </c>
      <c r="B1019" s="3" t="str">
        <f>'03_Actual_Opex'!B290</f>
        <v>D01</v>
      </c>
      <c r="C1019" s="3" t="str">
        <f>'03_Actual_Opex'!C290</f>
        <v>Sales</v>
      </c>
      <c r="D1019" s="3" t="str">
        <f>'03_Actual_Opex'!D290</f>
        <v>A01</v>
      </c>
      <c r="E1019" s="9">
        <f>'03_Actual_Opex'!E290</f>
        <v>8000000</v>
      </c>
      <c r="F1019" s="9">
        <f>E1019*(1+_xlfn.XLOOKUP("Sales",'01_Assumptions'!$A$11:$A$18,'01_Assumptions'!$B$11:$B$18))</f>
        <v>8480000</v>
      </c>
    </row>
    <row r="1020" spans="1:6">
      <c r="A1020" s="5">
        <f>'03_Actual_Opex'!A291</f>
        <v>45931</v>
      </c>
      <c r="B1020" s="3" t="str">
        <f>'03_Actual_Opex'!B291</f>
        <v>D01</v>
      </c>
      <c r="C1020" s="3" t="str">
        <f>'03_Actual_Opex'!C291</f>
        <v>Sales</v>
      </c>
      <c r="D1020" s="3" t="str">
        <f>'03_Actual_Opex'!D291</f>
        <v>A02</v>
      </c>
      <c r="E1020" s="9">
        <f>'03_Actual_Opex'!E291</f>
        <v>8000000</v>
      </c>
      <c r="F1020" s="9">
        <f>E1020*(1+_xlfn.XLOOKUP("Sales",'01_Assumptions'!$A$11:$A$18,'01_Assumptions'!$B$11:$B$18))</f>
        <v>8480000</v>
      </c>
    </row>
    <row r="1021" spans="1:6">
      <c r="A1021" s="5">
        <f>'03_Actual_Opex'!A292</f>
        <v>45931</v>
      </c>
      <c r="B1021" s="3" t="str">
        <f>'03_Actual_Opex'!B292</f>
        <v>D01</v>
      </c>
      <c r="C1021" s="3" t="str">
        <f>'03_Actual_Opex'!C292</f>
        <v>Sales</v>
      </c>
      <c r="D1021" s="3" t="str">
        <f>'03_Actual_Opex'!D292</f>
        <v>A03</v>
      </c>
      <c r="E1021" s="9">
        <f>'03_Actual_Opex'!E292</f>
        <v>8000000</v>
      </c>
      <c r="F1021" s="9">
        <f>E1021*(1+_xlfn.XLOOKUP("Sales",'01_Assumptions'!$A$11:$A$18,'01_Assumptions'!$B$11:$B$18))</f>
        <v>8480000</v>
      </c>
    </row>
    <row r="1022" spans="1:6">
      <c r="A1022" s="5">
        <f>'03_Actual_Opex'!A293</f>
        <v>45931</v>
      </c>
      <c r="B1022" s="3" t="str">
        <f>'03_Actual_Opex'!B293</f>
        <v>D01</v>
      </c>
      <c r="C1022" s="3" t="str">
        <f>'03_Actual_Opex'!C293</f>
        <v>Sales</v>
      </c>
      <c r="D1022" s="3" t="str">
        <f>'03_Actual_Opex'!D293</f>
        <v>A04</v>
      </c>
      <c r="E1022" s="9">
        <f>'03_Actual_Opex'!E293</f>
        <v>8000000</v>
      </c>
      <c r="F1022" s="9">
        <f>E1022*(1+_xlfn.XLOOKUP("Sales",'01_Assumptions'!$A$11:$A$18,'01_Assumptions'!$B$11:$B$18))</f>
        <v>8480000</v>
      </c>
    </row>
    <row r="1023" spans="1:6">
      <c r="A1023" s="5">
        <f>'03_Actual_Opex'!A294</f>
        <v>45931</v>
      </c>
      <c r="B1023" s="3" t="str">
        <f>'03_Actual_Opex'!B294</f>
        <v>D02</v>
      </c>
      <c r="C1023" s="3" t="str">
        <f>'03_Actual_Opex'!C294</f>
        <v>Marketing</v>
      </c>
      <c r="D1023" s="3" t="str">
        <f>'03_Actual_Opex'!D294</f>
        <v>A01</v>
      </c>
      <c r="E1023" s="9">
        <f>'03_Actual_Opex'!E294</f>
        <v>30000000</v>
      </c>
      <c r="F1023" s="9">
        <f>E1023*(1+_xlfn.XLOOKUP("Marketing",'01_Assumptions'!$A$11:$A$18,'01_Assumptions'!$B$11:$B$18))</f>
        <v>32100000.000000004</v>
      </c>
    </row>
    <row r="1024" spans="1:6">
      <c r="A1024" s="5">
        <f>'03_Actual_Opex'!A295</f>
        <v>45931</v>
      </c>
      <c r="B1024" s="3" t="str">
        <f>'03_Actual_Opex'!B295</f>
        <v>D02</v>
      </c>
      <c r="C1024" s="3" t="str">
        <f>'03_Actual_Opex'!C295</f>
        <v>Marketing</v>
      </c>
      <c r="D1024" s="3" t="str">
        <f>'03_Actual_Opex'!D295</f>
        <v>A02</v>
      </c>
      <c r="E1024" s="9">
        <f>'03_Actual_Opex'!E295</f>
        <v>30000000</v>
      </c>
      <c r="F1024" s="9">
        <f>E1024*(1+_xlfn.XLOOKUP("Marketing",'01_Assumptions'!$A$11:$A$18,'01_Assumptions'!$B$11:$B$18))</f>
        <v>32100000.000000004</v>
      </c>
    </row>
    <row r="1025" spans="1:6">
      <c r="A1025" s="5">
        <f>'03_Actual_Opex'!A296</f>
        <v>45931</v>
      </c>
      <c r="B1025" s="3" t="str">
        <f>'03_Actual_Opex'!B296</f>
        <v>D02</v>
      </c>
      <c r="C1025" s="3" t="str">
        <f>'03_Actual_Opex'!C296</f>
        <v>Marketing</v>
      </c>
      <c r="D1025" s="3" t="str">
        <f>'03_Actual_Opex'!D296</f>
        <v>A03</v>
      </c>
      <c r="E1025" s="9">
        <f>'03_Actual_Opex'!E296</f>
        <v>30000000</v>
      </c>
      <c r="F1025" s="9">
        <f>E1025*(1+_xlfn.XLOOKUP("Marketing",'01_Assumptions'!$A$11:$A$18,'01_Assumptions'!$B$11:$B$18))</f>
        <v>32100000.000000004</v>
      </c>
    </row>
    <row r="1026" spans="1:6">
      <c r="A1026" s="5">
        <f>'03_Actual_Opex'!A297</f>
        <v>45931</v>
      </c>
      <c r="B1026" s="3" t="str">
        <f>'03_Actual_Opex'!B297</f>
        <v>D02</v>
      </c>
      <c r="C1026" s="3" t="str">
        <f>'03_Actual_Opex'!C297</f>
        <v>Marketing</v>
      </c>
      <c r="D1026" s="3" t="str">
        <f>'03_Actual_Opex'!D297</f>
        <v>A04</v>
      </c>
      <c r="E1026" s="9">
        <f>'03_Actual_Opex'!E297</f>
        <v>30000000</v>
      </c>
      <c r="F1026" s="9">
        <f>E1026*(1+_xlfn.XLOOKUP("Marketing",'01_Assumptions'!$A$11:$A$18,'01_Assumptions'!$B$11:$B$18))</f>
        <v>32100000.000000004</v>
      </c>
    </row>
    <row r="1027" spans="1:6">
      <c r="A1027" s="5">
        <f>'03_Actual_Opex'!A298</f>
        <v>45931</v>
      </c>
      <c r="B1027" s="3" t="str">
        <f>'03_Actual_Opex'!B298</f>
        <v>D03</v>
      </c>
      <c r="C1027" s="3" t="str">
        <f>'03_Actual_Opex'!C298</f>
        <v>R&amp;D</v>
      </c>
      <c r="D1027" s="3" t="str">
        <f>'03_Actual_Opex'!D298</f>
        <v>A01</v>
      </c>
      <c r="E1027" s="9">
        <f>'03_Actual_Opex'!E298</f>
        <v>20000000</v>
      </c>
      <c r="F1027" s="9">
        <f>E1027*(1+_xlfn.XLOOKUP("R&amp;D",'01_Assumptions'!$A$11:$A$18,'01_Assumptions'!$B$11:$B$18))</f>
        <v>21800000</v>
      </c>
    </row>
    <row r="1028" spans="1:6">
      <c r="A1028" s="5">
        <f>'03_Actual_Opex'!A299</f>
        <v>45931</v>
      </c>
      <c r="B1028" s="3" t="str">
        <f>'03_Actual_Opex'!B299</f>
        <v>D03</v>
      </c>
      <c r="C1028" s="3" t="str">
        <f>'03_Actual_Opex'!C299</f>
        <v>R&amp;D</v>
      </c>
      <c r="D1028" s="3" t="str">
        <f>'03_Actual_Opex'!D299</f>
        <v>A02</v>
      </c>
      <c r="E1028" s="9">
        <f>'03_Actual_Opex'!E299</f>
        <v>20000000</v>
      </c>
      <c r="F1028" s="9">
        <f>E1028*(1+_xlfn.XLOOKUP("R&amp;D",'01_Assumptions'!$A$11:$A$18,'01_Assumptions'!$B$11:$B$18))</f>
        <v>21800000</v>
      </c>
    </row>
    <row r="1029" spans="1:6">
      <c r="A1029" s="5">
        <f>'03_Actual_Opex'!A300</f>
        <v>45931</v>
      </c>
      <c r="B1029" s="3" t="str">
        <f>'03_Actual_Opex'!B300</f>
        <v>D03</v>
      </c>
      <c r="C1029" s="3" t="str">
        <f>'03_Actual_Opex'!C300</f>
        <v>R&amp;D</v>
      </c>
      <c r="D1029" s="3" t="str">
        <f>'03_Actual_Opex'!D300</f>
        <v>A03</v>
      </c>
      <c r="E1029" s="9">
        <f>'03_Actual_Opex'!E300</f>
        <v>20000000</v>
      </c>
      <c r="F1029" s="9">
        <f>E1029*(1+_xlfn.XLOOKUP("R&amp;D",'01_Assumptions'!$A$11:$A$18,'01_Assumptions'!$B$11:$B$18))</f>
        <v>21800000</v>
      </c>
    </row>
    <row r="1030" spans="1:6">
      <c r="A1030" s="5">
        <f>'03_Actual_Opex'!A301</f>
        <v>45931</v>
      </c>
      <c r="B1030" s="3" t="str">
        <f>'03_Actual_Opex'!B301</f>
        <v>D03</v>
      </c>
      <c r="C1030" s="3" t="str">
        <f>'03_Actual_Opex'!C301</f>
        <v>R&amp;D</v>
      </c>
      <c r="D1030" s="3" t="str">
        <f>'03_Actual_Opex'!D301</f>
        <v>A04</v>
      </c>
      <c r="E1030" s="9">
        <f>'03_Actual_Opex'!E301</f>
        <v>20000000</v>
      </c>
      <c r="F1030" s="9">
        <f>E1030*(1+_xlfn.XLOOKUP("R&amp;D",'01_Assumptions'!$A$11:$A$18,'01_Assumptions'!$B$11:$B$18))</f>
        <v>21800000</v>
      </c>
    </row>
    <row r="1031" spans="1:6">
      <c r="A1031" s="5">
        <f>'03_Actual_Opex'!A302</f>
        <v>45931</v>
      </c>
      <c r="B1031" s="3" t="str">
        <f>'03_Actual_Opex'!B302</f>
        <v>D04</v>
      </c>
      <c r="C1031" s="3" t="str">
        <f>'03_Actual_Opex'!C302</f>
        <v>G&amp;A</v>
      </c>
      <c r="D1031" s="3" t="str">
        <f>'03_Actual_Opex'!D302</f>
        <v>A01</v>
      </c>
      <c r="E1031" s="9">
        <f>'03_Actual_Opex'!E302</f>
        <v>8000000</v>
      </c>
      <c r="F1031" s="9">
        <f>E1031*(1+_xlfn.XLOOKUP("G&amp;A",'01_Assumptions'!$A$11:$A$18,'01_Assumptions'!$B$11:$B$18))</f>
        <v>8400000</v>
      </c>
    </row>
    <row r="1032" spans="1:6">
      <c r="A1032" s="5">
        <f>'03_Actual_Opex'!A303</f>
        <v>45931</v>
      </c>
      <c r="B1032" s="3" t="str">
        <f>'03_Actual_Opex'!B303</f>
        <v>D04</v>
      </c>
      <c r="C1032" s="3" t="str">
        <f>'03_Actual_Opex'!C303</f>
        <v>G&amp;A</v>
      </c>
      <c r="D1032" s="3" t="str">
        <f>'03_Actual_Opex'!D303</f>
        <v>A02</v>
      </c>
      <c r="E1032" s="9">
        <f>'03_Actual_Opex'!E303</f>
        <v>8000000</v>
      </c>
      <c r="F1032" s="9">
        <f>E1032*(1+_xlfn.XLOOKUP("G&amp;A",'01_Assumptions'!$A$11:$A$18,'01_Assumptions'!$B$11:$B$18))</f>
        <v>8400000</v>
      </c>
    </row>
    <row r="1033" spans="1:6">
      <c r="A1033" s="5">
        <f>'03_Actual_Opex'!A304</f>
        <v>45931</v>
      </c>
      <c r="B1033" s="3" t="str">
        <f>'03_Actual_Opex'!B304</f>
        <v>D04</v>
      </c>
      <c r="C1033" s="3" t="str">
        <f>'03_Actual_Opex'!C304</f>
        <v>G&amp;A</v>
      </c>
      <c r="D1033" s="3" t="str">
        <f>'03_Actual_Opex'!D304</f>
        <v>A03</v>
      </c>
      <c r="E1033" s="9">
        <f>'03_Actual_Opex'!E304</f>
        <v>8000000</v>
      </c>
      <c r="F1033" s="9">
        <f>E1033*(1+_xlfn.XLOOKUP("G&amp;A",'01_Assumptions'!$A$11:$A$18,'01_Assumptions'!$B$11:$B$18))</f>
        <v>8400000</v>
      </c>
    </row>
    <row r="1034" spans="1:6">
      <c r="A1034" s="5">
        <f>'03_Actual_Opex'!A305</f>
        <v>45931</v>
      </c>
      <c r="B1034" s="3" t="str">
        <f>'03_Actual_Opex'!B305</f>
        <v>D04</v>
      </c>
      <c r="C1034" s="3" t="str">
        <f>'03_Actual_Opex'!C305</f>
        <v>G&amp;A</v>
      </c>
      <c r="D1034" s="3" t="str">
        <f>'03_Actual_Opex'!D305</f>
        <v>A04</v>
      </c>
      <c r="E1034" s="9">
        <f>'03_Actual_Opex'!E305</f>
        <v>8000000</v>
      </c>
      <c r="F1034" s="9">
        <f>E1034*(1+_xlfn.XLOOKUP("G&amp;A",'01_Assumptions'!$A$11:$A$18,'01_Assumptions'!$B$11:$B$18))</f>
        <v>8400000</v>
      </c>
    </row>
    <row r="1035" spans="1:6">
      <c r="A1035" s="5">
        <f>'03_Actual_Opex'!A306</f>
        <v>45931</v>
      </c>
      <c r="B1035" s="3" t="str">
        <f>'03_Actual_Opex'!B306</f>
        <v>D05</v>
      </c>
      <c r="C1035" s="3" t="str">
        <f>'03_Actual_Opex'!C306</f>
        <v>IT</v>
      </c>
      <c r="D1035" s="3" t="str">
        <f>'03_Actual_Opex'!D306</f>
        <v>A01</v>
      </c>
      <c r="E1035" s="9">
        <f>'03_Actual_Opex'!E306</f>
        <v>12000000</v>
      </c>
      <c r="F1035" s="9">
        <f>E1035*(1+_xlfn.XLOOKUP("IT",'01_Assumptions'!$A$11:$A$18,'01_Assumptions'!$B$11:$B$18))</f>
        <v>12960000</v>
      </c>
    </row>
    <row r="1036" spans="1:6">
      <c r="A1036" s="5">
        <f>'03_Actual_Opex'!A307</f>
        <v>45931</v>
      </c>
      <c r="B1036" s="3" t="str">
        <f>'03_Actual_Opex'!B307</f>
        <v>D05</v>
      </c>
      <c r="C1036" s="3" t="str">
        <f>'03_Actual_Opex'!C307</f>
        <v>IT</v>
      </c>
      <c r="D1036" s="3" t="str">
        <f>'03_Actual_Opex'!D307</f>
        <v>A02</v>
      </c>
      <c r="E1036" s="9">
        <f>'03_Actual_Opex'!E307</f>
        <v>12000000</v>
      </c>
      <c r="F1036" s="9">
        <f>E1036*(1+_xlfn.XLOOKUP("IT",'01_Assumptions'!$A$11:$A$18,'01_Assumptions'!$B$11:$B$18))</f>
        <v>12960000</v>
      </c>
    </row>
    <row r="1037" spans="1:6">
      <c r="A1037" s="5">
        <f>'03_Actual_Opex'!A308</f>
        <v>45931</v>
      </c>
      <c r="B1037" s="3" t="str">
        <f>'03_Actual_Opex'!B308</f>
        <v>D05</v>
      </c>
      <c r="C1037" s="3" t="str">
        <f>'03_Actual_Opex'!C308</f>
        <v>IT</v>
      </c>
      <c r="D1037" s="3" t="str">
        <f>'03_Actual_Opex'!D308</f>
        <v>A03</v>
      </c>
      <c r="E1037" s="9">
        <f>'03_Actual_Opex'!E308</f>
        <v>12000000</v>
      </c>
      <c r="F1037" s="9">
        <f>E1037*(1+_xlfn.XLOOKUP("IT",'01_Assumptions'!$A$11:$A$18,'01_Assumptions'!$B$11:$B$18))</f>
        <v>12960000</v>
      </c>
    </row>
    <row r="1038" spans="1:6">
      <c r="A1038" s="5">
        <f>'03_Actual_Opex'!A309</f>
        <v>45931</v>
      </c>
      <c r="B1038" s="3" t="str">
        <f>'03_Actual_Opex'!B309</f>
        <v>D05</v>
      </c>
      <c r="C1038" s="3" t="str">
        <f>'03_Actual_Opex'!C309</f>
        <v>IT</v>
      </c>
      <c r="D1038" s="3" t="str">
        <f>'03_Actual_Opex'!D309</f>
        <v>A04</v>
      </c>
      <c r="E1038" s="9">
        <f>'03_Actual_Opex'!E309</f>
        <v>12000000</v>
      </c>
      <c r="F1038" s="9">
        <f>E1038*(1+_xlfn.XLOOKUP("IT",'01_Assumptions'!$A$11:$A$18,'01_Assumptions'!$B$11:$B$18))</f>
        <v>12960000</v>
      </c>
    </row>
    <row r="1039" spans="1:6">
      <c r="A1039" s="5">
        <f>'03_Actual_Opex'!A310</f>
        <v>45931</v>
      </c>
      <c r="B1039" s="3" t="str">
        <f>'03_Actual_Opex'!B310</f>
        <v>D06</v>
      </c>
      <c r="C1039" s="3" t="str">
        <f>'03_Actual_Opex'!C310</f>
        <v>Customer Operations</v>
      </c>
      <c r="D1039" s="3" t="str">
        <f>'03_Actual_Opex'!D310</f>
        <v>A01</v>
      </c>
      <c r="E1039" s="9">
        <f>'03_Actual_Opex'!E310</f>
        <v>10000000</v>
      </c>
      <c r="F1039" s="9">
        <f>E1039*(1+_xlfn.XLOOKUP("Customer Operations",'01_Assumptions'!$A$11:$A$18,'01_Assumptions'!$B$11:$B$18))</f>
        <v>10600000</v>
      </c>
    </row>
    <row r="1040" spans="1:6">
      <c r="A1040" s="5">
        <f>'03_Actual_Opex'!A311</f>
        <v>45931</v>
      </c>
      <c r="B1040" s="3" t="str">
        <f>'03_Actual_Opex'!B311</f>
        <v>D06</v>
      </c>
      <c r="C1040" s="3" t="str">
        <f>'03_Actual_Opex'!C311</f>
        <v>Customer Operations</v>
      </c>
      <c r="D1040" s="3" t="str">
        <f>'03_Actual_Opex'!D311</f>
        <v>A02</v>
      </c>
      <c r="E1040" s="9">
        <f>'03_Actual_Opex'!E311</f>
        <v>10000000</v>
      </c>
      <c r="F1040" s="9">
        <f>E1040*(1+_xlfn.XLOOKUP("Customer Operations",'01_Assumptions'!$A$11:$A$18,'01_Assumptions'!$B$11:$B$18))</f>
        <v>10600000</v>
      </c>
    </row>
    <row r="1041" spans="1:6">
      <c r="A1041" s="5">
        <f>'03_Actual_Opex'!A312</f>
        <v>45931</v>
      </c>
      <c r="B1041" s="3" t="str">
        <f>'03_Actual_Opex'!B312</f>
        <v>D06</v>
      </c>
      <c r="C1041" s="3" t="str">
        <f>'03_Actual_Opex'!C312</f>
        <v>Customer Operations</v>
      </c>
      <c r="D1041" s="3" t="str">
        <f>'03_Actual_Opex'!D312</f>
        <v>A03</v>
      </c>
      <c r="E1041" s="9">
        <f>'03_Actual_Opex'!E312</f>
        <v>10000000</v>
      </c>
      <c r="F1041" s="9">
        <f>E1041*(1+_xlfn.XLOOKUP("Customer Operations",'01_Assumptions'!$A$11:$A$18,'01_Assumptions'!$B$11:$B$18))</f>
        <v>10600000</v>
      </c>
    </row>
    <row r="1042" spans="1:6">
      <c r="A1042" s="5">
        <f>'03_Actual_Opex'!A313</f>
        <v>45931</v>
      </c>
      <c r="B1042" s="3" t="str">
        <f>'03_Actual_Opex'!B313</f>
        <v>D06</v>
      </c>
      <c r="C1042" s="3" t="str">
        <f>'03_Actual_Opex'!C313</f>
        <v>Customer Operations</v>
      </c>
      <c r="D1042" s="3" t="str">
        <f>'03_Actual_Opex'!D313</f>
        <v>A04</v>
      </c>
      <c r="E1042" s="9">
        <f>'03_Actual_Opex'!E313</f>
        <v>10000000</v>
      </c>
      <c r="F1042" s="9">
        <f>E1042*(1+_xlfn.XLOOKUP("Customer Operations",'01_Assumptions'!$A$11:$A$18,'01_Assumptions'!$B$11:$B$18))</f>
        <v>10600000</v>
      </c>
    </row>
    <row r="1043" spans="1:6">
      <c r="A1043" s="5">
        <f>'03_Actual_Opex'!A314</f>
        <v>45931</v>
      </c>
      <c r="B1043" s="3" t="str">
        <f>'03_Actual_Opex'!B314</f>
        <v>D07</v>
      </c>
      <c r="C1043" s="3" t="str">
        <f>'03_Actual_Opex'!C314</f>
        <v>HR</v>
      </c>
      <c r="D1043" s="3" t="str">
        <f>'03_Actual_Opex'!D314</f>
        <v>A01</v>
      </c>
      <c r="E1043" s="9">
        <f>'03_Actual_Opex'!E314</f>
        <v>3000000</v>
      </c>
      <c r="F1043" s="9">
        <f>E1043*(1+_xlfn.XLOOKUP("HR",'01_Assumptions'!$A$11:$A$18,'01_Assumptions'!$B$11:$B$18))</f>
        <v>3150000</v>
      </c>
    </row>
    <row r="1044" spans="1:6">
      <c r="A1044" s="5">
        <f>'03_Actual_Opex'!A315</f>
        <v>45931</v>
      </c>
      <c r="B1044" s="3" t="str">
        <f>'03_Actual_Opex'!B315</f>
        <v>D07</v>
      </c>
      <c r="C1044" s="3" t="str">
        <f>'03_Actual_Opex'!C315</f>
        <v>HR</v>
      </c>
      <c r="D1044" s="3" t="str">
        <f>'03_Actual_Opex'!D315</f>
        <v>A02</v>
      </c>
      <c r="E1044" s="9">
        <f>'03_Actual_Opex'!E315</f>
        <v>3000000</v>
      </c>
      <c r="F1044" s="9">
        <f>E1044*(1+_xlfn.XLOOKUP("HR",'01_Assumptions'!$A$11:$A$18,'01_Assumptions'!$B$11:$B$18))</f>
        <v>3150000</v>
      </c>
    </row>
    <row r="1045" spans="1:6">
      <c r="A1045" s="5">
        <f>'03_Actual_Opex'!A316</f>
        <v>45931</v>
      </c>
      <c r="B1045" s="3" t="str">
        <f>'03_Actual_Opex'!B316</f>
        <v>D07</v>
      </c>
      <c r="C1045" s="3" t="str">
        <f>'03_Actual_Opex'!C316</f>
        <v>HR</v>
      </c>
      <c r="D1045" s="3" t="str">
        <f>'03_Actual_Opex'!D316</f>
        <v>A03</v>
      </c>
      <c r="E1045" s="9">
        <f>'03_Actual_Opex'!E316</f>
        <v>3000000</v>
      </c>
      <c r="F1045" s="9">
        <f>E1045*(1+_xlfn.XLOOKUP("HR",'01_Assumptions'!$A$11:$A$18,'01_Assumptions'!$B$11:$B$18))</f>
        <v>3150000</v>
      </c>
    </row>
    <row r="1046" spans="1:6">
      <c r="A1046" s="5">
        <f>'03_Actual_Opex'!A317</f>
        <v>45931</v>
      </c>
      <c r="B1046" s="3" t="str">
        <f>'03_Actual_Opex'!B317</f>
        <v>D07</v>
      </c>
      <c r="C1046" s="3" t="str">
        <f>'03_Actual_Opex'!C317</f>
        <v>HR</v>
      </c>
      <c r="D1046" s="3" t="str">
        <f>'03_Actual_Opex'!D317</f>
        <v>A04</v>
      </c>
      <c r="E1046" s="9">
        <f>'03_Actual_Opex'!E317</f>
        <v>3000000</v>
      </c>
      <c r="F1046" s="9">
        <f>E1046*(1+_xlfn.XLOOKUP("HR",'01_Assumptions'!$A$11:$A$18,'01_Assumptions'!$B$11:$B$18))</f>
        <v>3150000</v>
      </c>
    </row>
    <row r="1047" spans="1:6">
      <c r="A1047" s="5">
        <f>'03_Actual_Opex'!A318</f>
        <v>45931</v>
      </c>
      <c r="B1047" s="3" t="str">
        <f>'03_Actual_Opex'!B318</f>
        <v>D08</v>
      </c>
      <c r="C1047" s="3" t="str">
        <f>'03_Actual_Opex'!C318</f>
        <v>Facilities</v>
      </c>
      <c r="D1047" s="3" t="str">
        <f>'03_Actual_Opex'!D318</f>
        <v>A01</v>
      </c>
      <c r="E1047" s="9">
        <f>'03_Actual_Opex'!E318</f>
        <v>8000000</v>
      </c>
      <c r="F1047" s="9">
        <f>E1047*(1+_xlfn.XLOOKUP("Facilities",'01_Assumptions'!$A$11:$A$18,'01_Assumptions'!$B$11:$B$18))</f>
        <v>8400000</v>
      </c>
    </row>
    <row r="1048" spans="1:6">
      <c r="A1048" s="5">
        <f>'03_Actual_Opex'!A319</f>
        <v>45931</v>
      </c>
      <c r="B1048" s="3" t="str">
        <f>'03_Actual_Opex'!B319</f>
        <v>D08</v>
      </c>
      <c r="C1048" s="3" t="str">
        <f>'03_Actual_Opex'!C319</f>
        <v>Facilities</v>
      </c>
      <c r="D1048" s="3" t="str">
        <f>'03_Actual_Opex'!D319</f>
        <v>A02</v>
      </c>
      <c r="E1048" s="9">
        <f>'03_Actual_Opex'!E319</f>
        <v>8000000</v>
      </c>
      <c r="F1048" s="9">
        <f>E1048*(1+_xlfn.XLOOKUP("Facilities",'01_Assumptions'!$A$11:$A$18,'01_Assumptions'!$B$11:$B$18))</f>
        <v>8400000</v>
      </c>
    </row>
    <row r="1049" spans="1:6">
      <c r="A1049" s="5">
        <f>'03_Actual_Opex'!A320</f>
        <v>45931</v>
      </c>
      <c r="B1049" s="3" t="str">
        <f>'03_Actual_Opex'!B320</f>
        <v>D08</v>
      </c>
      <c r="C1049" s="3" t="str">
        <f>'03_Actual_Opex'!C320</f>
        <v>Facilities</v>
      </c>
      <c r="D1049" s="3" t="str">
        <f>'03_Actual_Opex'!D320</f>
        <v>A03</v>
      </c>
      <c r="E1049" s="9">
        <f>'03_Actual_Opex'!E320</f>
        <v>8000000</v>
      </c>
      <c r="F1049" s="9">
        <f>E1049*(1+_xlfn.XLOOKUP("Facilities",'01_Assumptions'!$A$11:$A$18,'01_Assumptions'!$B$11:$B$18))</f>
        <v>8400000</v>
      </c>
    </row>
    <row r="1050" spans="1:6">
      <c r="A1050" s="5">
        <f>'03_Actual_Opex'!A321</f>
        <v>45931</v>
      </c>
      <c r="B1050" s="3" t="str">
        <f>'03_Actual_Opex'!B321</f>
        <v>D08</v>
      </c>
      <c r="C1050" s="3" t="str">
        <f>'03_Actual_Opex'!C321</f>
        <v>Facilities</v>
      </c>
      <c r="D1050" s="3" t="str">
        <f>'03_Actual_Opex'!D321</f>
        <v>A04</v>
      </c>
      <c r="E1050" s="9">
        <f>'03_Actual_Opex'!E321</f>
        <v>8000000</v>
      </c>
      <c r="F1050" s="9">
        <f>E1050*(1+_xlfn.XLOOKUP("Facilities",'01_Assumptions'!$A$11:$A$18,'01_Assumptions'!$B$11:$B$18))</f>
        <v>8400000</v>
      </c>
    </row>
    <row r="1051" spans="1:6">
      <c r="A1051" s="5">
        <f>'03_Actual_Opex'!A322</f>
        <v>45962</v>
      </c>
      <c r="B1051" s="3" t="str">
        <f>'03_Actual_Opex'!B322</f>
        <v>D01</v>
      </c>
      <c r="C1051" s="3" t="str">
        <f>'03_Actual_Opex'!C322</f>
        <v>Sales</v>
      </c>
      <c r="D1051" s="3" t="str">
        <f>'03_Actual_Opex'!D322</f>
        <v>A01</v>
      </c>
      <c r="E1051" s="9">
        <f>'03_Actual_Opex'!E322</f>
        <v>8000000</v>
      </c>
      <c r="F1051" s="9">
        <f>E1051*(1+_xlfn.XLOOKUP("Sales",'01_Assumptions'!$A$11:$A$18,'01_Assumptions'!$B$11:$B$18))</f>
        <v>8480000</v>
      </c>
    </row>
    <row r="1052" spans="1:6">
      <c r="A1052" s="5">
        <f>'03_Actual_Opex'!A323</f>
        <v>45962</v>
      </c>
      <c r="B1052" s="3" t="str">
        <f>'03_Actual_Opex'!B323</f>
        <v>D01</v>
      </c>
      <c r="C1052" s="3" t="str">
        <f>'03_Actual_Opex'!C323</f>
        <v>Sales</v>
      </c>
      <c r="D1052" s="3" t="str">
        <f>'03_Actual_Opex'!D323</f>
        <v>A02</v>
      </c>
      <c r="E1052" s="9">
        <f>'03_Actual_Opex'!E323</f>
        <v>8000000</v>
      </c>
      <c r="F1052" s="9">
        <f>E1052*(1+_xlfn.XLOOKUP("Sales",'01_Assumptions'!$A$11:$A$18,'01_Assumptions'!$B$11:$B$18))</f>
        <v>8480000</v>
      </c>
    </row>
    <row r="1053" spans="1:6">
      <c r="A1053" s="5">
        <f>'03_Actual_Opex'!A324</f>
        <v>45962</v>
      </c>
      <c r="B1053" s="3" t="str">
        <f>'03_Actual_Opex'!B324</f>
        <v>D01</v>
      </c>
      <c r="C1053" s="3" t="str">
        <f>'03_Actual_Opex'!C324</f>
        <v>Sales</v>
      </c>
      <c r="D1053" s="3" t="str">
        <f>'03_Actual_Opex'!D324</f>
        <v>A03</v>
      </c>
      <c r="E1053" s="9">
        <f>'03_Actual_Opex'!E324</f>
        <v>8000000</v>
      </c>
      <c r="F1053" s="9">
        <f>E1053*(1+_xlfn.XLOOKUP("Sales",'01_Assumptions'!$A$11:$A$18,'01_Assumptions'!$B$11:$B$18))</f>
        <v>8480000</v>
      </c>
    </row>
    <row r="1054" spans="1:6">
      <c r="A1054" s="5">
        <f>'03_Actual_Opex'!A325</f>
        <v>45962</v>
      </c>
      <c r="B1054" s="3" t="str">
        <f>'03_Actual_Opex'!B325</f>
        <v>D01</v>
      </c>
      <c r="C1054" s="3" t="str">
        <f>'03_Actual_Opex'!C325</f>
        <v>Sales</v>
      </c>
      <c r="D1054" s="3" t="str">
        <f>'03_Actual_Opex'!D325</f>
        <v>A04</v>
      </c>
      <c r="E1054" s="9">
        <f>'03_Actual_Opex'!E325</f>
        <v>8000000</v>
      </c>
      <c r="F1054" s="9">
        <f>E1054*(1+_xlfn.XLOOKUP("Sales",'01_Assumptions'!$A$11:$A$18,'01_Assumptions'!$B$11:$B$18))</f>
        <v>8480000</v>
      </c>
    </row>
    <row r="1055" spans="1:6">
      <c r="A1055" s="5">
        <f>'03_Actual_Opex'!A326</f>
        <v>45962</v>
      </c>
      <c r="B1055" s="3" t="str">
        <f>'03_Actual_Opex'!B326</f>
        <v>D02</v>
      </c>
      <c r="C1055" s="3" t="str">
        <f>'03_Actual_Opex'!C326</f>
        <v>Marketing</v>
      </c>
      <c r="D1055" s="3" t="str">
        <f>'03_Actual_Opex'!D326</f>
        <v>A01</v>
      </c>
      <c r="E1055" s="9">
        <f>'03_Actual_Opex'!E326</f>
        <v>30000000</v>
      </c>
      <c r="F1055" s="9">
        <f>E1055*(1+_xlfn.XLOOKUP("Marketing",'01_Assumptions'!$A$11:$A$18,'01_Assumptions'!$B$11:$B$18))</f>
        <v>32100000.000000004</v>
      </c>
    </row>
    <row r="1056" spans="1:6">
      <c r="A1056" s="5">
        <f>'03_Actual_Opex'!A327</f>
        <v>45962</v>
      </c>
      <c r="B1056" s="3" t="str">
        <f>'03_Actual_Opex'!B327</f>
        <v>D02</v>
      </c>
      <c r="C1056" s="3" t="str">
        <f>'03_Actual_Opex'!C327</f>
        <v>Marketing</v>
      </c>
      <c r="D1056" s="3" t="str">
        <f>'03_Actual_Opex'!D327</f>
        <v>A02</v>
      </c>
      <c r="E1056" s="9">
        <f>'03_Actual_Opex'!E327</f>
        <v>30000000</v>
      </c>
      <c r="F1056" s="9">
        <f>E1056*(1+_xlfn.XLOOKUP("Marketing",'01_Assumptions'!$A$11:$A$18,'01_Assumptions'!$B$11:$B$18))</f>
        <v>32100000.000000004</v>
      </c>
    </row>
    <row r="1057" spans="1:6">
      <c r="A1057" s="5">
        <f>'03_Actual_Opex'!A328</f>
        <v>45962</v>
      </c>
      <c r="B1057" s="3" t="str">
        <f>'03_Actual_Opex'!B328</f>
        <v>D02</v>
      </c>
      <c r="C1057" s="3" t="str">
        <f>'03_Actual_Opex'!C328</f>
        <v>Marketing</v>
      </c>
      <c r="D1057" s="3" t="str">
        <f>'03_Actual_Opex'!D328</f>
        <v>A03</v>
      </c>
      <c r="E1057" s="9">
        <f>'03_Actual_Opex'!E328</f>
        <v>30000000</v>
      </c>
      <c r="F1057" s="9">
        <f>E1057*(1+_xlfn.XLOOKUP("Marketing",'01_Assumptions'!$A$11:$A$18,'01_Assumptions'!$B$11:$B$18))</f>
        <v>32100000.000000004</v>
      </c>
    </row>
    <row r="1058" spans="1:6">
      <c r="A1058" s="5">
        <f>'03_Actual_Opex'!A329</f>
        <v>45962</v>
      </c>
      <c r="B1058" s="3" t="str">
        <f>'03_Actual_Opex'!B329</f>
        <v>D02</v>
      </c>
      <c r="C1058" s="3" t="str">
        <f>'03_Actual_Opex'!C329</f>
        <v>Marketing</v>
      </c>
      <c r="D1058" s="3" t="str">
        <f>'03_Actual_Opex'!D329</f>
        <v>A04</v>
      </c>
      <c r="E1058" s="9">
        <f>'03_Actual_Opex'!E329</f>
        <v>30000000</v>
      </c>
      <c r="F1058" s="9">
        <f>E1058*(1+_xlfn.XLOOKUP("Marketing",'01_Assumptions'!$A$11:$A$18,'01_Assumptions'!$B$11:$B$18))</f>
        <v>32100000.000000004</v>
      </c>
    </row>
    <row r="1059" spans="1:6">
      <c r="A1059" s="5">
        <f>'03_Actual_Opex'!A330</f>
        <v>45962</v>
      </c>
      <c r="B1059" s="3" t="str">
        <f>'03_Actual_Opex'!B330</f>
        <v>D03</v>
      </c>
      <c r="C1059" s="3" t="str">
        <f>'03_Actual_Opex'!C330</f>
        <v>R&amp;D</v>
      </c>
      <c r="D1059" s="3" t="str">
        <f>'03_Actual_Opex'!D330</f>
        <v>A01</v>
      </c>
      <c r="E1059" s="9">
        <f>'03_Actual_Opex'!E330</f>
        <v>20000000</v>
      </c>
      <c r="F1059" s="9">
        <f>E1059*(1+_xlfn.XLOOKUP("R&amp;D",'01_Assumptions'!$A$11:$A$18,'01_Assumptions'!$B$11:$B$18))</f>
        <v>21800000</v>
      </c>
    </row>
    <row r="1060" spans="1:6">
      <c r="A1060" s="5">
        <f>'03_Actual_Opex'!A331</f>
        <v>45962</v>
      </c>
      <c r="B1060" s="3" t="str">
        <f>'03_Actual_Opex'!B331</f>
        <v>D03</v>
      </c>
      <c r="C1060" s="3" t="str">
        <f>'03_Actual_Opex'!C331</f>
        <v>R&amp;D</v>
      </c>
      <c r="D1060" s="3" t="str">
        <f>'03_Actual_Opex'!D331</f>
        <v>A02</v>
      </c>
      <c r="E1060" s="9">
        <f>'03_Actual_Opex'!E331</f>
        <v>20000000</v>
      </c>
      <c r="F1060" s="9">
        <f>E1060*(1+_xlfn.XLOOKUP("R&amp;D",'01_Assumptions'!$A$11:$A$18,'01_Assumptions'!$B$11:$B$18))</f>
        <v>21800000</v>
      </c>
    </row>
    <row r="1061" spans="1:6">
      <c r="A1061" s="5">
        <f>'03_Actual_Opex'!A332</f>
        <v>45962</v>
      </c>
      <c r="B1061" s="3" t="str">
        <f>'03_Actual_Opex'!B332</f>
        <v>D03</v>
      </c>
      <c r="C1061" s="3" t="str">
        <f>'03_Actual_Opex'!C332</f>
        <v>R&amp;D</v>
      </c>
      <c r="D1061" s="3" t="str">
        <f>'03_Actual_Opex'!D332</f>
        <v>A03</v>
      </c>
      <c r="E1061" s="9">
        <f>'03_Actual_Opex'!E332</f>
        <v>20000000</v>
      </c>
      <c r="F1061" s="9">
        <f>E1061*(1+_xlfn.XLOOKUP("R&amp;D",'01_Assumptions'!$A$11:$A$18,'01_Assumptions'!$B$11:$B$18))</f>
        <v>21800000</v>
      </c>
    </row>
    <row r="1062" spans="1:6">
      <c r="A1062" s="5">
        <f>'03_Actual_Opex'!A333</f>
        <v>45962</v>
      </c>
      <c r="B1062" s="3" t="str">
        <f>'03_Actual_Opex'!B333</f>
        <v>D03</v>
      </c>
      <c r="C1062" s="3" t="str">
        <f>'03_Actual_Opex'!C333</f>
        <v>R&amp;D</v>
      </c>
      <c r="D1062" s="3" t="str">
        <f>'03_Actual_Opex'!D333</f>
        <v>A04</v>
      </c>
      <c r="E1062" s="9">
        <f>'03_Actual_Opex'!E333</f>
        <v>20000000</v>
      </c>
      <c r="F1062" s="9">
        <f>E1062*(1+_xlfn.XLOOKUP("R&amp;D",'01_Assumptions'!$A$11:$A$18,'01_Assumptions'!$B$11:$B$18))</f>
        <v>21800000</v>
      </c>
    </row>
    <row r="1063" spans="1:6">
      <c r="A1063" s="5">
        <f>'03_Actual_Opex'!A334</f>
        <v>45962</v>
      </c>
      <c r="B1063" s="3" t="str">
        <f>'03_Actual_Opex'!B334</f>
        <v>D04</v>
      </c>
      <c r="C1063" s="3" t="str">
        <f>'03_Actual_Opex'!C334</f>
        <v>G&amp;A</v>
      </c>
      <c r="D1063" s="3" t="str">
        <f>'03_Actual_Opex'!D334</f>
        <v>A01</v>
      </c>
      <c r="E1063" s="9">
        <f>'03_Actual_Opex'!E334</f>
        <v>8000000</v>
      </c>
      <c r="F1063" s="9">
        <f>E1063*(1+_xlfn.XLOOKUP("G&amp;A",'01_Assumptions'!$A$11:$A$18,'01_Assumptions'!$B$11:$B$18))</f>
        <v>8400000</v>
      </c>
    </row>
    <row r="1064" spans="1:6">
      <c r="A1064" s="5">
        <f>'03_Actual_Opex'!A335</f>
        <v>45962</v>
      </c>
      <c r="B1064" s="3" t="str">
        <f>'03_Actual_Opex'!B335</f>
        <v>D04</v>
      </c>
      <c r="C1064" s="3" t="str">
        <f>'03_Actual_Opex'!C335</f>
        <v>G&amp;A</v>
      </c>
      <c r="D1064" s="3" t="str">
        <f>'03_Actual_Opex'!D335</f>
        <v>A02</v>
      </c>
      <c r="E1064" s="9">
        <f>'03_Actual_Opex'!E335</f>
        <v>8000000</v>
      </c>
      <c r="F1064" s="9">
        <f>E1064*(1+_xlfn.XLOOKUP("G&amp;A",'01_Assumptions'!$A$11:$A$18,'01_Assumptions'!$B$11:$B$18))</f>
        <v>8400000</v>
      </c>
    </row>
    <row r="1065" spans="1:6">
      <c r="A1065" s="5">
        <f>'03_Actual_Opex'!A336</f>
        <v>45962</v>
      </c>
      <c r="B1065" s="3" t="str">
        <f>'03_Actual_Opex'!B336</f>
        <v>D04</v>
      </c>
      <c r="C1065" s="3" t="str">
        <f>'03_Actual_Opex'!C336</f>
        <v>G&amp;A</v>
      </c>
      <c r="D1065" s="3" t="str">
        <f>'03_Actual_Opex'!D336</f>
        <v>A03</v>
      </c>
      <c r="E1065" s="9">
        <f>'03_Actual_Opex'!E336</f>
        <v>8000000</v>
      </c>
      <c r="F1065" s="9">
        <f>E1065*(1+_xlfn.XLOOKUP("G&amp;A",'01_Assumptions'!$A$11:$A$18,'01_Assumptions'!$B$11:$B$18))</f>
        <v>8400000</v>
      </c>
    </row>
    <row r="1066" spans="1:6">
      <c r="A1066" s="5">
        <f>'03_Actual_Opex'!A337</f>
        <v>45962</v>
      </c>
      <c r="B1066" s="3" t="str">
        <f>'03_Actual_Opex'!B337</f>
        <v>D04</v>
      </c>
      <c r="C1066" s="3" t="str">
        <f>'03_Actual_Opex'!C337</f>
        <v>G&amp;A</v>
      </c>
      <c r="D1066" s="3" t="str">
        <f>'03_Actual_Opex'!D337</f>
        <v>A04</v>
      </c>
      <c r="E1066" s="9">
        <f>'03_Actual_Opex'!E337</f>
        <v>8000000</v>
      </c>
      <c r="F1066" s="9">
        <f>E1066*(1+_xlfn.XLOOKUP("G&amp;A",'01_Assumptions'!$A$11:$A$18,'01_Assumptions'!$B$11:$B$18))</f>
        <v>8400000</v>
      </c>
    </row>
    <row r="1067" spans="1:6">
      <c r="A1067" s="5">
        <f>'03_Actual_Opex'!A338</f>
        <v>45962</v>
      </c>
      <c r="B1067" s="3" t="str">
        <f>'03_Actual_Opex'!B338</f>
        <v>D05</v>
      </c>
      <c r="C1067" s="3" t="str">
        <f>'03_Actual_Opex'!C338</f>
        <v>IT</v>
      </c>
      <c r="D1067" s="3" t="str">
        <f>'03_Actual_Opex'!D338</f>
        <v>A01</v>
      </c>
      <c r="E1067" s="9">
        <f>'03_Actual_Opex'!E338</f>
        <v>12000000</v>
      </c>
      <c r="F1067" s="9">
        <f>E1067*(1+_xlfn.XLOOKUP("IT",'01_Assumptions'!$A$11:$A$18,'01_Assumptions'!$B$11:$B$18))</f>
        <v>12960000</v>
      </c>
    </row>
    <row r="1068" spans="1:6">
      <c r="A1068" s="5">
        <f>'03_Actual_Opex'!A339</f>
        <v>45962</v>
      </c>
      <c r="B1068" s="3" t="str">
        <f>'03_Actual_Opex'!B339</f>
        <v>D05</v>
      </c>
      <c r="C1068" s="3" t="str">
        <f>'03_Actual_Opex'!C339</f>
        <v>IT</v>
      </c>
      <c r="D1068" s="3" t="str">
        <f>'03_Actual_Opex'!D339</f>
        <v>A02</v>
      </c>
      <c r="E1068" s="9">
        <f>'03_Actual_Opex'!E339</f>
        <v>12000000</v>
      </c>
      <c r="F1068" s="9">
        <f>E1068*(1+_xlfn.XLOOKUP("IT",'01_Assumptions'!$A$11:$A$18,'01_Assumptions'!$B$11:$B$18))</f>
        <v>12960000</v>
      </c>
    </row>
    <row r="1069" spans="1:6">
      <c r="A1069" s="5">
        <f>'03_Actual_Opex'!A340</f>
        <v>45962</v>
      </c>
      <c r="B1069" s="3" t="str">
        <f>'03_Actual_Opex'!B340</f>
        <v>D05</v>
      </c>
      <c r="C1069" s="3" t="str">
        <f>'03_Actual_Opex'!C340</f>
        <v>IT</v>
      </c>
      <c r="D1069" s="3" t="str">
        <f>'03_Actual_Opex'!D340</f>
        <v>A03</v>
      </c>
      <c r="E1069" s="9">
        <f>'03_Actual_Opex'!E340</f>
        <v>12000000</v>
      </c>
      <c r="F1069" s="9">
        <f>E1069*(1+_xlfn.XLOOKUP("IT",'01_Assumptions'!$A$11:$A$18,'01_Assumptions'!$B$11:$B$18))</f>
        <v>12960000</v>
      </c>
    </row>
    <row r="1070" spans="1:6">
      <c r="A1070" s="5">
        <f>'03_Actual_Opex'!A341</f>
        <v>45962</v>
      </c>
      <c r="B1070" s="3" t="str">
        <f>'03_Actual_Opex'!B341</f>
        <v>D05</v>
      </c>
      <c r="C1070" s="3" t="str">
        <f>'03_Actual_Opex'!C341</f>
        <v>IT</v>
      </c>
      <c r="D1070" s="3" t="str">
        <f>'03_Actual_Opex'!D341</f>
        <v>A04</v>
      </c>
      <c r="E1070" s="9">
        <f>'03_Actual_Opex'!E341</f>
        <v>12000000</v>
      </c>
      <c r="F1070" s="9">
        <f>E1070*(1+_xlfn.XLOOKUP("IT",'01_Assumptions'!$A$11:$A$18,'01_Assumptions'!$B$11:$B$18))</f>
        <v>12960000</v>
      </c>
    </row>
    <row r="1071" spans="1:6">
      <c r="A1071" s="5">
        <f>'03_Actual_Opex'!A342</f>
        <v>45962</v>
      </c>
      <c r="B1071" s="3" t="str">
        <f>'03_Actual_Opex'!B342</f>
        <v>D06</v>
      </c>
      <c r="C1071" s="3" t="str">
        <f>'03_Actual_Opex'!C342</f>
        <v>Customer Operations</v>
      </c>
      <c r="D1071" s="3" t="str">
        <f>'03_Actual_Opex'!D342</f>
        <v>A01</v>
      </c>
      <c r="E1071" s="9">
        <f>'03_Actual_Opex'!E342</f>
        <v>10000000</v>
      </c>
      <c r="F1071" s="9">
        <f>E1071*(1+_xlfn.XLOOKUP("Customer Operations",'01_Assumptions'!$A$11:$A$18,'01_Assumptions'!$B$11:$B$18))</f>
        <v>10600000</v>
      </c>
    </row>
    <row r="1072" spans="1:6">
      <c r="A1072" s="5">
        <f>'03_Actual_Opex'!A343</f>
        <v>45962</v>
      </c>
      <c r="B1072" s="3" t="str">
        <f>'03_Actual_Opex'!B343</f>
        <v>D06</v>
      </c>
      <c r="C1072" s="3" t="str">
        <f>'03_Actual_Opex'!C343</f>
        <v>Customer Operations</v>
      </c>
      <c r="D1072" s="3" t="str">
        <f>'03_Actual_Opex'!D343</f>
        <v>A02</v>
      </c>
      <c r="E1072" s="9">
        <f>'03_Actual_Opex'!E343</f>
        <v>10000000</v>
      </c>
      <c r="F1072" s="9">
        <f>E1072*(1+_xlfn.XLOOKUP("Customer Operations",'01_Assumptions'!$A$11:$A$18,'01_Assumptions'!$B$11:$B$18))</f>
        <v>10600000</v>
      </c>
    </row>
    <row r="1073" spans="1:6">
      <c r="A1073" s="5">
        <f>'03_Actual_Opex'!A344</f>
        <v>45962</v>
      </c>
      <c r="B1073" s="3" t="str">
        <f>'03_Actual_Opex'!B344</f>
        <v>D06</v>
      </c>
      <c r="C1073" s="3" t="str">
        <f>'03_Actual_Opex'!C344</f>
        <v>Customer Operations</v>
      </c>
      <c r="D1073" s="3" t="str">
        <f>'03_Actual_Opex'!D344</f>
        <v>A03</v>
      </c>
      <c r="E1073" s="9">
        <f>'03_Actual_Opex'!E344</f>
        <v>10000000</v>
      </c>
      <c r="F1073" s="9">
        <f>E1073*(1+_xlfn.XLOOKUP("Customer Operations",'01_Assumptions'!$A$11:$A$18,'01_Assumptions'!$B$11:$B$18))</f>
        <v>10600000</v>
      </c>
    </row>
    <row r="1074" spans="1:6">
      <c r="A1074" s="5">
        <f>'03_Actual_Opex'!A345</f>
        <v>45962</v>
      </c>
      <c r="B1074" s="3" t="str">
        <f>'03_Actual_Opex'!B345</f>
        <v>D06</v>
      </c>
      <c r="C1074" s="3" t="str">
        <f>'03_Actual_Opex'!C345</f>
        <v>Customer Operations</v>
      </c>
      <c r="D1074" s="3" t="str">
        <f>'03_Actual_Opex'!D345</f>
        <v>A04</v>
      </c>
      <c r="E1074" s="9">
        <f>'03_Actual_Opex'!E345</f>
        <v>10000000</v>
      </c>
      <c r="F1074" s="9">
        <f>E1074*(1+_xlfn.XLOOKUP("Customer Operations",'01_Assumptions'!$A$11:$A$18,'01_Assumptions'!$B$11:$B$18))</f>
        <v>10600000</v>
      </c>
    </row>
    <row r="1075" spans="1:6">
      <c r="A1075" s="5">
        <f>'03_Actual_Opex'!A346</f>
        <v>45962</v>
      </c>
      <c r="B1075" s="3" t="str">
        <f>'03_Actual_Opex'!B346</f>
        <v>D07</v>
      </c>
      <c r="C1075" s="3" t="str">
        <f>'03_Actual_Opex'!C346</f>
        <v>HR</v>
      </c>
      <c r="D1075" s="3" t="str">
        <f>'03_Actual_Opex'!D346</f>
        <v>A01</v>
      </c>
      <c r="E1075" s="9">
        <f>'03_Actual_Opex'!E346</f>
        <v>3000000</v>
      </c>
      <c r="F1075" s="9">
        <f>E1075*(1+_xlfn.XLOOKUP("HR",'01_Assumptions'!$A$11:$A$18,'01_Assumptions'!$B$11:$B$18))</f>
        <v>3150000</v>
      </c>
    </row>
    <row r="1076" spans="1:6">
      <c r="A1076" s="5">
        <f>'03_Actual_Opex'!A347</f>
        <v>45962</v>
      </c>
      <c r="B1076" s="3" t="str">
        <f>'03_Actual_Opex'!B347</f>
        <v>D07</v>
      </c>
      <c r="C1076" s="3" t="str">
        <f>'03_Actual_Opex'!C347</f>
        <v>HR</v>
      </c>
      <c r="D1076" s="3" t="str">
        <f>'03_Actual_Opex'!D347</f>
        <v>A02</v>
      </c>
      <c r="E1076" s="9">
        <f>'03_Actual_Opex'!E347</f>
        <v>3000000</v>
      </c>
      <c r="F1076" s="9">
        <f>E1076*(1+_xlfn.XLOOKUP("HR",'01_Assumptions'!$A$11:$A$18,'01_Assumptions'!$B$11:$B$18))</f>
        <v>3150000</v>
      </c>
    </row>
    <row r="1077" spans="1:6">
      <c r="A1077" s="5">
        <f>'03_Actual_Opex'!A348</f>
        <v>45962</v>
      </c>
      <c r="B1077" s="3" t="str">
        <f>'03_Actual_Opex'!B348</f>
        <v>D07</v>
      </c>
      <c r="C1077" s="3" t="str">
        <f>'03_Actual_Opex'!C348</f>
        <v>HR</v>
      </c>
      <c r="D1077" s="3" t="str">
        <f>'03_Actual_Opex'!D348</f>
        <v>A03</v>
      </c>
      <c r="E1077" s="9">
        <f>'03_Actual_Opex'!E348</f>
        <v>3000000</v>
      </c>
      <c r="F1077" s="9">
        <f>E1077*(1+_xlfn.XLOOKUP("HR",'01_Assumptions'!$A$11:$A$18,'01_Assumptions'!$B$11:$B$18))</f>
        <v>3150000</v>
      </c>
    </row>
    <row r="1078" spans="1:6">
      <c r="A1078" s="5">
        <f>'03_Actual_Opex'!A349</f>
        <v>45962</v>
      </c>
      <c r="B1078" s="3" t="str">
        <f>'03_Actual_Opex'!B349</f>
        <v>D07</v>
      </c>
      <c r="C1078" s="3" t="str">
        <f>'03_Actual_Opex'!C349</f>
        <v>HR</v>
      </c>
      <c r="D1078" s="3" t="str">
        <f>'03_Actual_Opex'!D349</f>
        <v>A04</v>
      </c>
      <c r="E1078" s="9">
        <f>'03_Actual_Opex'!E349</f>
        <v>3000000</v>
      </c>
      <c r="F1078" s="9">
        <f>E1078*(1+_xlfn.XLOOKUP("HR",'01_Assumptions'!$A$11:$A$18,'01_Assumptions'!$B$11:$B$18))</f>
        <v>3150000</v>
      </c>
    </row>
    <row r="1079" spans="1:6">
      <c r="A1079" s="5">
        <f>'03_Actual_Opex'!A350</f>
        <v>45962</v>
      </c>
      <c r="B1079" s="3" t="str">
        <f>'03_Actual_Opex'!B350</f>
        <v>D08</v>
      </c>
      <c r="C1079" s="3" t="str">
        <f>'03_Actual_Opex'!C350</f>
        <v>Facilities</v>
      </c>
      <c r="D1079" s="3" t="str">
        <f>'03_Actual_Opex'!D350</f>
        <v>A01</v>
      </c>
      <c r="E1079" s="9">
        <f>'03_Actual_Opex'!E350</f>
        <v>8000000</v>
      </c>
      <c r="F1079" s="9">
        <f>E1079*(1+_xlfn.XLOOKUP("Facilities",'01_Assumptions'!$A$11:$A$18,'01_Assumptions'!$B$11:$B$18))</f>
        <v>8400000</v>
      </c>
    </row>
    <row r="1080" spans="1:6">
      <c r="A1080" s="5">
        <f>'03_Actual_Opex'!A351</f>
        <v>45962</v>
      </c>
      <c r="B1080" s="3" t="str">
        <f>'03_Actual_Opex'!B351</f>
        <v>D08</v>
      </c>
      <c r="C1080" s="3" t="str">
        <f>'03_Actual_Opex'!C351</f>
        <v>Facilities</v>
      </c>
      <c r="D1080" s="3" t="str">
        <f>'03_Actual_Opex'!D351</f>
        <v>A02</v>
      </c>
      <c r="E1080" s="9">
        <f>'03_Actual_Opex'!E351</f>
        <v>8000000</v>
      </c>
      <c r="F1080" s="9">
        <f>E1080*(1+_xlfn.XLOOKUP("Facilities",'01_Assumptions'!$A$11:$A$18,'01_Assumptions'!$B$11:$B$18))</f>
        <v>8400000</v>
      </c>
    </row>
    <row r="1081" spans="1:6">
      <c r="A1081" s="5">
        <f>'03_Actual_Opex'!A352</f>
        <v>45962</v>
      </c>
      <c r="B1081" s="3" t="str">
        <f>'03_Actual_Opex'!B352</f>
        <v>D08</v>
      </c>
      <c r="C1081" s="3" t="str">
        <f>'03_Actual_Opex'!C352</f>
        <v>Facilities</v>
      </c>
      <c r="D1081" s="3" t="str">
        <f>'03_Actual_Opex'!D352</f>
        <v>A03</v>
      </c>
      <c r="E1081" s="9">
        <f>'03_Actual_Opex'!E352</f>
        <v>8000000</v>
      </c>
      <c r="F1081" s="9">
        <f>E1081*(1+_xlfn.XLOOKUP("Facilities",'01_Assumptions'!$A$11:$A$18,'01_Assumptions'!$B$11:$B$18))</f>
        <v>8400000</v>
      </c>
    </row>
    <row r="1082" spans="1:6">
      <c r="A1082" s="5">
        <f>'03_Actual_Opex'!A353</f>
        <v>45962</v>
      </c>
      <c r="B1082" s="3" t="str">
        <f>'03_Actual_Opex'!B353</f>
        <v>D08</v>
      </c>
      <c r="C1082" s="3" t="str">
        <f>'03_Actual_Opex'!C353</f>
        <v>Facilities</v>
      </c>
      <c r="D1082" s="3" t="str">
        <f>'03_Actual_Opex'!D353</f>
        <v>A04</v>
      </c>
      <c r="E1082" s="9">
        <f>'03_Actual_Opex'!E353</f>
        <v>8000000</v>
      </c>
      <c r="F1082" s="9">
        <f>E1082*(1+_xlfn.XLOOKUP("Facilities",'01_Assumptions'!$A$11:$A$18,'01_Assumptions'!$B$11:$B$18))</f>
        <v>8400000</v>
      </c>
    </row>
    <row r="1083" spans="1:6">
      <c r="A1083" s="5">
        <f>'03_Actual_Opex'!A354</f>
        <v>45992</v>
      </c>
      <c r="B1083" s="3" t="str">
        <f>'03_Actual_Opex'!B354</f>
        <v>D01</v>
      </c>
      <c r="C1083" s="3" t="str">
        <f>'03_Actual_Opex'!C354</f>
        <v>Sales</v>
      </c>
      <c r="D1083" s="3" t="str">
        <f>'03_Actual_Opex'!D354</f>
        <v>A01</v>
      </c>
      <c r="E1083" s="9">
        <f>'03_Actual_Opex'!E354</f>
        <v>8000000</v>
      </c>
      <c r="F1083" s="9">
        <f>E1083*(1+_xlfn.XLOOKUP("Sales",'01_Assumptions'!$A$11:$A$18,'01_Assumptions'!$B$11:$B$18))</f>
        <v>8480000</v>
      </c>
    </row>
    <row r="1084" spans="1:6">
      <c r="A1084" s="5">
        <f>'03_Actual_Opex'!A355</f>
        <v>45992</v>
      </c>
      <c r="B1084" s="3" t="str">
        <f>'03_Actual_Opex'!B355</f>
        <v>D01</v>
      </c>
      <c r="C1084" s="3" t="str">
        <f>'03_Actual_Opex'!C355</f>
        <v>Sales</v>
      </c>
      <c r="D1084" s="3" t="str">
        <f>'03_Actual_Opex'!D355</f>
        <v>A02</v>
      </c>
      <c r="E1084" s="9">
        <f>'03_Actual_Opex'!E355</f>
        <v>8000000</v>
      </c>
      <c r="F1084" s="9">
        <f>E1084*(1+_xlfn.XLOOKUP("Sales",'01_Assumptions'!$A$11:$A$18,'01_Assumptions'!$B$11:$B$18))</f>
        <v>8480000</v>
      </c>
    </row>
    <row r="1085" spans="1:6">
      <c r="A1085" s="5">
        <f>'03_Actual_Opex'!A356</f>
        <v>45992</v>
      </c>
      <c r="B1085" s="3" t="str">
        <f>'03_Actual_Opex'!B356</f>
        <v>D01</v>
      </c>
      <c r="C1085" s="3" t="str">
        <f>'03_Actual_Opex'!C356</f>
        <v>Sales</v>
      </c>
      <c r="D1085" s="3" t="str">
        <f>'03_Actual_Opex'!D356</f>
        <v>A03</v>
      </c>
      <c r="E1085" s="9">
        <f>'03_Actual_Opex'!E356</f>
        <v>8000000</v>
      </c>
      <c r="F1085" s="9">
        <f>E1085*(1+_xlfn.XLOOKUP("Sales",'01_Assumptions'!$A$11:$A$18,'01_Assumptions'!$B$11:$B$18))</f>
        <v>8480000</v>
      </c>
    </row>
    <row r="1086" spans="1:6">
      <c r="A1086" s="5">
        <f>'03_Actual_Opex'!A357</f>
        <v>45992</v>
      </c>
      <c r="B1086" s="3" t="str">
        <f>'03_Actual_Opex'!B357</f>
        <v>D01</v>
      </c>
      <c r="C1086" s="3" t="str">
        <f>'03_Actual_Opex'!C357</f>
        <v>Sales</v>
      </c>
      <c r="D1086" s="3" t="str">
        <f>'03_Actual_Opex'!D357</f>
        <v>A04</v>
      </c>
      <c r="E1086" s="9">
        <f>'03_Actual_Opex'!E357</f>
        <v>8000000</v>
      </c>
      <c r="F1086" s="9">
        <f>E1086*(1+_xlfn.XLOOKUP("Sales",'01_Assumptions'!$A$11:$A$18,'01_Assumptions'!$B$11:$B$18))</f>
        <v>8480000</v>
      </c>
    </row>
    <row r="1087" spans="1:6">
      <c r="A1087" s="5">
        <f>'03_Actual_Opex'!A358</f>
        <v>45992</v>
      </c>
      <c r="B1087" s="3" t="str">
        <f>'03_Actual_Opex'!B358</f>
        <v>D02</v>
      </c>
      <c r="C1087" s="3" t="str">
        <f>'03_Actual_Opex'!C358</f>
        <v>Marketing</v>
      </c>
      <c r="D1087" s="3" t="str">
        <f>'03_Actual_Opex'!D358</f>
        <v>A01</v>
      </c>
      <c r="E1087" s="9">
        <f>'03_Actual_Opex'!E358</f>
        <v>30000000</v>
      </c>
      <c r="F1087" s="9">
        <f>E1087*(1+_xlfn.XLOOKUP("Marketing",'01_Assumptions'!$A$11:$A$18,'01_Assumptions'!$B$11:$B$18))</f>
        <v>32100000.000000004</v>
      </c>
    </row>
    <row r="1088" spans="1:6">
      <c r="A1088" s="5">
        <f>'03_Actual_Opex'!A359</f>
        <v>45992</v>
      </c>
      <c r="B1088" s="3" t="str">
        <f>'03_Actual_Opex'!B359</f>
        <v>D02</v>
      </c>
      <c r="C1088" s="3" t="str">
        <f>'03_Actual_Opex'!C359</f>
        <v>Marketing</v>
      </c>
      <c r="D1088" s="3" t="str">
        <f>'03_Actual_Opex'!D359</f>
        <v>A02</v>
      </c>
      <c r="E1088" s="9">
        <f>'03_Actual_Opex'!E359</f>
        <v>30000000</v>
      </c>
      <c r="F1088" s="9">
        <f>E1088*(1+_xlfn.XLOOKUP("Marketing",'01_Assumptions'!$A$11:$A$18,'01_Assumptions'!$B$11:$B$18))</f>
        <v>32100000.000000004</v>
      </c>
    </row>
    <row r="1089" spans="1:6">
      <c r="A1089" s="5">
        <f>'03_Actual_Opex'!A360</f>
        <v>45992</v>
      </c>
      <c r="B1089" s="3" t="str">
        <f>'03_Actual_Opex'!B360</f>
        <v>D02</v>
      </c>
      <c r="C1089" s="3" t="str">
        <f>'03_Actual_Opex'!C360</f>
        <v>Marketing</v>
      </c>
      <c r="D1089" s="3" t="str">
        <f>'03_Actual_Opex'!D360</f>
        <v>A03</v>
      </c>
      <c r="E1089" s="9">
        <f>'03_Actual_Opex'!E360</f>
        <v>30000000</v>
      </c>
      <c r="F1089" s="9">
        <f>E1089*(1+_xlfn.XLOOKUP("Marketing",'01_Assumptions'!$A$11:$A$18,'01_Assumptions'!$B$11:$B$18))</f>
        <v>32100000.000000004</v>
      </c>
    </row>
    <row r="1090" spans="1:6">
      <c r="A1090" s="5">
        <f>'03_Actual_Opex'!A361</f>
        <v>45992</v>
      </c>
      <c r="B1090" s="3" t="str">
        <f>'03_Actual_Opex'!B361</f>
        <v>D02</v>
      </c>
      <c r="C1090" s="3" t="str">
        <f>'03_Actual_Opex'!C361</f>
        <v>Marketing</v>
      </c>
      <c r="D1090" s="3" t="str">
        <f>'03_Actual_Opex'!D361</f>
        <v>A04</v>
      </c>
      <c r="E1090" s="9">
        <f>'03_Actual_Opex'!E361</f>
        <v>30000000</v>
      </c>
      <c r="F1090" s="9">
        <f>E1090*(1+_xlfn.XLOOKUP("Marketing",'01_Assumptions'!$A$11:$A$18,'01_Assumptions'!$B$11:$B$18))</f>
        <v>32100000.000000004</v>
      </c>
    </row>
    <row r="1091" spans="1:6">
      <c r="A1091" s="5">
        <f>'03_Actual_Opex'!A362</f>
        <v>45992</v>
      </c>
      <c r="B1091" s="3" t="str">
        <f>'03_Actual_Opex'!B362</f>
        <v>D03</v>
      </c>
      <c r="C1091" s="3" t="str">
        <f>'03_Actual_Opex'!C362</f>
        <v>R&amp;D</v>
      </c>
      <c r="D1091" s="3" t="str">
        <f>'03_Actual_Opex'!D362</f>
        <v>A01</v>
      </c>
      <c r="E1091" s="9">
        <f>'03_Actual_Opex'!E362</f>
        <v>20000000</v>
      </c>
      <c r="F1091" s="9">
        <f>E1091*(1+_xlfn.XLOOKUP("R&amp;D",'01_Assumptions'!$A$11:$A$18,'01_Assumptions'!$B$11:$B$18))</f>
        <v>21800000</v>
      </c>
    </row>
    <row r="1092" spans="1:6">
      <c r="A1092" s="5">
        <f>'03_Actual_Opex'!A363</f>
        <v>45992</v>
      </c>
      <c r="B1092" s="3" t="str">
        <f>'03_Actual_Opex'!B363</f>
        <v>D03</v>
      </c>
      <c r="C1092" s="3" t="str">
        <f>'03_Actual_Opex'!C363</f>
        <v>R&amp;D</v>
      </c>
      <c r="D1092" s="3" t="str">
        <f>'03_Actual_Opex'!D363</f>
        <v>A02</v>
      </c>
      <c r="E1092" s="9">
        <f>'03_Actual_Opex'!E363</f>
        <v>20000000</v>
      </c>
      <c r="F1092" s="9">
        <f>E1092*(1+_xlfn.XLOOKUP("R&amp;D",'01_Assumptions'!$A$11:$A$18,'01_Assumptions'!$B$11:$B$18))</f>
        <v>21800000</v>
      </c>
    </row>
    <row r="1093" spans="1:6">
      <c r="A1093" s="5">
        <f>'03_Actual_Opex'!A364</f>
        <v>45992</v>
      </c>
      <c r="B1093" s="3" t="str">
        <f>'03_Actual_Opex'!B364</f>
        <v>D03</v>
      </c>
      <c r="C1093" s="3" t="str">
        <f>'03_Actual_Opex'!C364</f>
        <v>R&amp;D</v>
      </c>
      <c r="D1093" s="3" t="str">
        <f>'03_Actual_Opex'!D364</f>
        <v>A03</v>
      </c>
      <c r="E1093" s="9">
        <f>'03_Actual_Opex'!E364</f>
        <v>20000000</v>
      </c>
      <c r="F1093" s="9">
        <f>E1093*(1+_xlfn.XLOOKUP("R&amp;D",'01_Assumptions'!$A$11:$A$18,'01_Assumptions'!$B$11:$B$18))</f>
        <v>21800000</v>
      </c>
    </row>
    <row r="1094" spans="1:6">
      <c r="A1094" s="5">
        <f>'03_Actual_Opex'!A365</f>
        <v>45992</v>
      </c>
      <c r="B1094" s="3" t="str">
        <f>'03_Actual_Opex'!B365</f>
        <v>D03</v>
      </c>
      <c r="C1094" s="3" t="str">
        <f>'03_Actual_Opex'!C365</f>
        <v>R&amp;D</v>
      </c>
      <c r="D1094" s="3" t="str">
        <f>'03_Actual_Opex'!D365</f>
        <v>A04</v>
      </c>
      <c r="E1094" s="9">
        <f>'03_Actual_Opex'!E365</f>
        <v>20000000</v>
      </c>
      <c r="F1094" s="9">
        <f>E1094*(1+_xlfn.XLOOKUP("R&amp;D",'01_Assumptions'!$A$11:$A$18,'01_Assumptions'!$B$11:$B$18))</f>
        <v>21800000</v>
      </c>
    </row>
    <row r="1095" spans="1:6">
      <c r="A1095" s="5">
        <f>'03_Actual_Opex'!A366</f>
        <v>45992</v>
      </c>
      <c r="B1095" s="3" t="str">
        <f>'03_Actual_Opex'!B366</f>
        <v>D04</v>
      </c>
      <c r="C1095" s="3" t="str">
        <f>'03_Actual_Opex'!C366</f>
        <v>G&amp;A</v>
      </c>
      <c r="D1095" s="3" t="str">
        <f>'03_Actual_Opex'!D366</f>
        <v>A01</v>
      </c>
      <c r="E1095" s="9">
        <f>'03_Actual_Opex'!E366</f>
        <v>8000000</v>
      </c>
      <c r="F1095" s="9">
        <f>E1095*(1+_xlfn.XLOOKUP("G&amp;A",'01_Assumptions'!$A$11:$A$18,'01_Assumptions'!$B$11:$B$18))</f>
        <v>8400000</v>
      </c>
    </row>
    <row r="1096" spans="1:6">
      <c r="A1096" s="5">
        <f>'03_Actual_Opex'!A367</f>
        <v>45992</v>
      </c>
      <c r="B1096" s="3" t="str">
        <f>'03_Actual_Opex'!B367</f>
        <v>D04</v>
      </c>
      <c r="C1096" s="3" t="str">
        <f>'03_Actual_Opex'!C367</f>
        <v>G&amp;A</v>
      </c>
      <c r="D1096" s="3" t="str">
        <f>'03_Actual_Opex'!D367</f>
        <v>A02</v>
      </c>
      <c r="E1096" s="9">
        <f>'03_Actual_Opex'!E367</f>
        <v>8000000</v>
      </c>
      <c r="F1096" s="9">
        <f>E1096*(1+_xlfn.XLOOKUP("G&amp;A",'01_Assumptions'!$A$11:$A$18,'01_Assumptions'!$B$11:$B$18))</f>
        <v>8400000</v>
      </c>
    </row>
    <row r="1097" spans="1:6">
      <c r="A1097" s="5">
        <f>'03_Actual_Opex'!A368</f>
        <v>45992</v>
      </c>
      <c r="B1097" s="3" t="str">
        <f>'03_Actual_Opex'!B368</f>
        <v>D04</v>
      </c>
      <c r="C1097" s="3" t="str">
        <f>'03_Actual_Opex'!C368</f>
        <v>G&amp;A</v>
      </c>
      <c r="D1097" s="3" t="str">
        <f>'03_Actual_Opex'!D368</f>
        <v>A03</v>
      </c>
      <c r="E1097" s="9">
        <f>'03_Actual_Opex'!E368</f>
        <v>8000000</v>
      </c>
      <c r="F1097" s="9">
        <f>E1097*(1+_xlfn.XLOOKUP("G&amp;A",'01_Assumptions'!$A$11:$A$18,'01_Assumptions'!$B$11:$B$18))</f>
        <v>8400000</v>
      </c>
    </row>
    <row r="1098" spans="1:6">
      <c r="A1098" s="5">
        <f>'03_Actual_Opex'!A369</f>
        <v>45992</v>
      </c>
      <c r="B1098" s="3" t="str">
        <f>'03_Actual_Opex'!B369</f>
        <v>D04</v>
      </c>
      <c r="C1098" s="3" t="str">
        <f>'03_Actual_Opex'!C369</f>
        <v>G&amp;A</v>
      </c>
      <c r="D1098" s="3" t="str">
        <f>'03_Actual_Opex'!D369</f>
        <v>A04</v>
      </c>
      <c r="E1098" s="9">
        <f>'03_Actual_Opex'!E369</f>
        <v>8000000</v>
      </c>
      <c r="F1098" s="9">
        <f>E1098*(1+_xlfn.XLOOKUP("G&amp;A",'01_Assumptions'!$A$11:$A$18,'01_Assumptions'!$B$11:$B$18))</f>
        <v>8400000</v>
      </c>
    </row>
    <row r="1099" spans="1:6">
      <c r="A1099" s="5">
        <f>'03_Actual_Opex'!A370</f>
        <v>45992</v>
      </c>
      <c r="B1099" s="3" t="str">
        <f>'03_Actual_Opex'!B370</f>
        <v>D05</v>
      </c>
      <c r="C1099" s="3" t="str">
        <f>'03_Actual_Opex'!C370</f>
        <v>IT</v>
      </c>
      <c r="D1099" s="3" t="str">
        <f>'03_Actual_Opex'!D370</f>
        <v>A01</v>
      </c>
      <c r="E1099" s="9">
        <f>'03_Actual_Opex'!E370</f>
        <v>12000000</v>
      </c>
      <c r="F1099" s="9">
        <f>E1099*(1+_xlfn.XLOOKUP("IT",'01_Assumptions'!$A$11:$A$18,'01_Assumptions'!$B$11:$B$18))</f>
        <v>12960000</v>
      </c>
    </row>
    <row r="1100" spans="1:6">
      <c r="A1100" s="5">
        <f>'03_Actual_Opex'!A371</f>
        <v>45992</v>
      </c>
      <c r="B1100" s="3" t="str">
        <f>'03_Actual_Opex'!B371</f>
        <v>D05</v>
      </c>
      <c r="C1100" s="3" t="str">
        <f>'03_Actual_Opex'!C371</f>
        <v>IT</v>
      </c>
      <c r="D1100" s="3" t="str">
        <f>'03_Actual_Opex'!D371</f>
        <v>A02</v>
      </c>
      <c r="E1100" s="9">
        <f>'03_Actual_Opex'!E371</f>
        <v>12000000</v>
      </c>
      <c r="F1100" s="9">
        <f>E1100*(1+_xlfn.XLOOKUP("IT",'01_Assumptions'!$A$11:$A$18,'01_Assumptions'!$B$11:$B$18))</f>
        <v>12960000</v>
      </c>
    </row>
    <row r="1101" spans="1:6">
      <c r="A1101" s="5">
        <f>'03_Actual_Opex'!A372</f>
        <v>45992</v>
      </c>
      <c r="B1101" s="3" t="str">
        <f>'03_Actual_Opex'!B372</f>
        <v>D05</v>
      </c>
      <c r="C1101" s="3" t="str">
        <f>'03_Actual_Opex'!C372</f>
        <v>IT</v>
      </c>
      <c r="D1101" s="3" t="str">
        <f>'03_Actual_Opex'!D372</f>
        <v>A03</v>
      </c>
      <c r="E1101" s="9">
        <f>'03_Actual_Opex'!E372</f>
        <v>12000000</v>
      </c>
      <c r="F1101" s="9">
        <f>E1101*(1+_xlfn.XLOOKUP("IT",'01_Assumptions'!$A$11:$A$18,'01_Assumptions'!$B$11:$B$18))</f>
        <v>12960000</v>
      </c>
    </row>
    <row r="1102" spans="1:6">
      <c r="A1102" s="5">
        <f>'03_Actual_Opex'!A373</f>
        <v>45992</v>
      </c>
      <c r="B1102" s="3" t="str">
        <f>'03_Actual_Opex'!B373</f>
        <v>D05</v>
      </c>
      <c r="C1102" s="3" t="str">
        <f>'03_Actual_Opex'!C373</f>
        <v>IT</v>
      </c>
      <c r="D1102" s="3" t="str">
        <f>'03_Actual_Opex'!D373</f>
        <v>A04</v>
      </c>
      <c r="E1102" s="9">
        <f>'03_Actual_Opex'!E373</f>
        <v>12000000</v>
      </c>
      <c r="F1102" s="9">
        <f>E1102*(1+_xlfn.XLOOKUP("IT",'01_Assumptions'!$A$11:$A$18,'01_Assumptions'!$B$11:$B$18))</f>
        <v>12960000</v>
      </c>
    </row>
    <row r="1103" spans="1:6">
      <c r="A1103" s="5">
        <f>'03_Actual_Opex'!A374</f>
        <v>45992</v>
      </c>
      <c r="B1103" s="3" t="str">
        <f>'03_Actual_Opex'!B374</f>
        <v>D06</v>
      </c>
      <c r="C1103" s="3" t="str">
        <f>'03_Actual_Opex'!C374</f>
        <v>Customer Operations</v>
      </c>
      <c r="D1103" s="3" t="str">
        <f>'03_Actual_Opex'!D374</f>
        <v>A01</v>
      </c>
      <c r="E1103" s="9">
        <f>'03_Actual_Opex'!E374</f>
        <v>10000000</v>
      </c>
      <c r="F1103" s="9">
        <f>E1103*(1+_xlfn.XLOOKUP("Customer Operations",'01_Assumptions'!$A$11:$A$18,'01_Assumptions'!$B$11:$B$18))</f>
        <v>10600000</v>
      </c>
    </row>
    <row r="1104" spans="1:6">
      <c r="A1104" s="5">
        <f>'03_Actual_Opex'!A375</f>
        <v>45992</v>
      </c>
      <c r="B1104" s="3" t="str">
        <f>'03_Actual_Opex'!B375</f>
        <v>D06</v>
      </c>
      <c r="C1104" s="3" t="str">
        <f>'03_Actual_Opex'!C375</f>
        <v>Customer Operations</v>
      </c>
      <c r="D1104" s="3" t="str">
        <f>'03_Actual_Opex'!D375</f>
        <v>A02</v>
      </c>
      <c r="E1104" s="9">
        <f>'03_Actual_Opex'!E375</f>
        <v>10000000</v>
      </c>
      <c r="F1104" s="9">
        <f>E1104*(1+_xlfn.XLOOKUP("Customer Operations",'01_Assumptions'!$A$11:$A$18,'01_Assumptions'!$B$11:$B$18))</f>
        <v>10600000</v>
      </c>
    </row>
    <row r="1105" spans="1:6">
      <c r="A1105" s="5">
        <f>'03_Actual_Opex'!A376</f>
        <v>45992</v>
      </c>
      <c r="B1105" s="3" t="str">
        <f>'03_Actual_Opex'!B376</f>
        <v>D06</v>
      </c>
      <c r="C1105" s="3" t="str">
        <f>'03_Actual_Opex'!C376</f>
        <v>Customer Operations</v>
      </c>
      <c r="D1105" s="3" t="str">
        <f>'03_Actual_Opex'!D376</f>
        <v>A03</v>
      </c>
      <c r="E1105" s="9">
        <f>'03_Actual_Opex'!E376</f>
        <v>10000000</v>
      </c>
      <c r="F1105" s="9">
        <f>E1105*(1+_xlfn.XLOOKUP("Customer Operations",'01_Assumptions'!$A$11:$A$18,'01_Assumptions'!$B$11:$B$18))</f>
        <v>10600000</v>
      </c>
    </row>
    <row r="1106" spans="1:6">
      <c r="A1106" s="5">
        <f>'03_Actual_Opex'!A377</f>
        <v>45992</v>
      </c>
      <c r="B1106" s="3" t="str">
        <f>'03_Actual_Opex'!B377</f>
        <v>D06</v>
      </c>
      <c r="C1106" s="3" t="str">
        <f>'03_Actual_Opex'!C377</f>
        <v>Customer Operations</v>
      </c>
      <c r="D1106" s="3" t="str">
        <f>'03_Actual_Opex'!D377</f>
        <v>A04</v>
      </c>
      <c r="E1106" s="9">
        <f>'03_Actual_Opex'!E377</f>
        <v>10000000</v>
      </c>
      <c r="F1106" s="9">
        <f>E1106*(1+_xlfn.XLOOKUP("Customer Operations",'01_Assumptions'!$A$11:$A$18,'01_Assumptions'!$B$11:$B$18))</f>
        <v>10600000</v>
      </c>
    </row>
    <row r="1107" spans="1:6">
      <c r="A1107" s="5">
        <f>'03_Actual_Opex'!A378</f>
        <v>45992</v>
      </c>
      <c r="B1107" s="3" t="str">
        <f>'03_Actual_Opex'!B378</f>
        <v>D07</v>
      </c>
      <c r="C1107" s="3" t="str">
        <f>'03_Actual_Opex'!C378</f>
        <v>HR</v>
      </c>
      <c r="D1107" s="3" t="str">
        <f>'03_Actual_Opex'!D378</f>
        <v>A01</v>
      </c>
      <c r="E1107" s="9">
        <f>'03_Actual_Opex'!E378</f>
        <v>3000000</v>
      </c>
      <c r="F1107" s="9">
        <f>E1107*(1+_xlfn.XLOOKUP("HR",'01_Assumptions'!$A$11:$A$18,'01_Assumptions'!$B$11:$B$18))</f>
        <v>3150000</v>
      </c>
    </row>
    <row r="1108" spans="1:6">
      <c r="A1108" s="5">
        <f>'03_Actual_Opex'!A379</f>
        <v>45992</v>
      </c>
      <c r="B1108" s="3" t="str">
        <f>'03_Actual_Opex'!B379</f>
        <v>D07</v>
      </c>
      <c r="C1108" s="3" t="str">
        <f>'03_Actual_Opex'!C379</f>
        <v>HR</v>
      </c>
      <c r="D1108" s="3" t="str">
        <f>'03_Actual_Opex'!D379</f>
        <v>A02</v>
      </c>
      <c r="E1108" s="9">
        <f>'03_Actual_Opex'!E379</f>
        <v>3000000</v>
      </c>
      <c r="F1108" s="9">
        <f>E1108*(1+_xlfn.XLOOKUP("HR",'01_Assumptions'!$A$11:$A$18,'01_Assumptions'!$B$11:$B$18))</f>
        <v>3150000</v>
      </c>
    </row>
    <row r="1109" spans="1:6">
      <c r="A1109" s="5">
        <f>'03_Actual_Opex'!A380</f>
        <v>45992</v>
      </c>
      <c r="B1109" s="3" t="str">
        <f>'03_Actual_Opex'!B380</f>
        <v>D07</v>
      </c>
      <c r="C1109" s="3" t="str">
        <f>'03_Actual_Opex'!C380</f>
        <v>HR</v>
      </c>
      <c r="D1109" s="3" t="str">
        <f>'03_Actual_Opex'!D380</f>
        <v>A03</v>
      </c>
      <c r="E1109" s="9">
        <f>'03_Actual_Opex'!E380</f>
        <v>3000000</v>
      </c>
      <c r="F1109" s="9">
        <f>E1109*(1+_xlfn.XLOOKUP("HR",'01_Assumptions'!$A$11:$A$18,'01_Assumptions'!$B$11:$B$18))</f>
        <v>3150000</v>
      </c>
    </row>
    <row r="1110" spans="1:6">
      <c r="A1110" s="5">
        <f>'03_Actual_Opex'!A381</f>
        <v>45992</v>
      </c>
      <c r="B1110" s="3" t="str">
        <f>'03_Actual_Opex'!B381</f>
        <v>D07</v>
      </c>
      <c r="C1110" s="3" t="str">
        <f>'03_Actual_Opex'!C381</f>
        <v>HR</v>
      </c>
      <c r="D1110" s="3" t="str">
        <f>'03_Actual_Opex'!D381</f>
        <v>A04</v>
      </c>
      <c r="E1110" s="9">
        <f>'03_Actual_Opex'!E381</f>
        <v>3000000</v>
      </c>
      <c r="F1110" s="9">
        <f>E1110*(1+_xlfn.XLOOKUP("HR",'01_Assumptions'!$A$11:$A$18,'01_Assumptions'!$B$11:$B$18))</f>
        <v>3150000</v>
      </c>
    </row>
    <row r="1111" spans="1:6">
      <c r="A1111" s="5">
        <f>'03_Actual_Opex'!A382</f>
        <v>45992</v>
      </c>
      <c r="B1111" s="3" t="str">
        <f>'03_Actual_Opex'!B382</f>
        <v>D08</v>
      </c>
      <c r="C1111" s="3" t="str">
        <f>'03_Actual_Opex'!C382</f>
        <v>Facilities</v>
      </c>
      <c r="D1111" s="3" t="str">
        <f>'03_Actual_Opex'!D382</f>
        <v>A01</v>
      </c>
      <c r="E1111" s="9">
        <f>'03_Actual_Opex'!E382</f>
        <v>8000000</v>
      </c>
      <c r="F1111" s="9">
        <f>E1111*(1+_xlfn.XLOOKUP("Facilities",'01_Assumptions'!$A$11:$A$18,'01_Assumptions'!$B$11:$B$18))</f>
        <v>8400000</v>
      </c>
    </row>
    <row r="1112" spans="1:6">
      <c r="A1112" s="5">
        <f>'03_Actual_Opex'!A383</f>
        <v>45992</v>
      </c>
      <c r="B1112" s="3" t="str">
        <f>'03_Actual_Opex'!B383</f>
        <v>D08</v>
      </c>
      <c r="C1112" s="3" t="str">
        <f>'03_Actual_Opex'!C383</f>
        <v>Facilities</v>
      </c>
      <c r="D1112" s="3" t="str">
        <f>'03_Actual_Opex'!D383</f>
        <v>A02</v>
      </c>
      <c r="E1112" s="9">
        <f>'03_Actual_Opex'!E383</f>
        <v>8000000</v>
      </c>
      <c r="F1112" s="9">
        <f>E1112*(1+_xlfn.XLOOKUP("Facilities",'01_Assumptions'!$A$11:$A$18,'01_Assumptions'!$B$11:$B$18))</f>
        <v>8400000</v>
      </c>
    </row>
    <row r="1113" spans="1:6">
      <c r="A1113" s="5">
        <f>'03_Actual_Opex'!A384</f>
        <v>45992</v>
      </c>
      <c r="B1113" s="3" t="str">
        <f>'03_Actual_Opex'!B384</f>
        <v>D08</v>
      </c>
      <c r="C1113" s="3" t="str">
        <f>'03_Actual_Opex'!C384</f>
        <v>Facilities</v>
      </c>
      <c r="D1113" s="3" t="str">
        <f>'03_Actual_Opex'!D384</f>
        <v>A03</v>
      </c>
      <c r="E1113" s="9">
        <f>'03_Actual_Opex'!E384</f>
        <v>8000000</v>
      </c>
      <c r="F1113" s="9">
        <f>E1113*(1+_xlfn.XLOOKUP("Facilities",'01_Assumptions'!$A$11:$A$18,'01_Assumptions'!$B$11:$B$18))</f>
        <v>8400000</v>
      </c>
    </row>
    <row r="1114" spans="1:6">
      <c r="A1114" s="5">
        <f>'03_Actual_Opex'!A385</f>
        <v>45992</v>
      </c>
      <c r="B1114" s="3" t="str">
        <f>'03_Actual_Opex'!B385</f>
        <v>D08</v>
      </c>
      <c r="C1114" s="3" t="str">
        <f>'03_Actual_Opex'!C385</f>
        <v>Facilities</v>
      </c>
      <c r="D1114" s="3" t="str">
        <f>'03_Actual_Opex'!D385</f>
        <v>A04</v>
      </c>
      <c r="E1114" s="9">
        <f>'03_Actual_Opex'!E385</f>
        <v>8000000</v>
      </c>
      <c r="F1114" s="9">
        <f>E1114*(1+_xlfn.XLOOKUP("Facilities",'01_Assumptions'!$A$11:$A$18,'01_Assumptions'!$B$11:$B$18))</f>
        <v>8400000</v>
      </c>
    </row>
    <row r="1115" spans="1:6">
      <c r="A1115" s="5">
        <f>'03_Actual_Opex'!A386</f>
        <v>46023</v>
      </c>
      <c r="B1115" s="3" t="str">
        <f>'03_Actual_Opex'!B386</f>
        <v>D01</v>
      </c>
      <c r="C1115" s="3" t="str">
        <f>'03_Actual_Opex'!C386</f>
        <v>Sales</v>
      </c>
      <c r="D1115" s="3" t="str">
        <f>'03_Actual_Opex'!D386</f>
        <v>A01</v>
      </c>
      <c r="E1115" s="9">
        <f>'03_Actual_Opex'!E386</f>
        <v>8000000</v>
      </c>
      <c r="F1115" s="9">
        <f>E1115*(1+_xlfn.XLOOKUP("Sales",'01_Assumptions'!$A$11:$A$18,'01_Assumptions'!$B$11:$B$18))</f>
        <v>8480000</v>
      </c>
    </row>
    <row r="1116" spans="1:6">
      <c r="A1116" s="5">
        <f>'03_Actual_Opex'!A387</f>
        <v>46023</v>
      </c>
      <c r="B1116" s="3" t="str">
        <f>'03_Actual_Opex'!B387</f>
        <v>D01</v>
      </c>
      <c r="C1116" s="3" t="str">
        <f>'03_Actual_Opex'!C387</f>
        <v>Sales</v>
      </c>
      <c r="D1116" s="3" t="str">
        <f>'03_Actual_Opex'!D387</f>
        <v>A02</v>
      </c>
      <c r="E1116" s="9">
        <f>'03_Actual_Opex'!E387</f>
        <v>8000000</v>
      </c>
      <c r="F1116" s="9">
        <f>E1116*(1+_xlfn.XLOOKUP("Sales",'01_Assumptions'!$A$11:$A$18,'01_Assumptions'!$B$11:$B$18))</f>
        <v>8480000</v>
      </c>
    </row>
    <row r="1117" spans="1:6">
      <c r="A1117" s="5">
        <f>'03_Actual_Opex'!A388</f>
        <v>46023</v>
      </c>
      <c r="B1117" s="3" t="str">
        <f>'03_Actual_Opex'!B388</f>
        <v>D01</v>
      </c>
      <c r="C1117" s="3" t="str">
        <f>'03_Actual_Opex'!C388</f>
        <v>Sales</v>
      </c>
      <c r="D1117" s="3" t="str">
        <f>'03_Actual_Opex'!D388</f>
        <v>A03</v>
      </c>
      <c r="E1117" s="9">
        <f>'03_Actual_Opex'!E388</f>
        <v>8000000</v>
      </c>
      <c r="F1117" s="9">
        <f>E1117*(1+_xlfn.XLOOKUP("Sales",'01_Assumptions'!$A$11:$A$18,'01_Assumptions'!$B$11:$B$18))</f>
        <v>8480000</v>
      </c>
    </row>
    <row r="1118" spans="1:6">
      <c r="A1118" s="5">
        <f>'03_Actual_Opex'!A389</f>
        <v>46023</v>
      </c>
      <c r="B1118" s="3" t="str">
        <f>'03_Actual_Opex'!B389</f>
        <v>D01</v>
      </c>
      <c r="C1118" s="3" t="str">
        <f>'03_Actual_Opex'!C389</f>
        <v>Sales</v>
      </c>
      <c r="D1118" s="3" t="str">
        <f>'03_Actual_Opex'!D389</f>
        <v>A04</v>
      </c>
      <c r="E1118" s="9">
        <f>'03_Actual_Opex'!E389</f>
        <v>8000000</v>
      </c>
      <c r="F1118" s="9">
        <f>E1118*(1+_xlfn.XLOOKUP("Sales",'01_Assumptions'!$A$11:$A$18,'01_Assumptions'!$B$11:$B$18))</f>
        <v>8480000</v>
      </c>
    </row>
    <row r="1119" spans="1:6">
      <c r="A1119" s="5">
        <f>'03_Actual_Opex'!A390</f>
        <v>46023</v>
      </c>
      <c r="B1119" s="3" t="str">
        <f>'03_Actual_Opex'!B390</f>
        <v>D02</v>
      </c>
      <c r="C1119" s="3" t="str">
        <f>'03_Actual_Opex'!C390</f>
        <v>Marketing</v>
      </c>
      <c r="D1119" s="3" t="str">
        <f>'03_Actual_Opex'!D390</f>
        <v>A01</v>
      </c>
      <c r="E1119" s="9">
        <f>'03_Actual_Opex'!E390</f>
        <v>30000000</v>
      </c>
      <c r="F1119" s="9">
        <f>E1119*(1+_xlfn.XLOOKUP("Marketing",'01_Assumptions'!$A$11:$A$18,'01_Assumptions'!$B$11:$B$18))</f>
        <v>32100000.000000004</v>
      </c>
    </row>
    <row r="1120" spans="1:6">
      <c r="A1120" s="5">
        <f>'03_Actual_Opex'!A391</f>
        <v>46023</v>
      </c>
      <c r="B1120" s="3" t="str">
        <f>'03_Actual_Opex'!B391</f>
        <v>D02</v>
      </c>
      <c r="C1120" s="3" t="str">
        <f>'03_Actual_Opex'!C391</f>
        <v>Marketing</v>
      </c>
      <c r="D1120" s="3" t="str">
        <f>'03_Actual_Opex'!D391</f>
        <v>A02</v>
      </c>
      <c r="E1120" s="9">
        <f>'03_Actual_Opex'!E391</f>
        <v>30000000</v>
      </c>
      <c r="F1120" s="9">
        <f>E1120*(1+_xlfn.XLOOKUP("Marketing",'01_Assumptions'!$A$11:$A$18,'01_Assumptions'!$B$11:$B$18))</f>
        <v>32100000.000000004</v>
      </c>
    </row>
    <row r="1121" spans="1:6">
      <c r="A1121" s="5">
        <f>'03_Actual_Opex'!A392</f>
        <v>46023</v>
      </c>
      <c r="B1121" s="3" t="str">
        <f>'03_Actual_Opex'!B392</f>
        <v>D02</v>
      </c>
      <c r="C1121" s="3" t="str">
        <f>'03_Actual_Opex'!C392</f>
        <v>Marketing</v>
      </c>
      <c r="D1121" s="3" t="str">
        <f>'03_Actual_Opex'!D392</f>
        <v>A03</v>
      </c>
      <c r="E1121" s="9">
        <f>'03_Actual_Opex'!E392</f>
        <v>30000000</v>
      </c>
      <c r="F1121" s="9">
        <f>E1121*(1+_xlfn.XLOOKUP("Marketing",'01_Assumptions'!$A$11:$A$18,'01_Assumptions'!$B$11:$B$18))</f>
        <v>32100000.000000004</v>
      </c>
    </row>
    <row r="1122" spans="1:6">
      <c r="A1122" s="5">
        <f>'03_Actual_Opex'!A393</f>
        <v>46023</v>
      </c>
      <c r="B1122" s="3" t="str">
        <f>'03_Actual_Opex'!B393</f>
        <v>D02</v>
      </c>
      <c r="C1122" s="3" t="str">
        <f>'03_Actual_Opex'!C393</f>
        <v>Marketing</v>
      </c>
      <c r="D1122" s="3" t="str">
        <f>'03_Actual_Opex'!D393</f>
        <v>A04</v>
      </c>
      <c r="E1122" s="9">
        <f>'03_Actual_Opex'!E393</f>
        <v>30000000</v>
      </c>
      <c r="F1122" s="9">
        <f>E1122*(1+_xlfn.XLOOKUP("Marketing",'01_Assumptions'!$A$11:$A$18,'01_Assumptions'!$B$11:$B$18))</f>
        <v>32100000.000000004</v>
      </c>
    </row>
    <row r="1123" spans="1:6">
      <c r="A1123" s="5">
        <f>'03_Actual_Opex'!A394</f>
        <v>46023</v>
      </c>
      <c r="B1123" s="3" t="str">
        <f>'03_Actual_Opex'!B394</f>
        <v>D03</v>
      </c>
      <c r="C1123" s="3" t="str">
        <f>'03_Actual_Opex'!C394</f>
        <v>R&amp;D</v>
      </c>
      <c r="D1123" s="3" t="str">
        <f>'03_Actual_Opex'!D394</f>
        <v>A01</v>
      </c>
      <c r="E1123" s="9">
        <f>'03_Actual_Opex'!E394</f>
        <v>20000000</v>
      </c>
      <c r="F1123" s="9">
        <f>E1123*(1+_xlfn.XLOOKUP("R&amp;D",'01_Assumptions'!$A$11:$A$18,'01_Assumptions'!$B$11:$B$18))</f>
        <v>21800000</v>
      </c>
    </row>
    <row r="1124" spans="1:6">
      <c r="A1124" s="5">
        <f>'03_Actual_Opex'!A395</f>
        <v>46023</v>
      </c>
      <c r="B1124" s="3" t="str">
        <f>'03_Actual_Opex'!B395</f>
        <v>D03</v>
      </c>
      <c r="C1124" s="3" t="str">
        <f>'03_Actual_Opex'!C395</f>
        <v>R&amp;D</v>
      </c>
      <c r="D1124" s="3" t="str">
        <f>'03_Actual_Opex'!D395</f>
        <v>A02</v>
      </c>
      <c r="E1124" s="9">
        <f>'03_Actual_Opex'!E395</f>
        <v>20000000</v>
      </c>
      <c r="F1124" s="9">
        <f>E1124*(1+_xlfn.XLOOKUP("R&amp;D",'01_Assumptions'!$A$11:$A$18,'01_Assumptions'!$B$11:$B$18))</f>
        <v>21800000</v>
      </c>
    </row>
    <row r="1125" spans="1:6">
      <c r="A1125" s="5">
        <f>'03_Actual_Opex'!A396</f>
        <v>46023</v>
      </c>
      <c r="B1125" s="3" t="str">
        <f>'03_Actual_Opex'!B396</f>
        <v>D03</v>
      </c>
      <c r="C1125" s="3" t="str">
        <f>'03_Actual_Opex'!C396</f>
        <v>R&amp;D</v>
      </c>
      <c r="D1125" s="3" t="str">
        <f>'03_Actual_Opex'!D396</f>
        <v>A03</v>
      </c>
      <c r="E1125" s="9">
        <f>'03_Actual_Opex'!E396</f>
        <v>20000000</v>
      </c>
      <c r="F1125" s="9">
        <f>E1125*(1+_xlfn.XLOOKUP("R&amp;D",'01_Assumptions'!$A$11:$A$18,'01_Assumptions'!$B$11:$B$18))</f>
        <v>21800000</v>
      </c>
    </row>
    <row r="1126" spans="1:6">
      <c r="A1126" s="5">
        <f>'03_Actual_Opex'!A397</f>
        <v>46023</v>
      </c>
      <c r="B1126" s="3" t="str">
        <f>'03_Actual_Opex'!B397</f>
        <v>D03</v>
      </c>
      <c r="C1126" s="3" t="str">
        <f>'03_Actual_Opex'!C397</f>
        <v>R&amp;D</v>
      </c>
      <c r="D1126" s="3" t="str">
        <f>'03_Actual_Opex'!D397</f>
        <v>A04</v>
      </c>
      <c r="E1126" s="9">
        <f>'03_Actual_Opex'!E397</f>
        <v>20000000</v>
      </c>
      <c r="F1126" s="9">
        <f>E1126*(1+_xlfn.XLOOKUP("R&amp;D",'01_Assumptions'!$A$11:$A$18,'01_Assumptions'!$B$11:$B$18))</f>
        <v>21800000</v>
      </c>
    </row>
    <row r="1127" spans="1:6">
      <c r="A1127" s="5">
        <f>'03_Actual_Opex'!A398</f>
        <v>46023</v>
      </c>
      <c r="B1127" s="3" t="str">
        <f>'03_Actual_Opex'!B398</f>
        <v>D04</v>
      </c>
      <c r="C1127" s="3" t="str">
        <f>'03_Actual_Opex'!C398</f>
        <v>G&amp;A</v>
      </c>
      <c r="D1127" s="3" t="str">
        <f>'03_Actual_Opex'!D398</f>
        <v>A01</v>
      </c>
      <c r="E1127" s="9">
        <f>'03_Actual_Opex'!E398</f>
        <v>8000000</v>
      </c>
      <c r="F1127" s="9">
        <f>E1127*(1+_xlfn.XLOOKUP("G&amp;A",'01_Assumptions'!$A$11:$A$18,'01_Assumptions'!$B$11:$B$18))</f>
        <v>8400000</v>
      </c>
    </row>
    <row r="1128" spans="1:6">
      <c r="A1128" s="5">
        <f>'03_Actual_Opex'!A399</f>
        <v>46023</v>
      </c>
      <c r="B1128" s="3" t="str">
        <f>'03_Actual_Opex'!B399</f>
        <v>D04</v>
      </c>
      <c r="C1128" s="3" t="str">
        <f>'03_Actual_Opex'!C399</f>
        <v>G&amp;A</v>
      </c>
      <c r="D1128" s="3" t="str">
        <f>'03_Actual_Opex'!D399</f>
        <v>A02</v>
      </c>
      <c r="E1128" s="9">
        <f>'03_Actual_Opex'!E399</f>
        <v>8000000</v>
      </c>
      <c r="F1128" s="9">
        <f>E1128*(1+_xlfn.XLOOKUP("G&amp;A",'01_Assumptions'!$A$11:$A$18,'01_Assumptions'!$B$11:$B$18))</f>
        <v>8400000</v>
      </c>
    </row>
    <row r="1129" spans="1:6">
      <c r="A1129" s="5">
        <f>'03_Actual_Opex'!A400</f>
        <v>46023</v>
      </c>
      <c r="B1129" s="3" t="str">
        <f>'03_Actual_Opex'!B400</f>
        <v>D04</v>
      </c>
      <c r="C1129" s="3" t="str">
        <f>'03_Actual_Opex'!C400</f>
        <v>G&amp;A</v>
      </c>
      <c r="D1129" s="3" t="str">
        <f>'03_Actual_Opex'!D400</f>
        <v>A03</v>
      </c>
      <c r="E1129" s="9">
        <f>'03_Actual_Opex'!E400</f>
        <v>8000000</v>
      </c>
      <c r="F1129" s="9">
        <f>E1129*(1+_xlfn.XLOOKUP("G&amp;A",'01_Assumptions'!$A$11:$A$18,'01_Assumptions'!$B$11:$B$18))</f>
        <v>8400000</v>
      </c>
    </row>
    <row r="1130" spans="1:6">
      <c r="A1130" s="5">
        <f>'03_Actual_Opex'!A401</f>
        <v>46023</v>
      </c>
      <c r="B1130" s="3" t="str">
        <f>'03_Actual_Opex'!B401</f>
        <v>D04</v>
      </c>
      <c r="C1130" s="3" t="str">
        <f>'03_Actual_Opex'!C401</f>
        <v>G&amp;A</v>
      </c>
      <c r="D1130" s="3" t="str">
        <f>'03_Actual_Opex'!D401</f>
        <v>A04</v>
      </c>
      <c r="E1130" s="9">
        <f>'03_Actual_Opex'!E401</f>
        <v>8000000</v>
      </c>
      <c r="F1130" s="9">
        <f>E1130*(1+_xlfn.XLOOKUP("G&amp;A",'01_Assumptions'!$A$11:$A$18,'01_Assumptions'!$B$11:$B$18))</f>
        <v>8400000</v>
      </c>
    </row>
    <row r="1131" spans="1:6">
      <c r="A1131" s="5">
        <f>'03_Actual_Opex'!A402</f>
        <v>46023</v>
      </c>
      <c r="B1131" s="3" t="str">
        <f>'03_Actual_Opex'!B402</f>
        <v>D05</v>
      </c>
      <c r="C1131" s="3" t="str">
        <f>'03_Actual_Opex'!C402</f>
        <v>IT</v>
      </c>
      <c r="D1131" s="3" t="str">
        <f>'03_Actual_Opex'!D402</f>
        <v>A01</v>
      </c>
      <c r="E1131" s="9">
        <f>'03_Actual_Opex'!E402</f>
        <v>12000000</v>
      </c>
      <c r="F1131" s="9">
        <f>E1131*(1+_xlfn.XLOOKUP("IT",'01_Assumptions'!$A$11:$A$18,'01_Assumptions'!$B$11:$B$18))</f>
        <v>12960000</v>
      </c>
    </row>
    <row r="1132" spans="1:6">
      <c r="A1132" s="5">
        <f>'03_Actual_Opex'!A403</f>
        <v>46023</v>
      </c>
      <c r="B1132" s="3" t="str">
        <f>'03_Actual_Opex'!B403</f>
        <v>D05</v>
      </c>
      <c r="C1132" s="3" t="str">
        <f>'03_Actual_Opex'!C403</f>
        <v>IT</v>
      </c>
      <c r="D1132" s="3" t="str">
        <f>'03_Actual_Opex'!D403</f>
        <v>A02</v>
      </c>
      <c r="E1132" s="9">
        <f>'03_Actual_Opex'!E403</f>
        <v>12000000</v>
      </c>
      <c r="F1132" s="9">
        <f>E1132*(1+_xlfn.XLOOKUP("IT",'01_Assumptions'!$A$11:$A$18,'01_Assumptions'!$B$11:$B$18))</f>
        <v>12960000</v>
      </c>
    </row>
    <row r="1133" spans="1:6">
      <c r="A1133" s="5">
        <f>'03_Actual_Opex'!A404</f>
        <v>46023</v>
      </c>
      <c r="B1133" s="3" t="str">
        <f>'03_Actual_Opex'!B404</f>
        <v>D05</v>
      </c>
      <c r="C1133" s="3" t="str">
        <f>'03_Actual_Opex'!C404</f>
        <v>IT</v>
      </c>
      <c r="D1133" s="3" t="str">
        <f>'03_Actual_Opex'!D404</f>
        <v>A03</v>
      </c>
      <c r="E1133" s="9">
        <f>'03_Actual_Opex'!E404</f>
        <v>12000000</v>
      </c>
      <c r="F1133" s="9">
        <f>E1133*(1+_xlfn.XLOOKUP("IT",'01_Assumptions'!$A$11:$A$18,'01_Assumptions'!$B$11:$B$18))</f>
        <v>12960000</v>
      </c>
    </row>
    <row r="1134" spans="1:6">
      <c r="A1134" s="5">
        <f>'03_Actual_Opex'!A405</f>
        <v>46023</v>
      </c>
      <c r="B1134" s="3" t="str">
        <f>'03_Actual_Opex'!B405</f>
        <v>D05</v>
      </c>
      <c r="C1134" s="3" t="str">
        <f>'03_Actual_Opex'!C405</f>
        <v>IT</v>
      </c>
      <c r="D1134" s="3" t="str">
        <f>'03_Actual_Opex'!D405</f>
        <v>A04</v>
      </c>
      <c r="E1134" s="9">
        <f>'03_Actual_Opex'!E405</f>
        <v>12000000</v>
      </c>
      <c r="F1134" s="9">
        <f>E1134*(1+_xlfn.XLOOKUP("IT",'01_Assumptions'!$A$11:$A$18,'01_Assumptions'!$B$11:$B$18))</f>
        <v>12960000</v>
      </c>
    </row>
    <row r="1135" spans="1:6">
      <c r="A1135" s="5">
        <f>'03_Actual_Opex'!A406</f>
        <v>46023</v>
      </c>
      <c r="B1135" s="3" t="str">
        <f>'03_Actual_Opex'!B406</f>
        <v>D06</v>
      </c>
      <c r="C1135" s="3" t="str">
        <f>'03_Actual_Opex'!C406</f>
        <v>Customer Operations</v>
      </c>
      <c r="D1135" s="3" t="str">
        <f>'03_Actual_Opex'!D406</f>
        <v>A01</v>
      </c>
      <c r="E1135" s="9">
        <f>'03_Actual_Opex'!E406</f>
        <v>10000000</v>
      </c>
      <c r="F1135" s="9">
        <f>E1135*(1+_xlfn.XLOOKUP("Customer Operations",'01_Assumptions'!$A$11:$A$18,'01_Assumptions'!$B$11:$B$18))</f>
        <v>10600000</v>
      </c>
    </row>
    <row r="1136" spans="1:6">
      <c r="A1136" s="5">
        <f>'03_Actual_Opex'!A407</f>
        <v>46023</v>
      </c>
      <c r="B1136" s="3" t="str">
        <f>'03_Actual_Opex'!B407</f>
        <v>D06</v>
      </c>
      <c r="C1136" s="3" t="str">
        <f>'03_Actual_Opex'!C407</f>
        <v>Customer Operations</v>
      </c>
      <c r="D1136" s="3" t="str">
        <f>'03_Actual_Opex'!D407</f>
        <v>A02</v>
      </c>
      <c r="E1136" s="9">
        <f>'03_Actual_Opex'!E407</f>
        <v>10000000</v>
      </c>
      <c r="F1136" s="9">
        <f>E1136*(1+_xlfn.XLOOKUP("Customer Operations",'01_Assumptions'!$A$11:$A$18,'01_Assumptions'!$B$11:$B$18))</f>
        <v>10600000</v>
      </c>
    </row>
    <row r="1137" spans="1:6">
      <c r="A1137" s="5">
        <f>'03_Actual_Opex'!A408</f>
        <v>46023</v>
      </c>
      <c r="B1137" s="3" t="str">
        <f>'03_Actual_Opex'!B408</f>
        <v>D06</v>
      </c>
      <c r="C1137" s="3" t="str">
        <f>'03_Actual_Opex'!C408</f>
        <v>Customer Operations</v>
      </c>
      <c r="D1137" s="3" t="str">
        <f>'03_Actual_Opex'!D408</f>
        <v>A03</v>
      </c>
      <c r="E1137" s="9">
        <f>'03_Actual_Opex'!E408</f>
        <v>10000000</v>
      </c>
      <c r="F1137" s="9">
        <f>E1137*(1+_xlfn.XLOOKUP("Customer Operations",'01_Assumptions'!$A$11:$A$18,'01_Assumptions'!$B$11:$B$18))</f>
        <v>10600000</v>
      </c>
    </row>
    <row r="1138" spans="1:6">
      <c r="A1138" s="5">
        <f>'03_Actual_Opex'!A409</f>
        <v>46023</v>
      </c>
      <c r="B1138" s="3" t="str">
        <f>'03_Actual_Opex'!B409</f>
        <v>D06</v>
      </c>
      <c r="C1138" s="3" t="str">
        <f>'03_Actual_Opex'!C409</f>
        <v>Customer Operations</v>
      </c>
      <c r="D1138" s="3" t="str">
        <f>'03_Actual_Opex'!D409</f>
        <v>A04</v>
      </c>
      <c r="E1138" s="9">
        <f>'03_Actual_Opex'!E409</f>
        <v>10000000</v>
      </c>
      <c r="F1138" s="9">
        <f>E1138*(1+_xlfn.XLOOKUP("Customer Operations",'01_Assumptions'!$A$11:$A$18,'01_Assumptions'!$B$11:$B$18))</f>
        <v>10600000</v>
      </c>
    </row>
    <row r="1139" spans="1:6">
      <c r="A1139" s="5">
        <f>'03_Actual_Opex'!A410</f>
        <v>46023</v>
      </c>
      <c r="B1139" s="3" t="str">
        <f>'03_Actual_Opex'!B410</f>
        <v>D07</v>
      </c>
      <c r="C1139" s="3" t="str">
        <f>'03_Actual_Opex'!C410</f>
        <v>HR</v>
      </c>
      <c r="D1139" s="3" t="str">
        <f>'03_Actual_Opex'!D410</f>
        <v>A01</v>
      </c>
      <c r="E1139" s="9">
        <f>'03_Actual_Opex'!E410</f>
        <v>3000000</v>
      </c>
      <c r="F1139" s="9">
        <f>E1139*(1+_xlfn.XLOOKUP("HR",'01_Assumptions'!$A$11:$A$18,'01_Assumptions'!$B$11:$B$18))</f>
        <v>3150000</v>
      </c>
    </row>
    <row r="1140" spans="1:6">
      <c r="A1140" s="5">
        <f>'03_Actual_Opex'!A411</f>
        <v>46023</v>
      </c>
      <c r="B1140" s="3" t="str">
        <f>'03_Actual_Opex'!B411</f>
        <v>D07</v>
      </c>
      <c r="C1140" s="3" t="str">
        <f>'03_Actual_Opex'!C411</f>
        <v>HR</v>
      </c>
      <c r="D1140" s="3" t="str">
        <f>'03_Actual_Opex'!D411</f>
        <v>A02</v>
      </c>
      <c r="E1140" s="9">
        <f>'03_Actual_Opex'!E411</f>
        <v>3000000</v>
      </c>
      <c r="F1140" s="9">
        <f>E1140*(1+_xlfn.XLOOKUP("HR",'01_Assumptions'!$A$11:$A$18,'01_Assumptions'!$B$11:$B$18))</f>
        <v>3150000</v>
      </c>
    </row>
    <row r="1141" spans="1:6">
      <c r="A1141" s="5">
        <f>'03_Actual_Opex'!A412</f>
        <v>46023</v>
      </c>
      <c r="B1141" s="3" t="str">
        <f>'03_Actual_Opex'!B412</f>
        <v>D07</v>
      </c>
      <c r="C1141" s="3" t="str">
        <f>'03_Actual_Opex'!C412</f>
        <v>HR</v>
      </c>
      <c r="D1141" s="3" t="str">
        <f>'03_Actual_Opex'!D412</f>
        <v>A03</v>
      </c>
      <c r="E1141" s="9">
        <f>'03_Actual_Opex'!E412</f>
        <v>3000000</v>
      </c>
      <c r="F1141" s="9">
        <f>E1141*(1+_xlfn.XLOOKUP("HR",'01_Assumptions'!$A$11:$A$18,'01_Assumptions'!$B$11:$B$18))</f>
        <v>3150000</v>
      </c>
    </row>
    <row r="1142" spans="1:6">
      <c r="A1142" s="5">
        <f>'03_Actual_Opex'!A413</f>
        <v>46023</v>
      </c>
      <c r="B1142" s="3" t="str">
        <f>'03_Actual_Opex'!B413</f>
        <v>D07</v>
      </c>
      <c r="C1142" s="3" t="str">
        <f>'03_Actual_Opex'!C413</f>
        <v>HR</v>
      </c>
      <c r="D1142" s="3" t="str">
        <f>'03_Actual_Opex'!D413</f>
        <v>A04</v>
      </c>
      <c r="E1142" s="9">
        <f>'03_Actual_Opex'!E413</f>
        <v>3000000</v>
      </c>
      <c r="F1142" s="9">
        <f>E1142*(1+_xlfn.XLOOKUP("HR",'01_Assumptions'!$A$11:$A$18,'01_Assumptions'!$B$11:$B$18))</f>
        <v>3150000</v>
      </c>
    </row>
    <row r="1143" spans="1:6">
      <c r="A1143" s="5">
        <f>'03_Actual_Opex'!A414</f>
        <v>46023</v>
      </c>
      <c r="B1143" s="3" t="str">
        <f>'03_Actual_Opex'!B414</f>
        <v>D08</v>
      </c>
      <c r="C1143" s="3" t="str">
        <f>'03_Actual_Opex'!C414</f>
        <v>Facilities</v>
      </c>
      <c r="D1143" s="3" t="str">
        <f>'03_Actual_Opex'!D414</f>
        <v>A01</v>
      </c>
      <c r="E1143" s="9">
        <f>'03_Actual_Opex'!E414</f>
        <v>8000000</v>
      </c>
      <c r="F1143" s="9">
        <f>E1143*(1+_xlfn.XLOOKUP("Facilities",'01_Assumptions'!$A$11:$A$18,'01_Assumptions'!$B$11:$B$18))</f>
        <v>8400000</v>
      </c>
    </row>
    <row r="1144" spans="1:6">
      <c r="A1144" s="5">
        <f>'03_Actual_Opex'!A415</f>
        <v>46023</v>
      </c>
      <c r="B1144" s="3" t="str">
        <f>'03_Actual_Opex'!B415</f>
        <v>D08</v>
      </c>
      <c r="C1144" s="3" t="str">
        <f>'03_Actual_Opex'!C415</f>
        <v>Facilities</v>
      </c>
      <c r="D1144" s="3" t="str">
        <f>'03_Actual_Opex'!D415</f>
        <v>A02</v>
      </c>
      <c r="E1144" s="9">
        <f>'03_Actual_Opex'!E415</f>
        <v>8000000</v>
      </c>
      <c r="F1144" s="9">
        <f>E1144*(1+_xlfn.XLOOKUP("Facilities",'01_Assumptions'!$A$11:$A$18,'01_Assumptions'!$B$11:$B$18))</f>
        <v>8400000</v>
      </c>
    </row>
    <row r="1145" spans="1:6">
      <c r="A1145" s="5">
        <f>'03_Actual_Opex'!A416</f>
        <v>46023</v>
      </c>
      <c r="B1145" s="3" t="str">
        <f>'03_Actual_Opex'!B416</f>
        <v>D08</v>
      </c>
      <c r="C1145" s="3" t="str">
        <f>'03_Actual_Opex'!C416</f>
        <v>Facilities</v>
      </c>
      <c r="D1145" s="3" t="str">
        <f>'03_Actual_Opex'!D416</f>
        <v>A03</v>
      </c>
      <c r="E1145" s="9">
        <f>'03_Actual_Opex'!E416</f>
        <v>8000000</v>
      </c>
      <c r="F1145" s="9">
        <f>E1145*(1+_xlfn.XLOOKUP("Facilities",'01_Assumptions'!$A$11:$A$18,'01_Assumptions'!$B$11:$B$18))</f>
        <v>8400000</v>
      </c>
    </row>
    <row r="1146" spans="1:6">
      <c r="A1146" s="5">
        <f>'03_Actual_Opex'!A417</f>
        <v>46023</v>
      </c>
      <c r="B1146" s="3" t="str">
        <f>'03_Actual_Opex'!B417</f>
        <v>D08</v>
      </c>
      <c r="C1146" s="3" t="str">
        <f>'03_Actual_Opex'!C417</f>
        <v>Facilities</v>
      </c>
      <c r="D1146" s="3" t="str">
        <f>'03_Actual_Opex'!D417</f>
        <v>A04</v>
      </c>
      <c r="E1146" s="9">
        <f>'03_Actual_Opex'!E417</f>
        <v>8000000</v>
      </c>
      <c r="F1146" s="9">
        <f>E1146*(1+_xlfn.XLOOKUP("Facilities",'01_Assumptions'!$A$11:$A$18,'01_Assumptions'!$B$11:$B$18))</f>
        <v>8400000</v>
      </c>
    </row>
    <row r="1147" spans="1:6">
      <c r="A1147" s="5">
        <f>'03_Actual_Opex'!A418</f>
        <v>46054</v>
      </c>
      <c r="B1147" s="3" t="str">
        <f>'03_Actual_Opex'!B418</f>
        <v>D01</v>
      </c>
      <c r="C1147" s="3" t="str">
        <f>'03_Actual_Opex'!C418</f>
        <v>Sales</v>
      </c>
      <c r="D1147" s="3" t="str">
        <f>'03_Actual_Opex'!D418</f>
        <v>A01</v>
      </c>
      <c r="E1147" s="9">
        <f>'03_Actual_Opex'!E418</f>
        <v>8000000</v>
      </c>
      <c r="F1147" s="9">
        <f>E1147*(1+_xlfn.XLOOKUP("Sales",'01_Assumptions'!$A$11:$A$18,'01_Assumptions'!$B$11:$B$18))</f>
        <v>8480000</v>
      </c>
    </row>
    <row r="1148" spans="1:6">
      <c r="A1148" s="5">
        <f>'03_Actual_Opex'!A419</f>
        <v>46054</v>
      </c>
      <c r="B1148" s="3" t="str">
        <f>'03_Actual_Opex'!B419</f>
        <v>D01</v>
      </c>
      <c r="C1148" s="3" t="str">
        <f>'03_Actual_Opex'!C419</f>
        <v>Sales</v>
      </c>
      <c r="D1148" s="3" t="str">
        <f>'03_Actual_Opex'!D419</f>
        <v>A02</v>
      </c>
      <c r="E1148" s="9">
        <f>'03_Actual_Opex'!E419</f>
        <v>8000000</v>
      </c>
      <c r="F1148" s="9">
        <f>E1148*(1+_xlfn.XLOOKUP("Sales",'01_Assumptions'!$A$11:$A$18,'01_Assumptions'!$B$11:$B$18))</f>
        <v>8480000</v>
      </c>
    </row>
    <row r="1149" spans="1:6">
      <c r="A1149" s="5">
        <f>'03_Actual_Opex'!A420</f>
        <v>46054</v>
      </c>
      <c r="B1149" s="3" t="str">
        <f>'03_Actual_Opex'!B420</f>
        <v>D01</v>
      </c>
      <c r="C1149" s="3" t="str">
        <f>'03_Actual_Opex'!C420</f>
        <v>Sales</v>
      </c>
      <c r="D1149" s="3" t="str">
        <f>'03_Actual_Opex'!D420</f>
        <v>A03</v>
      </c>
      <c r="E1149" s="9">
        <f>'03_Actual_Opex'!E420</f>
        <v>8000000</v>
      </c>
      <c r="F1149" s="9">
        <f>E1149*(1+_xlfn.XLOOKUP("Sales",'01_Assumptions'!$A$11:$A$18,'01_Assumptions'!$B$11:$B$18))</f>
        <v>8480000</v>
      </c>
    </row>
    <row r="1150" spans="1:6">
      <c r="A1150" s="5">
        <f>'03_Actual_Opex'!A421</f>
        <v>46054</v>
      </c>
      <c r="B1150" s="3" t="str">
        <f>'03_Actual_Opex'!B421</f>
        <v>D01</v>
      </c>
      <c r="C1150" s="3" t="str">
        <f>'03_Actual_Opex'!C421</f>
        <v>Sales</v>
      </c>
      <c r="D1150" s="3" t="str">
        <f>'03_Actual_Opex'!D421</f>
        <v>A04</v>
      </c>
      <c r="E1150" s="9">
        <f>'03_Actual_Opex'!E421</f>
        <v>8000000</v>
      </c>
      <c r="F1150" s="9">
        <f>E1150*(1+_xlfn.XLOOKUP("Sales",'01_Assumptions'!$A$11:$A$18,'01_Assumptions'!$B$11:$B$18))</f>
        <v>8480000</v>
      </c>
    </row>
    <row r="1151" spans="1:6">
      <c r="A1151" s="5">
        <f>'03_Actual_Opex'!A422</f>
        <v>46054</v>
      </c>
      <c r="B1151" s="3" t="str">
        <f>'03_Actual_Opex'!B422</f>
        <v>D02</v>
      </c>
      <c r="C1151" s="3" t="str">
        <f>'03_Actual_Opex'!C422</f>
        <v>Marketing</v>
      </c>
      <c r="D1151" s="3" t="str">
        <f>'03_Actual_Opex'!D422</f>
        <v>A01</v>
      </c>
      <c r="E1151" s="9">
        <f>'03_Actual_Opex'!E422</f>
        <v>30000000</v>
      </c>
      <c r="F1151" s="9">
        <f>E1151*(1+_xlfn.XLOOKUP("Marketing",'01_Assumptions'!$A$11:$A$18,'01_Assumptions'!$B$11:$B$18))</f>
        <v>32100000.000000004</v>
      </c>
    </row>
    <row r="1152" spans="1:6">
      <c r="A1152" s="5">
        <f>'03_Actual_Opex'!A423</f>
        <v>46054</v>
      </c>
      <c r="B1152" s="3" t="str">
        <f>'03_Actual_Opex'!B423</f>
        <v>D02</v>
      </c>
      <c r="C1152" s="3" t="str">
        <f>'03_Actual_Opex'!C423</f>
        <v>Marketing</v>
      </c>
      <c r="D1152" s="3" t="str">
        <f>'03_Actual_Opex'!D423</f>
        <v>A02</v>
      </c>
      <c r="E1152" s="9">
        <f>'03_Actual_Opex'!E423</f>
        <v>30000000</v>
      </c>
      <c r="F1152" s="9">
        <f>E1152*(1+_xlfn.XLOOKUP("Marketing",'01_Assumptions'!$A$11:$A$18,'01_Assumptions'!$B$11:$B$18))</f>
        <v>32100000.000000004</v>
      </c>
    </row>
    <row r="1153" spans="1:6">
      <c r="A1153" s="5">
        <f>'03_Actual_Opex'!A424</f>
        <v>46054</v>
      </c>
      <c r="B1153" s="3" t="str">
        <f>'03_Actual_Opex'!B424</f>
        <v>D02</v>
      </c>
      <c r="C1153" s="3" t="str">
        <f>'03_Actual_Opex'!C424</f>
        <v>Marketing</v>
      </c>
      <c r="D1153" s="3" t="str">
        <f>'03_Actual_Opex'!D424</f>
        <v>A03</v>
      </c>
      <c r="E1153" s="9">
        <f>'03_Actual_Opex'!E424</f>
        <v>30000000</v>
      </c>
      <c r="F1153" s="9">
        <f>E1153*(1+_xlfn.XLOOKUP("Marketing",'01_Assumptions'!$A$11:$A$18,'01_Assumptions'!$B$11:$B$18))</f>
        <v>32100000.000000004</v>
      </c>
    </row>
    <row r="1154" spans="1:6">
      <c r="A1154" s="5">
        <f>'03_Actual_Opex'!A425</f>
        <v>46054</v>
      </c>
      <c r="B1154" s="3" t="str">
        <f>'03_Actual_Opex'!B425</f>
        <v>D02</v>
      </c>
      <c r="C1154" s="3" t="str">
        <f>'03_Actual_Opex'!C425</f>
        <v>Marketing</v>
      </c>
      <c r="D1154" s="3" t="str">
        <f>'03_Actual_Opex'!D425</f>
        <v>A04</v>
      </c>
      <c r="E1154" s="9">
        <f>'03_Actual_Opex'!E425</f>
        <v>30000000</v>
      </c>
      <c r="F1154" s="9">
        <f>E1154*(1+_xlfn.XLOOKUP("Marketing",'01_Assumptions'!$A$11:$A$18,'01_Assumptions'!$B$11:$B$18))</f>
        <v>32100000.000000004</v>
      </c>
    </row>
    <row r="1155" spans="1:6">
      <c r="A1155" s="5">
        <f>'03_Actual_Opex'!A426</f>
        <v>46054</v>
      </c>
      <c r="B1155" s="3" t="str">
        <f>'03_Actual_Opex'!B426</f>
        <v>D03</v>
      </c>
      <c r="C1155" s="3" t="str">
        <f>'03_Actual_Opex'!C426</f>
        <v>R&amp;D</v>
      </c>
      <c r="D1155" s="3" t="str">
        <f>'03_Actual_Opex'!D426</f>
        <v>A01</v>
      </c>
      <c r="E1155" s="9">
        <f>'03_Actual_Opex'!E426</f>
        <v>20000000</v>
      </c>
      <c r="F1155" s="9">
        <f>E1155*(1+_xlfn.XLOOKUP("R&amp;D",'01_Assumptions'!$A$11:$A$18,'01_Assumptions'!$B$11:$B$18))</f>
        <v>21800000</v>
      </c>
    </row>
    <row r="1156" spans="1:6">
      <c r="A1156" s="5">
        <f>'03_Actual_Opex'!A427</f>
        <v>46054</v>
      </c>
      <c r="B1156" s="3" t="str">
        <f>'03_Actual_Opex'!B427</f>
        <v>D03</v>
      </c>
      <c r="C1156" s="3" t="str">
        <f>'03_Actual_Opex'!C427</f>
        <v>R&amp;D</v>
      </c>
      <c r="D1156" s="3" t="str">
        <f>'03_Actual_Opex'!D427</f>
        <v>A02</v>
      </c>
      <c r="E1156" s="9">
        <f>'03_Actual_Opex'!E427</f>
        <v>20000000</v>
      </c>
      <c r="F1156" s="9">
        <f>E1156*(1+_xlfn.XLOOKUP("R&amp;D",'01_Assumptions'!$A$11:$A$18,'01_Assumptions'!$B$11:$B$18))</f>
        <v>21800000</v>
      </c>
    </row>
    <row r="1157" spans="1:6">
      <c r="A1157" s="5">
        <f>'03_Actual_Opex'!A428</f>
        <v>46054</v>
      </c>
      <c r="B1157" s="3" t="str">
        <f>'03_Actual_Opex'!B428</f>
        <v>D03</v>
      </c>
      <c r="C1157" s="3" t="str">
        <f>'03_Actual_Opex'!C428</f>
        <v>R&amp;D</v>
      </c>
      <c r="D1157" s="3" t="str">
        <f>'03_Actual_Opex'!D428</f>
        <v>A03</v>
      </c>
      <c r="E1157" s="9">
        <f>'03_Actual_Opex'!E428</f>
        <v>20000000</v>
      </c>
      <c r="F1157" s="9">
        <f>E1157*(1+_xlfn.XLOOKUP("R&amp;D",'01_Assumptions'!$A$11:$A$18,'01_Assumptions'!$B$11:$B$18))</f>
        <v>21800000</v>
      </c>
    </row>
    <row r="1158" spans="1:6">
      <c r="A1158" s="5">
        <f>'03_Actual_Opex'!A429</f>
        <v>46054</v>
      </c>
      <c r="B1158" s="3" t="str">
        <f>'03_Actual_Opex'!B429</f>
        <v>D03</v>
      </c>
      <c r="C1158" s="3" t="str">
        <f>'03_Actual_Opex'!C429</f>
        <v>R&amp;D</v>
      </c>
      <c r="D1158" s="3" t="str">
        <f>'03_Actual_Opex'!D429</f>
        <v>A04</v>
      </c>
      <c r="E1158" s="9">
        <f>'03_Actual_Opex'!E429</f>
        <v>20000000</v>
      </c>
      <c r="F1158" s="9">
        <f>E1158*(1+_xlfn.XLOOKUP("R&amp;D",'01_Assumptions'!$A$11:$A$18,'01_Assumptions'!$B$11:$B$18))</f>
        <v>21800000</v>
      </c>
    </row>
    <row r="1159" spans="1:6">
      <c r="A1159" s="5">
        <f>'03_Actual_Opex'!A430</f>
        <v>46054</v>
      </c>
      <c r="B1159" s="3" t="str">
        <f>'03_Actual_Opex'!B430</f>
        <v>D04</v>
      </c>
      <c r="C1159" s="3" t="str">
        <f>'03_Actual_Opex'!C430</f>
        <v>G&amp;A</v>
      </c>
      <c r="D1159" s="3" t="str">
        <f>'03_Actual_Opex'!D430</f>
        <v>A01</v>
      </c>
      <c r="E1159" s="9">
        <f>'03_Actual_Opex'!E430</f>
        <v>8000000</v>
      </c>
      <c r="F1159" s="9">
        <f>E1159*(1+_xlfn.XLOOKUP("G&amp;A",'01_Assumptions'!$A$11:$A$18,'01_Assumptions'!$B$11:$B$18))</f>
        <v>8400000</v>
      </c>
    </row>
    <row r="1160" spans="1:6">
      <c r="A1160" s="5">
        <f>'03_Actual_Opex'!A431</f>
        <v>46054</v>
      </c>
      <c r="B1160" s="3" t="str">
        <f>'03_Actual_Opex'!B431</f>
        <v>D04</v>
      </c>
      <c r="C1160" s="3" t="str">
        <f>'03_Actual_Opex'!C431</f>
        <v>G&amp;A</v>
      </c>
      <c r="D1160" s="3" t="str">
        <f>'03_Actual_Opex'!D431</f>
        <v>A02</v>
      </c>
      <c r="E1160" s="9">
        <f>'03_Actual_Opex'!E431</f>
        <v>8000000</v>
      </c>
      <c r="F1160" s="9">
        <f>E1160*(1+_xlfn.XLOOKUP("G&amp;A",'01_Assumptions'!$A$11:$A$18,'01_Assumptions'!$B$11:$B$18))</f>
        <v>8400000</v>
      </c>
    </row>
    <row r="1161" spans="1:6">
      <c r="A1161" s="5">
        <f>'03_Actual_Opex'!A432</f>
        <v>46054</v>
      </c>
      <c r="B1161" s="3" t="str">
        <f>'03_Actual_Opex'!B432</f>
        <v>D04</v>
      </c>
      <c r="C1161" s="3" t="str">
        <f>'03_Actual_Opex'!C432</f>
        <v>G&amp;A</v>
      </c>
      <c r="D1161" s="3" t="str">
        <f>'03_Actual_Opex'!D432</f>
        <v>A03</v>
      </c>
      <c r="E1161" s="9">
        <f>'03_Actual_Opex'!E432</f>
        <v>8000000</v>
      </c>
      <c r="F1161" s="9">
        <f>E1161*(1+_xlfn.XLOOKUP("G&amp;A",'01_Assumptions'!$A$11:$A$18,'01_Assumptions'!$B$11:$B$18))</f>
        <v>8400000</v>
      </c>
    </row>
    <row r="1162" spans="1:6">
      <c r="A1162" s="5">
        <f>'03_Actual_Opex'!A433</f>
        <v>46054</v>
      </c>
      <c r="B1162" s="3" t="str">
        <f>'03_Actual_Opex'!B433</f>
        <v>D04</v>
      </c>
      <c r="C1162" s="3" t="str">
        <f>'03_Actual_Opex'!C433</f>
        <v>G&amp;A</v>
      </c>
      <c r="D1162" s="3" t="str">
        <f>'03_Actual_Opex'!D433</f>
        <v>A04</v>
      </c>
      <c r="E1162" s="9">
        <f>'03_Actual_Opex'!E433</f>
        <v>8000000</v>
      </c>
      <c r="F1162" s="9">
        <f>E1162*(1+_xlfn.XLOOKUP("G&amp;A",'01_Assumptions'!$A$11:$A$18,'01_Assumptions'!$B$11:$B$18))</f>
        <v>8400000</v>
      </c>
    </row>
    <row r="1163" spans="1:6">
      <c r="A1163" s="5">
        <f>'03_Actual_Opex'!A434</f>
        <v>46054</v>
      </c>
      <c r="B1163" s="3" t="str">
        <f>'03_Actual_Opex'!B434</f>
        <v>D05</v>
      </c>
      <c r="C1163" s="3" t="str">
        <f>'03_Actual_Opex'!C434</f>
        <v>IT</v>
      </c>
      <c r="D1163" s="3" t="str">
        <f>'03_Actual_Opex'!D434</f>
        <v>A01</v>
      </c>
      <c r="E1163" s="9">
        <f>'03_Actual_Opex'!E434</f>
        <v>12000000</v>
      </c>
      <c r="F1163" s="9">
        <f>E1163*(1+_xlfn.XLOOKUP("IT",'01_Assumptions'!$A$11:$A$18,'01_Assumptions'!$B$11:$B$18))</f>
        <v>12960000</v>
      </c>
    </row>
    <row r="1164" spans="1:6">
      <c r="A1164" s="5">
        <f>'03_Actual_Opex'!A435</f>
        <v>46054</v>
      </c>
      <c r="B1164" s="3" t="str">
        <f>'03_Actual_Opex'!B435</f>
        <v>D05</v>
      </c>
      <c r="C1164" s="3" t="str">
        <f>'03_Actual_Opex'!C435</f>
        <v>IT</v>
      </c>
      <c r="D1164" s="3" t="str">
        <f>'03_Actual_Opex'!D435</f>
        <v>A02</v>
      </c>
      <c r="E1164" s="9">
        <f>'03_Actual_Opex'!E435</f>
        <v>12000000</v>
      </c>
      <c r="F1164" s="9">
        <f>E1164*(1+_xlfn.XLOOKUP("IT",'01_Assumptions'!$A$11:$A$18,'01_Assumptions'!$B$11:$B$18))</f>
        <v>12960000</v>
      </c>
    </row>
    <row r="1165" spans="1:6">
      <c r="A1165" s="5">
        <f>'03_Actual_Opex'!A436</f>
        <v>46054</v>
      </c>
      <c r="B1165" s="3" t="str">
        <f>'03_Actual_Opex'!B436</f>
        <v>D05</v>
      </c>
      <c r="C1165" s="3" t="str">
        <f>'03_Actual_Opex'!C436</f>
        <v>IT</v>
      </c>
      <c r="D1165" s="3" t="str">
        <f>'03_Actual_Opex'!D436</f>
        <v>A03</v>
      </c>
      <c r="E1165" s="9">
        <f>'03_Actual_Opex'!E436</f>
        <v>12000000</v>
      </c>
      <c r="F1165" s="9">
        <f>E1165*(1+_xlfn.XLOOKUP("IT",'01_Assumptions'!$A$11:$A$18,'01_Assumptions'!$B$11:$B$18))</f>
        <v>12960000</v>
      </c>
    </row>
    <row r="1166" spans="1:6">
      <c r="A1166" s="5">
        <f>'03_Actual_Opex'!A437</f>
        <v>46054</v>
      </c>
      <c r="B1166" s="3" t="str">
        <f>'03_Actual_Opex'!B437</f>
        <v>D05</v>
      </c>
      <c r="C1166" s="3" t="str">
        <f>'03_Actual_Opex'!C437</f>
        <v>IT</v>
      </c>
      <c r="D1166" s="3" t="str">
        <f>'03_Actual_Opex'!D437</f>
        <v>A04</v>
      </c>
      <c r="E1166" s="9">
        <f>'03_Actual_Opex'!E437</f>
        <v>12000000</v>
      </c>
      <c r="F1166" s="9">
        <f>E1166*(1+_xlfn.XLOOKUP("IT",'01_Assumptions'!$A$11:$A$18,'01_Assumptions'!$B$11:$B$18))</f>
        <v>12960000</v>
      </c>
    </row>
    <row r="1167" spans="1:6">
      <c r="A1167" s="5">
        <f>'03_Actual_Opex'!A438</f>
        <v>46054</v>
      </c>
      <c r="B1167" s="3" t="str">
        <f>'03_Actual_Opex'!B438</f>
        <v>D06</v>
      </c>
      <c r="C1167" s="3" t="str">
        <f>'03_Actual_Opex'!C438</f>
        <v>Customer Operations</v>
      </c>
      <c r="D1167" s="3" t="str">
        <f>'03_Actual_Opex'!D438</f>
        <v>A01</v>
      </c>
      <c r="E1167" s="9">
        <f>'03_Actual_Opex'!E438</f>
        <v>10000000</v>
      </c>
      <c r="F1167" s="9">
        <f>E1167*(1+_xlfn.XLOOKUP("Customer Operations",'01_Assumptions'!$A$11:$A$18,'01_Assumptions'!$B$11:$B$18))</f>
        <v>10600000</v>
      </c>
    </row>
    <row r="1168" spans="1:6">
      <c r="A1168" s="5">
        <f>'03_Actual_Opex'!A439</f>
        <v>46054</v>
      </c>
      <c r="B1168" s="3" t="str">
        <f>'03_Actual_Opex'!B439</f>
        <v>D06</v>
      </c>
      <c r="C1168" s="3" t="str">
        <f>'03_Actual_Opex'!C439</f>
        <v>Customer Operations</v>
      </c>
      <c r="D1168" s="3" t="str">
        <f>'03_Actual_Opex'!D439</f>
        <v>A02</v>
      </c>
      <c r="E1168" s="9">
        <f>'03_Actual_Opex'!E439</f>
        <v>10000000</v>
      </c>
      <c r="F1168" s="9">
        <f>E1168*(1+_xlfn.XLOOKUP("Customer Operations",'01_Assumptions'!$A$11:$A$18,'01_Assumptions'!$B$11:$B$18))</f>
        <v>10600000</v>
      </c>
    </row>
    <row r="1169" spans="1:6">
      <c r="A1169" s="5">
        <f>'03_Actual_Opex'!A440</f>
        <v>46054</v>
      </c>
      <c r="B1169" s="3" t="str">
        <f>'03_Actual_Opex'!B440</f>
        <v>D06</v>
      </c>
      <c r="C1169" s="3" t="str">
        <f>'03_Actual_Opex'!C440</f>
        <v>Customer Operations</v>
      </c>
      <c r="D1169" s="3" t="str">
        <f>'03_Actual_Opex'!D440</f>
        <v>A03</v>
      </c>
      <c r="E1169" s="9">
        <f>'03_Actual_Opex'!E440</f>
        <v>10000000</v>
      </c>
      <c r="F1169" s="9">
        <f>E1169*(1+_xlfn.XLOOKUP("Customer Operations",'01_Assumptions'!$A$11:$A$18,'01_Assumptions'!$B$11:$B$18))</f>
        <v>10600000</v>
      </c>
    </row>
    <row r="1170" spans="1:6">
      <c r="A1170" s="5">
        <f>'03_Actual_Opex'!A441</f>
        <v>46054</v>
      </c>
      <c r="B1170" s="3" t="str">
        <f>'03_Actual_Opex'!B441</f>
        <v>D06</v>
      </c>
      <c r="C1170" s="3" t="str">
        <f>'03_Actual_Opex'!C441</f>
        <v>Customer Operations</v>
      </c>
      <c r="D1170" s="3" t="str">
        <f>'03_Actual_Opex'!D441</f>
        <v>A04</v>
      </c>
      <c r="E1170" s="9">
        <f>'03_Actual_Opex'!E441</f>
        <v>10000000</v>
      </c>
      <c r="F1170" s="9">
        <f>E1170*(1+_xlfn.XLOOKUP("Customer Operations",'01_Assumptions'!$A$11:$A$18,'01_Assumptions'!$B$11:$B$18))</f>
        <v>10600000</v>
      </c>
    </row>
    <row r="1171" spans="1:6">
      <c r="A1171" s="5">
        <f>'03_Actual_Opex'!A442</f>
        <v>46054</v>
      </c>
      <c r="B1171" s="3" t="str">
        <f>'03_Actual_Opex'!B442</f>
        <v>D07</v>
      </c>
      <c r="C1171" s="3" t="str">
        <f>'03_Actual_Opex'!C442</f>
        <v>HR</v>
      </c>
      <c r="D1171" s="3" t="str">
        <f>'03_Actual_Opex'!D442</f>
        <v>A01</v>
      </c>
      <c r="E1171" s="9">
        <f>'03_Actual_Opex'!E442</f>
        <v>3000000</v>
      </c>
      <c r="F1171" s="9">
        <f>E1171*(1+_xlfn.XLOOKUP("HR",'01_Assumptions'!$A$11:$A$18,'01_Assumptions'!$B$11:$B$18))</f>
        <v>3150000</v>
      </c>
    </row>
    <row r="1172" spans="1:6">
      <c r="A1172" s="5">
        <f>'03_Actual_Opex'!A443</f>
        <v>46054</v>
      </c>
      <c r="B1172" s="3" t="str">
        <f>'03_Actual_Opex'!B443</f>
        <v>D07</v>
      </c>
      <c r="C1172" s="3" t="str">
        <f>'03_Actual_Opex'!C443</f>
        <v>HR</v>
      </c>
      <c r="D1172" s="3" t="str">
        <f>'03_Actual_Opex'!D443</f>
        <v>A02</v>
      </c>
      <c r="E1172" s="9">
        <f>'03_Actual_Opex'!E443</f>
        <v>3000000</v>
      </c>
      <c r="F1172" s="9">
        <f>E1172*(1+_xlfn.XLOOKUP("HR",'01_Assumptions'!$A$11:$A$18,'01_Assumptions'!$B$11:$B$18))</f>
        <v>3150000</v>
      </c>
    </row>
    <row r="1173" spans="1:6">
      <c r="A1173" s="5">
        <f>'03_Actual_Opex'!A444</f>
        <v>46054</v>
      </c>
      <c r="B1173" s="3" t="str">
        <f>'03_Actual_Opex'!B444</f>
        <v>D07</v>
      </c>
      <c r="C1173" s="3" t="str">
        <f>'03_Actual_Opex'!C444</f>
        <v>HR</v>
      </c>
      <c r="D1173" s="3" t="str">
        <f>'03_Actual_Opex'!D444</f>
        <v>A03</v>
      </c>
      <c r="E1173" s="9">
        <f>'03_Actual_Opex'!E444</f>
        <v>3000000</v>
      </c>
      <c r="F1173" s="9">
        <f>E1173*(1+_xlfn.XLOOKUP("HR",'01_Assumptions'!$A$11:$A$18,'01_Assumptions'!$B$11:$B$18))</f>
        <v>3150000</v>
      </c>
    </row>
    <row r="1174" spans="1:6">
      <c r="A1174" s="5">
        <f>'03_Actual_Opex'!A445</f>
        <v>46054</v>
      </c>
      <c r="B1174" s="3" t="str">
        <f>'03_Actual_Opex'!B445</f>
        <v>D07</v>
      </c>
      <c r="C1174" s="3" t="str">
        <f>'03_Actual_Opex'!C445</f>
        <v>HR</v>
      </c>
      <c r="D1174" s="3" t="str">
        <f>'03_Actual_Opex'!D445</f>
        <v>A04</v>
      </c>
      <c r="E1174" s="9">
        <f>'03_Actual_Opex'!E445</f>
        <v>3000000</v>
      </c>
      <c r="F1174" s="9">
        <f>E1174*(1+_xlfn.XLOOKUP("HR",'01_Assumptions'!$A$11:$A$18,'01_Assumptions'!$B$11:$B$18))</f>
        <v>3150000</v>
      </c>
    </row>
    <row r="1175" spans="1:6">
      <c r="A1175" s="5">
        <f>'03_Actual_Opex'!A446</f>
        <v>46054</v>
      </c>
      <c r="B1175" s="3" t="str">
        <f>'03_Actual_Opex'!B446</f>
        <v>D08</v>
      </c>
      <c r="C1175" s="3" t="str">
        <f>'03_Actual_Opex'!C446</f>
        <v>Facilities</v>
      </c>
      <c r="D1175" s="3" t="str">
        <f>'03_Actual_Opex'!D446</f>
        <v>A01</v>
      </c>
      <c r="E1175" s="9">
        <f>'03_Actual_Opex'!E446</f>
        <v>8000000</v>
      </c>
      <c r="F1175" s="9">
        <f>E1175*(1+_xlfn.XLOOKUP("Facilities",'01_Assumptions'!$A$11:$A$18,'01_Assumptions'!$B$11:$B$18))</f>
        <v>8400000</v>
      </c>
    </row>
    <row r="1176" spans="1:6">
      <c r="A1176" s="5">
        <f>'03_Actual_Opex'!A447</f>
        <v>46054</v>
      </c>
      <c r="B1176" s="3" t="str">
        <f>'03_Actual_Opex'!B447</f>
        <v>D08</v>
      </c>
      <c r="C1176" s="3" t="str">
        <f>'03_Actual_Opex'!C447</f>
        <v>Facilities</v>
      </c>
      <c r="D1176" s="3" t="str">
        <f>'03_Actual_Opex'!D447</f>
        <v>A02</v>
      </c>
      <c r="E1176" s="9">
        <f>'03_Actual_Opex'!E447</f>
        <v>8000000</v>
      </c>
      <c r="F1176" s="9">
        <f>E1176*(1+_xlfn.XLOOKUP("Facilities",'01_Assumptions'!$A$11:$A$18,'01_Assumptions'!$B$11:$B$18))</f>
        <v>8400000</v>
      </c>
    </row>
    <row r="1177" spans="1:6">
      <c r="A1177" s="5">
        <f>'03_Actual_Opex'!A448</f>
        <v>46054</v>
      </c>
      <c r="B1177" s="3" t="str">
        <f>'03_Actual_Opex'!B448</f>
        <v>D08</v>
      </c>
      <c r="C1177" s="3" t="str">
        <f>'03_Actual_Opex'!C448</f>
        <v>Facilities</v>
      </c>
      <c r="D1177" s="3" t="str">
        <f>'03_Actual_Opex'!D448</f>
        <v>A03</v>
      </c>
      <c r="E1177" s="9">
        <f>'03_Actual_Opex'!E448</f>
        <v>8000000</v>
      </c>
      <c r="F1177" s="9">
        <f>E1177*(1+_xlfn.XLOOKUP("Facilities",'01_Assumptions'!$A$11:$A$18,'01_Assumptions'!$B$11:$B$18))</f>
        <v>8400000</v>
      </c>
    </row>
    <row r="1178" spans="1:6">
      <c r="A1178" s="5">
        <f>'03_Actual_Opex'!A449</f>
        <v>46054</v>
      </c>
      <c r="B1178" s="3" t="str">
        <f>'03_Actual_Opex'!B449</f>
        <v>D08</v>
      </c>
      <c r="C1178" s="3" t="str">
        <f>'03_Actual_Opex'!C449</f>
        <v>Facilities</v>
      </c>
      <c r="D1178" s="3" t="str">
        <f>'03_Actual_Opex'!D449</f>
        <v>A04</v>
      </c>
      <c r="E1178" s="9">
        <f>'03_Actual_Opex'!E449</f>
        <v>8000000</v>
      </c>
      <c r="F1178" s="9">
        <f>E1178*(1+_xlfn.XLOOKUP("Facilities",'01_Assumptions'!$A$11:$A$18,'01_Assumptions'!$B$11:$B$18))</f>
        <v>8400000</v>
      </c>
    </row>
    <row r="1179" spans="1:6">
      <c r="A1179" s="5">
        <f>'03_Actual_Opex'!A450</f>
        <v>46082</v>
      </c>
      <c r="B1179" s="3" t="str">
        <f>'03_Actual_Opex'!B450</f>
        <v>D01</v>
      </c>
      <c r="C1179" s="3" t="str">
        <f>'03_Actual_Opex'!C450</f>
        <v>Sales</v>
      </c>
      <c r="D1179" s="3" t="str">
        <f>'03_Actual_Opex'!D450</f>
        <v>A01</v>
      </c>
      <c r="E1179" s="9">
        <f>'03_Actual_Opex'!E450</f>
        <v>8000000</v>
      </c>
      <c r="F1179" s="9">
        <f>E1179*(1+_xlfn.XLOOKUP("Sales",'01_Assumptions'!$A$11:$A$18,'01_Assumptions'!$B$11:$B$18))</f>
        <v>8480000</v>
      </c>
    </row>
    <row r="1180" spans="1:6">
      <c r="A1180" s="5">
        <f>'03_Actual_Opex'!A451</f>
        <v>46082</v>
      </c>
      <c r="B1180" s="3" t="str">
        <f>'03_Actual_Opex'!B451</f>
        <v>D01</v>
      </c>
      <c r="C1180" s="3" t="str">
        <f>'03_Actual_Opex'!C451</f>
        <v>Sales</v>
      </c>
      <c r="D1180" s="3" t="str">
        <f>'03_Actual_Opex'!D451</f>
        <v>A02</v>
      </c>
      <c r="E1180" s="9">
        <f>'03_Actual_Opex'!E451</f>
        <v>8000000</v>
      </c>
      <c r="F1180" s="9">
        <f>E1180*(1+_xlfn.XLOOKUP("Sales",'01_Assumptions'!$A$11:$A$18,'01_Assumptions'!$B$11:$B$18))</f>
        <v>8480000</v>
      </c>
    </row>
    <row r="1181" spans="1:6">
      <c r="A1181" s="5">
        <f>'03_Actual_Opex'!A452</f>
        <v>46082</v>
      </c>
      <c r="B1181" s="3" t="str">
        <f>'03_Actual_Opex'!B452</f>
        <v>D01</v>
      </c>
      <c r="C1181" s="3" t="str">
        <f>'03_Actual_Opex'!C452</f>
        <v>Sales</v>
      </c>
      <c r="D1181" s="3" t="str">
        <f>'03_Actual_Opex'!D452</f>
        <v>A03</v>
      </c>
      <c r="E1181" s="9">
        <f>'03_Actual_Opex'!E452</f>
        <v>8000000</v>
      </c>
      <c r="F1181" s="9">
        <f>E1181*(1+_xlfn.XLOOKUP("Sales",'01_Assumptions'!$A$11:$A$18,'01_Assumptions'!$B$11:$B$18))</f>
        <v>8480000</v>
      </c>
    </row>
    <row r="1182" spans="1:6">
      <c r="A1182" s="5">
        <f>'03_Actual_Opex'!A453</f>
        <v>46082</v>
      </c>
      <c r="B1182" s="3" t="str">
        <f>'03_Actual_Opex'!B453</f>
        <v>D01</v>
      </c>
      <c r="C1182" s="3" t="str">
        <f>'03_Actual_Opex'!C453</f>
        <v>Sales</v>
      </c>
      <c r="D1182" s="3" t="str">
        <f>'03_Actual_Opex'!D453</f>
        <v>A04</v>
      </c>
      <c r="E1182" s="9">
        <f>'03_Actual_Opex'!E453</f>
        <v>8000000</v>
      </c>
      <c r="F1182" s="9">
        <f>E1182*(1+_xlfn.XLOOKUP("Sales",'01_Assumptions'!$A$11:$A$18,'01_Assumptions'!$B$11:$B$18))</f>
        <v>8480000</v>
      </c>
    </row>
    <row r="1183" spans="1:6">
      <c r="A1183" s="5">
        <f>'03_Actual_Opex'!A454</f>
        <v>46082</v>
      </c>
      <c r="B1183" s="3" t="str">
        <f>'03_Actual_Opex'!B454</f>
        <v>D02</v>
      </c>
      <c r="C1183" s="3" t="str">
        <f>'03_Actual_Opex'!C454</f>
        <v>Marketing</v>
      </c>
      <c r="D1183" s="3" t="str">
        <f>'03_Actual_Opex'!D454</f>
        <v>A01</v>
      </c>
      <c r="E1183" s="9">
        <f>'03_Actual_Opex'!E454</f>
        <v>30000000</v>
      </c>
      <c r="F1183" s="9">
        <f>E1183*(1+_xlfn.XLOOKUP("Marketing",'01_Assumptions'!$A$11:$A$18,'01_Assumptions'!$B$11:$B$18))</f>
        <v>32100000.000000004</v>
      </c>
    </row>
    <row r="1184" spans="1:6">
      <c r="A1184" s="5">
        <f>'03_Actual_Opex'!A455</f>
        <v>46082</v>
      </c>
      <c r="B1184" s="3" t="str">
        <f>'03_Actual_Opex'!B455</f>
        <v>D02</v>
      </c>
      <c r="C1184" s="3" t="str">
        <f>'03_Actual_Opex'!C455</f>
        <v>Marketing</v>
      </c>
      <c r="D1184" s="3" t="str">
        <f>'03_Actual_Opex'!D455</f>
        <v>A02</v>
      </c>
      <c r="E1184" s="9">
        <f>'03_Actual_Opex'!E455</f>
        <v>30000000</v>
      </c>
      <c r="F1184" s="9">
        <f>E1184*(1+_xlfn.XLOOKUP("Marketing",'01_Assumptions'!$A$11:$A$18,'01_Assumptions'!$B$11:$B$18))</f>
        <v>32100000.000000004</v>
      </c>
    </row>
    <row r="1185" spans="1:6">
      <c r="A1185" s="5">
        <f>'03_Actual_Opex'!A456</f>
        <v>46082</v>
      </c>
      <c r="B1185" s="3" t="str">
        <f>'03_Actual_Opex'!B456</f>
        <v>D02</v>
      </c>
      <c r="C1185" s="3" t="str">
        <f>'03_Actual_Opex'!C456</f>
        <v>Marketing</v>
      </c>
      <c r="D1185" s="3" t="str">
        <f>'03_Actual_Opex'!D456</f>
        <v>A03</v>
      </c>
      <c r="E1185" s="9">
        <f>'03_Actual_Opex'!E456</f>
        <v>30000000</v>
      </c>
      <c r="F1185" s="9">
        <f>E1185*(1+_xlfn.XLOOKUP("Marketing",'01_Assumptions'!$A$11:$A$18,'01_Assumptions'!$B$11:$B$18))</f>
        <v>32100000.000000004</v>
      </c>
    </row>
    <row r="1186" spans="1:6">
      <c r="A1186" s="5">
        <f>'03_Actual_Opex'!A457</f>
        <v>46082</v>
      </c>
      <c r="B1186" s="3" t="str">
        <f>'03_Actual_Opex'!B457</f>
        <v>D02</v>
      </c>
      <c r="C1186" s="3" t="str">
        <f>'03_Actual_Opex'!C457</f>
        <v>Marketing</v>
      </c>
      <c r="D1186" s="3" t="str">
        <f>'03_Actual_Opex'!D457</f>
        <v>A04</v>
      </c>
      <c r="E1186" s="9">
        <f>'03_Actual_Opex'!E457</f>
        <v>30000000</v>
      </c>
      <c r="F1186" s="9">
        <f>E1186*(1+_xlfn.XLOOKUP("Marketing",'01_Assumptions'!$A$11:$A$18,'01_Assumptions'!$B$11:$B$18))</f>
        <v>32100000.000000004</v>
      </c>
    </row>
    <row r="1187" spans="1:6">
      <c r="A1187" s="5">
        <f>'03_Actual_Opex'!A458</f>
        <v>46082</v>
      </c>
      <c r="B1187" s="3" t="str">
        <f>'03_Actual_Opex'!B458</f>
        <v>D03</v>
      </c>
      <c r="C1187" s="3" t="str">
        <f>'03_Actual_Opex'!C458</f>
        <v>R&amp;D</v>
      </c>
      <c r="D1187" s="3" t="str">
        <f>'03_Actual_Opex'!D458</f>
        <v>A01</v>
      </c>
      <c r="E1187" s="9">
        <f>'03_Actual_Opex'!E458</f>
        <v>20000000</v>
      </c>
      <c r="F1187" s="9">
        <f>E1187*(1+_xlfn.XLOOKUP("R&amp;D",'01_Assumptions'!$A$11:$A$18,'01_Assumptions'!$B$11:$B$18))</f>
        <v>21800000</v>
      </c>
    </row>
    <row r="1188" spans="1:6">
      <c r="A1188" s="5">
        <f>'03_Actual_Opex'!A459</f>
        <v>46082</v>
      </c>
      <c r="B1188" s="3" t="str">
        <f>'03_Actual_Opex'!B459</f>
        <v>D03</v>
      </c>
      <c r="C1188" s="3" t="str">
        <f>'03_Actual_Opex'!C459</f>
        <v>R&amp;D</v>
      </c>
      <c r="D1188" s="3" t="str">
        <f>'03_Actual_Opex'!D459</f>
        <v>A02</v>
      </c>
      <c r="E1188" s="9">
        <f>'03_Actual_Opex'!E459</f>
        <v>20000000</v>
      </c>
      <c r="F1188" s="9">
        <f>E1188*(1+_xlfn.XLOOKUP("R&amp;D",'01_Assumptions'!$A$11:$A$18,'01_Assumptions'!$B$11:$B$18))</f>
        <v>21800000</v>
      </c>
    </row>
    <row r="1189" spans="1:6">
      <c r="A1189" s="5">
        <f>'03_Actual_Opex'!A460</f>
        <v>46082</v>
      </c>
      <c r="B1189" s="3" t="str">
        <f>'03_Actual_Opex'!B460</f>
        <v>D03</v>
      </c>
      <c r="C1189" s="3" t="str">
        <f>'03_Actual_Opex'!C460</f>
        <v>R&amp;D</v>
      </c>
      <c r="D1189" s="3" t="str">
        <f>'03_Actual_Opex'!D460</f>
        <v>A03</v>
      </c>
      <c r="E1189" s="9">
        <f>'03_Actual_Opex'!E460</f>
        <v>20000000</v>
      </c>
      <c r="F1189" s="9">
        <f>E1189*(1+_xlfn.XLOOKUP("R&amp;D",'01_Assumptions'!$A$11:$A$18,'01_Assumptions'!$B$11:$B$18))</f>
        <v>21800000</v>
      </c>
    </row>
    <row r="1190" spans="1:6">
      <c r="A1190" s="5">
        <f>'03_Actual_Opex'!A461</f>
        <v>46082</v>
      </c>
      <c r="B1190" s="3" t="str">
        <f>'03_Actual_Opex'!B461</f>
        <v>D03</v>
      </c>
      <c r="C1190" s="3" t="str">
        <f>'03_Actual_Opex'!C461</f>
        <v>R&amp;D</v>
      </c>
      <c r="D1190" s="3" t="str">
        <f>'03_Actual_Opex'!D461</f>
        <v>A04</v>
      </c>
      <c r="E1190" s="9">
        <f>'03_Actual_Opex'!E461</f>
        <v>20000000</v>
      </c>
      <c r="F1190" s="9">
        <f>E1190*(1+_xlfn.XLOOKUP("R&amp;D",'01_Assumptions'!$A$11:$A$18,'01_Assumptions'!$B$11:$B$18))</f>
        <v>21800000</v>
      </c>
    </row>
    <row r="1191" spans="1:6">
      <c r="A1191" s="5">
        <f>'03_Actual_Opex'!A462</f>
        <v>46082</v>
      </c>
      <c r="B1191" s="3" t="str">
        <f>'03_Actual_Opex'!B462</f>
        <v>D04</v>
      </c>
      <c r="C1191" s="3" t="str">
        <f>'03_Actual_Opex'!C462</f>
        <v>G&amp;A</v>
      </c>
      <c r="D1191" s="3" t="str">
        <f>'03_Actual_Opex'!D462</f>
        <v>A01</v>
      </c>
      <c r="E1191" s="9">
        <f>'03_Actual_Opex'!E462</f>
        <v>8000000</v>
      </c>
      <c r="F1191" s="9">
        <f>E1191*(1+_xlfn.XLOOKUP("G&amp;A",'01_Assumptions'!$A$11:$A$18,'01_Assumptions'!$B$11:$B$18))</f>
        <v>8400000</v>
      </c>
    </row>
    <row r="1192" spans="1:6">
      <c r="A1192" s="5">
        <f>'03_Actual_Opex'!A463</f>
        <v>46082</v>
      </c>
      <c r="B1192" s="3" t="str">
        <f>'03_Actual_Opex'!B463</f>
        <v>D04</v>
      </c>
      <c r="C1192" s="3" t="str">
        <f>'03_Actual_Opex'!C463</f>
        <v>G&amp;A</v>
      </c>
      <c r="D1192" s="3" t="str">
        <f>'03_Actual_Opex'!D463</f>
        <v>A02</v>
      </c>
      <c r="E1192" s="9">
        <f>'03_Actual_Opex'!E463</f>
        <v>8000000</v>
      </c>
      <c r="F1192" s="9">
        <f>E1192*(1+_xlfn.XLOOKUP("G&amp;A",'01_Assumptions'!$A$11:$A$18,'01_Assumptions'!$B$11:$B$18))</f>
        <v>8400000</v>
      </c>
    </row>
    <row r="1193" spans="1:6">
      <c r="A1193" s="5">
        <f>'03_Actual_Opex'!A464</f>
        <v>46082</v>
      </c>
      <c r="B1193" s="3" t="str">
        <f>'03_Actual_Opex'!B464</f>
        <v>D04</v>
      </c>
      <c r="C1193" s="3" t="str">
        <f>'03_Actual_Opex'!C464</f>
        <v>G&amp;A</v>
      </c>
      <c r="D1193" s="3" t="str">
        <f>'03_Actual_Opex'!D464</f>
        <v>A03</v>
      </c>
      <c r="E1193" s="9">
        <f>'03_Actual_Opex'!E464</f>
        <v>8000000</v>
      </c>
      <c r="F1193" s="9">
        <f>E1193*(1+_xlfn.XLOOKUP("G&amp;A",'01_Assumptions'!$A$11:$A$18,'01_Assumptions'!$B$11:$B$18))</f>
        <v>8400000</v>
      </c>
    </row>
    <row r="1194" spans="1:6">
      <c r="A1194" s="5">
        <f>'03_Actual_Opex'!A465</f>
        <v>46082</v>
      </c>
      <c r="B1194" s="3" t="str">
        <f>'03_Actual_Opex'!B465</f>
        <v>D04</v>
      </c>
      <c r="C1194" s="3" t="str">
        <f>'03_Actual_Opex'!C465</f>
        <v>G&amp;A</v>
      </c>
      <c r="D1194" s="3" t="str">
        <f>'03_Actual_Opex'!D465</f>
        <v>A04</v>
      </c>
      <c r="E1194" s="9">
        <f>'03_Actual_Opex'!E465</f>
        <v>8000000</v>
      </c>
      <c r="F1194" s="9">
        <f>E1194*(1+_xlfn.XLOOKUP("G&amp;A",'01_Assumptions'!$A$11:$A$18,'01_Assumptions'!$B$11:$B$18))</f>
        <v>8400000</v>
      </c>
    </row>
    <row r="1195" spans="1:6">
      <c r="A1195" s="5">
        <f>'03_Actual_Opex'!A466</f>
        <v>46082</v>
      </c>
      <c r="B1195" s="3" t="str">
        <f>'03_Actual_Opex'!B466</f>
        <v>D05</v>
      </c>
      <c r="C1195" s="3" t="str">
        <f>'03_Actual_Opex'!C466</f>
        <v>IT</v>
      </c>
      <c r="D1195" s="3" t="str">
        <f>'03_Actual_Opex'!D466</f>
        <v>A01</v>
      </c>
      <c r="E1195" s="9">
        <f>'03_Actual_Opex'!E466</f>
        <v>12000000</v>
      </c>
      <c r="F1195" s="9">
        <f>E1195*(1+_xlfn.XLOOKUP("IT",'01_Assumptions'!$A$11:$A$18,'01_Assumptions'!$B$11:$B$18))</f>
        <v>12960000</v>
      </c>
    </row>
    <row r="1196" spans="1:6">
      <c r="A1196" s="5">
        <f>'03_Actual_Opex'!A467</f>
        <v>46082</v>
      </c>
      <c r="B1196" s="3" t="str">
        <f>'03_Actual_Opex'!B467</f>
        <v>D05</v>
      </c>
      <c r="C1196" s="3" t="str">
        <f>'03_Actual_Opex'!C467</f>
        <v>IT</v>
      </c>
      <c r="D1196" s="3" t="str">
        <f>'03_Actual_Opex'!D467</f>
        <v>A02</v>
      </c>
      <c r="E1196" s="9">
        <f>'03_Actual_Opex'!E467</f>
        <v>12000000</v>
      </c>
      <c r="F1196" s="9">
        <f>E1196*(1+_xlfn.XLOOKUP("IT",'01_Assumptions'!$A$11:$A$18,'01_Assumptions'!$B$11:$B$18))</f>
        <v>12960000</v>
      </c>
    </row>
    <row r="1197" spans="1:6">
      <c r="A1197" s="5">
        <f>'03_Actual_Opex'!A468</f>
        <v>46082</v>
      </c>
      <c r="B1197" s="3" t="str">
        <f>'03_Actual_Opex'!B468</f>
        <v>D05</v>
      </c>
      <c r="C1197" s="3" t="str">
        <f>'03_Actual_Opex'!C468</f>
        <v>IT</v>
      </c>
      <c r="D1197" s="3" t="str">
        <f>'03_Actual_Opex'!D468</f>
        <v>A03</v>
      </c>
      <c r="E1197" s="9">
        <f>'03_Actual_Opex'!E468</f>
        <v>12000000</v>
      </c>
      <c r="F1197" s="9">
        <f>E1197*(1+_xlfn.XLOOKUP("IT",'01_Assumptions'!$A$11:$A$18,'01_Assumptions'!$B$11:$B$18))</f>
        <v>12960000</v>
      </c>
    </row>
    <row r="1198" spans="1:6">
      <c r="A1198" s="5">
        <f>'03_Actual_Opex'!A469</f>
        <v>46082</v>
      </c>
      <c r="B1198" s="3" t="str">
        <f>'03_Actual_Opex'!B469</f>
        <v>D05</v>
      </c>
      <c r="C1198" s="3" t="str">
        <f>'03_Actual_Opex'!C469</f>
        <v>IT</v>
      </c>
      <c r="D1198" s="3" t="str">
        <f>'03_Actual_Opex'!D469</f>
        <v>A04</v>
      </c>
      <c r="E1198" s="9">
        <f>'03_Actual_Opex'!E469</f>
        <v>12000000</v>
      </c>
      <c r="F1198" s="9">
        <f>E1198*(1+_xlfn.XLOOKUP("IT",'01_Assumptions'!$A$11:$A$18,'01_Assumptions'!$B$11:$B$18))</f>
        <v>12960000</v>
      </c>
    </row>
    <row r="1199" spans="1:6">
      <c r="A1199" s="5">
        <f>'03_Actual_Opex'!A470</f>
        <v>46082</v>
      </c>
      <c r="B1199" s="3" t="str">
        <f>'03_Actual_Opex'!B470</f>
        <v>D06</v>
      </c>
      <c r="C1199" s="3" t="str">
        <f>'03_Actual_Opex'!C470</f>
        <v>Customer Operations</v>
      </c>
      <c r="D1199" s="3" t="str">
        <f>'03_Actual_Opex'!D470</f>
        <v>A01</v>
      </c>
      <c r="E1199" s="9">
        <f>'03_Actual_Opex'!E470</f>
        <v>10000000</v>
      </c>
      <c r="F1199" s="9">
        <f>E1199*(1+_xlfn.XLOOKUP("Customer Operations",'01_Assumptions'!$A$11:$A$18,'01_Assumptions'!$B$11:$B$18))</f>
        <v>10600000</v>
      </c>
    </row>
    <row r="1200" spans="1:6">
      <c r="A1200" s="5">
        <f>'03_Actual_Opex'!A471</f>
        <v>46082</v>
      </c>
      <c r="B1200" s="3" t="str">
        <f>'03_Actual_Opex'!B471</f>
        <v>D06</v>
      </c>
      <c r="C1200" s="3" t="str">
        <f>'03_Actual_Opex'!C471</f>
        <v>Customer Operations</v>
      </c>
      <c r="D1200" s="3" t="str">
        <f>'03_Actual_Opex'!D471</f>
        <v>A02</v>
      </c>
      <c r="E1200" s="9">
        <f>'03_Actual_Opex'!E471</f>
        <v>10000000</v>
      </c>
      <c r="F1200" s="9">
        <f>E1200*(1+_xlfn.XLOOKUP("Customer Operations",'01_Assumptions'!$A$11:$A$18,'01_Assumptions'!$B$11:$B$18))</f>
        <v>10600000</v>
      </c>
    </row>
    <row r="1201" spans="1:6">
      <c r="A1201" s="5">
        <f>'03_Actual_Opex'!A472</f>
        <v>46082</v>
      </c>
      <c r="B1201" s="3" t="str">
        <f>'03_Actual_Opex'!B472</f>
        <v>D06</v>
      </c>
      <c r="C1201" s="3" t="str">
        <f>'03_Actual_Opex'!C472</f>
        <v>Customer Operations</v>
      </c>
      <c r="D1201" s="3" t="str">
        <f>'03_Actual_Opex'!D472</f>
        <v>A03</v>
      </c>
      <c r="E1201" s="9">
        <f>'03_Actual_Opex'!E472</f>
        <v>10000000</v>
      </c>
      <c r="F1201" s="9">
        <f>E1201*(1+_xlfn.XLOOKUP("Customer Operations",'01_Assumptions'!$A$11:$A$18,'01_Assumptions'!$B$11:$B$18))</f>
        <v>10600000</v>
      </c>
    </row>
    <row r="1202" spans="1:6">
      <c r="A1202" s="5">
        <f>'03_Actual_Opex'!A473</f>
        <v>46082</v>
      </c>
      <c r="B1202" s="3" t="str">
        <f>'03_Actual_Opex'!B473</f>
        <v>D06</v>
      </c>
      <c r="C1202" s="3" t="str">
        <f>'03_Actual_Opex'!C473</f>
        <v>Customer Operations</v>
      </c>
      <c r="D1202" s="3" t="str">
        <f>'03_Actual_Opex'!D473</f>
        <v>A04</v>
      </c>
      <c r="E1202" s="9">
        <f>'03_Actual_Opex'!E473</f>
        <v>10000000</v>
      </c>
      <c r="F1202" s="9">
        <f>E1202*(1+_xlfn.XLOOKUP("Customer Operations",'01_Assumptions'!$A$11:$A$18,'01_Assumptions'!$B$11:$B$18))</f>
        <v>10600000</v>
      </c>
    </row>
    <row r="1203" spans="1:6">
      <c r="A1203" s="5">
        <f>'03_Actual_Opex'!A474</f>
        <v>46082</v>
      </c>
      <c r="B1203" s="3" t="str">
        <f>'03_Actual_Opex'!B474</f>
        <v>D07</v>
      </c>
      <c r="C1203" s="3" t="str">
        <f>'03_Actual_Opex'!C474</f>
        <v>HR</v>
      </c>
      <c r="D1203" s="3" t="str">
        <f>'03_Actual_Opex'!D474</f>
        <v>A01</v>
      </c>
      <c r="E1203" s="9">
        <f>'03_Actual_Opex'!E474</f>
        <v>3000000</v>
      </c>
      <c r="F1203" s="9">
        <f>E1203*(1+_xlfn.XLOOKUP("HR",'01_Assumptions'!$A$11:$A$18,'01_Assumptions'!$B$11:$B$18))</f>
        <v>3150000</v>
      </c>
    </row>
    <row r="1204" spans="1:6">
      <c r="A1204" s="5">
        <f>'03_Actual_Opex'!A475</f>
        <v>46082</v>
      </c>
      <c r="B1204" s="3" t="str">
        <f>'03_Actual_Opex'!B475</f>
        <v>D07</v>
      </c>
      <c r="C1204" s="3" t="str">
        <f>'03_Actual_Opex'!C475</f>
        <v>HR</v>
      </c>
      <c r="D1204" s="3" t="str">
        <f>'03_Actual_Opex'!D475</f>
        <v>A02</v>
      </c>
      <c r="E1204" s="9">
        <f>'03_Actual_Opex'!E475</f>
        <v>3000000</v>
      </c>
      <c r="F1204" s="9">
        <f>E1204*(1+_xlfn.XLOOKUP("HR",'01_Assumptions'!$A$11:$A$18,'01_Assumptions'!$B$11:$B$18))</f>
        <v>3150000</v>
      </c>
    </row>
    <row r="1205" spans="1:6">
      <c r="A1205" s="5">
        <f>'03_Actual_Opex'!A476</f>
        <v>46082</v>
      </c>
      <c r="B1205" s="3" t="str">
        <f>'03_Actual_Opex'!B476</f>
        <v>D07</v>
      </c>
      <c r="C1205" s="3" t="str">
        <f>'03_Actual_Opex'!C476</f>
        <v>HR</v>
      </c>
      <c r="D1205" s="3" t="str">
        <f>'03_Actual_Opex'!D476</f>
        <v>A03</v>
      </c>
      <c r="E1205" s="9">
        <f>'03_Actual_Opex'!E476</f>
        <v>3000000</v>
      </c>
      <c r="F1205" s="9">
        <f>E1205*(1+_xlfn.XLOOKUP("HR",'01_Assumptions'!$A$11:$A$18,'01_Assumptions'!$B$11:$B$18))</f>
        <v>3150000</v>
      </c>
    </row>
    <row r="1206" spans="1:6">
      <c r="A1206" s="5">
        <f>'03_Actual_Opex'!A477</f>
        <v>46082</v>
      </c>
      <c r="B1206" s="3" t="str">
        <f>'03_Actual_Opex'!B477</f>
        <v>D07</v>
      </c>
      <c r="C1206" s="3" t="str">
        <f>'03_Actual_Opex'!C477</f>
        <v>HR</v>
      </c>
      <c r="D1206" s="3" t="str">
        <f>'03_Actual_Opex'!D477</f>
        <v>A04</v>
      </c>
      <c r="E1206" s="9">
        <f>'03_Actual_Opex'!E477</f>
        <v>3000000</v>
      </c>
      <c r="F1206" s="9">
        <f>E1206*(1+_xlfn.XLOOKUP("HR",'01_Assumptions'!$A$11:$A$18,'01_Assumptions'!$B$11:$B$18))</f>
        <v>3150000</v>
      </c>
    </row>
    <row r="1207" spans="1:6">
      <c r="A1207" s="5">
        <f>'03_Actual_Opex'!A478</f>
        <v>46082</v>
      </c>
      <c r="B1207" s="3" t="str">
        <f>'03_Actual_Opex'!B478</f>
        <v>D08</v>
      </c>
      <c r="C1207" s="3" t="str">
        <f>'03_Actual_Opex'!C478</f>
        <v>Facilities</v>
      </c>
      <c r="D1207" s="3" t="str">
        <f>'03_Actual_Opex'!D478</f>
        <v>A01</v>
      </c>
      <c r="E1207" s="9">
        <f>'03_Actual_Opex'!E478</f>
        <v>8000000</v>
      </c>
      <c r="F1207" s="9">
        <f>E1207*(1+_xlfn.XLOOKUP("Facilities",'01_Assumptions'!$A$11:$A$18,'01_Assumptions'!$B$11:$B$18))</f>
        <v>8400000</v>
      </c>
    </row>
    <row r="1208" spans="1:6">
      <c r="A1208" s="5">
        <f>'03_Actual_Opex'!A479</f>
        <v>46082</v>
      </c>
      <c r="B1208" s="3" t="str">
        <f>'03_Actual_Opex'!B479</f>
        <v>D08</v>
      </c>
      <c r="C1208" s="3" t="str">
        <f>'03_Actual_Opex'!C479</f>
        <v>Facilities</v>
      </c>
      <c r="D1208" s="3" t="str">
        <f>'03_Actual_Opex'!D479</f>
        <v>A02</v>
      </c>
      <c r="E1208" s="9">
        <f>'03_Actual_Opex'!E479</f>
        <v>8000000</v>
      </c>
      <c r="F1208" s="9">
        <f>E1208*(1+_xlfn.XLOOKUP("Facilities",'01_Assumptions'!$A$11:$A$18,'01_Assumptions'!$B$11:$B$18))</f>
        <v>8400000</v>
      </c>
    </row>
    <row r="1209" spans="1:6">
      <c r="A1209" s="5">
        <f>'03_Actual_Opex'!A480</f>
        <v>46082</v>
      </c>
      <c r="B1209" s="3" t="str">
        <f>'03_Actual_Opex'!B480</f>
        <v>D08</v>
      </c>
      <c r="C1209" s="3" t="str">
        <f>'03_Actual_Opex'!C480</f>
        <v>Facilities</v>
      </c>
      <c r="D1209" s="3" t="str">
        <f>'03_Actual_Opex'!D480</f>
        <v>A03</v>
      </c>
      <c r="E1209" s="9">
        <f>'03_Actual_Opex'!E480</f>
        <v>8000000</v>
      </c>
      <c r="F1209" s="9">
        <f>E1209*(1+_xlfn.XLOOKUP("Facilities",'01_Assumptions'!$A$11:$A$18,'01_Assumptions'!$B$11:$B$18))</f>
        <v>8400000</v>
      </c>
    </row>
    <row r="1210" spans="1:6">
      <c r="A1210" s="5">
        <f>'03_Actual_Opex'!A481</f>
        <v>46082</v>
      </c>
      <c r="B1210" s="3" t="str">
        <f>'03_Actual_Opex'!B481</f>
        <v>D08</v>
      </c>
      <c r="C1210" s="3" t="str">
        <f>'03_Actual_Opex'!C481</f>
        <v>Facilities</v>
      </c>
      <c r="D1210" s="3" t="str">
        <f>'03_Actual_Opex'!D481</f>
        <v>A04</v>
      </c>
      <c r="E1210" s="9">
        <f>'03_Actual_Opex'!E481</f>
        <v>8000000</v>
      </c>
      <c r="F1210" s="9">
        <f>E1210*(1+_xlfn.XLOOKUP("Facilities",'01_Assumptions'!$A$11:$A$18,'01_Assumptions'!$B$11:$B$18))</f>
        <v>8400000</v>
      </c>
    </row>
    <row r="1211" spans="1:6">
      <c r="A1211" s="5">
        <f>'03_Actual_Opex'!A482</f>
        <v>46113</v>
      </c>
      <c r="B1211" s="3" t="str">
        <f>'03_Actual_Opex'!B482</f>
        <v>D01</v>
      </c>
      <c r="C1211" s="3" t="str">
        <f>'03_Actual_Opex'!C482</f>
        <v>Sales</v>
      </c>
      <c r="D1211" s="3" t="str">
        <f>'03_Actual_Opex'!D482</f>
        <v>A01</v>
      </c>
      <c r="E1211" s="9">
        <f>'03_Actual_Opex'!E482</f>
        <v>8000000</v>
      </c>
      <c r="F1211" s="9">
        <f>E1211*(1+_xlfn.XLOOKUP("Sales",'01_Assumptions'!$A$11:$A$18,'01_Assumptions'!$B$11:$B$18))</f>
        <v>8480000</v>
      </c>
    </row>
    <row r="1212" spans="1:6">
      <c r="A1212" s="5">
        <f>'03_Actual_Opex'!A483</f>
        <v>46113</v>
      </c>
      <c r="B1212" s="3" t="str">
        <f>'03_Actual_Opex'!B483</f>
        <v>D01</v>
      </c>
      <c r="C1212" s="3" t="str">
        <f>'03_Actual_Opex'!C483</f>
        <v>Sales</v>
      </c>
      <c r="D1212" s="3" t="str">
        <f>'03_Actual_Opex'!D483</f>
        <v>A02</v>
      </c>
      <c r="E1212" s="9">
        <f>'03_Actual_Opex'!E483</f>
        <v>8000000</v>
      </c>
      <c r="F1212" s="9">
        <f>E1212*(1+_xlfn.XLOOKUP("Sales",'01_Assumptions'!$A$11:$A$18,'01_Assumptions'!$B$11:$B$18))</f>
        <v>8480000</v>
      </c>
    </row>
    <row r="1213" spans="1:6">
      <c r="A1213" s="5">
        <f>'03_Actual_Opex'!A484</f>
        <v>46113</v>
      </c>
      <c r="B1213" s="3" t="str">
        <f>'03_Actual_Opex'!B484</f>
        <v>D01</v>
      </c>
      <c r="C1213" s="3" t="str">
        <f>'03_Actual_Opex'!C484</f>
        <v>Sales</v>
      </c>
      <c r="D1213" s="3" t="str">
        <f>'03_Actual_Opex'!D484</f>
        <v>A03</v>
      </c>
      <c r="E1213" s="9">
        <f>'03_Actual_Opex'!E484</f>
        <v>8000000</v>
      </c>
      <c r="F1213" s="9">
        <f>E1213*(1+_xlfn.XLOOKUP("Sales",'01_Assumptions'!$A$11:$A$18,'01_Assumptions'!$B$11:$B$18))</f>
        <v>8480000</v>
      </c>
    </row>
    <row r="1214" spans="1:6">
      <c r="A1214" s="5">
        <f>'03_Actual_Opex'!A485</f>
        <v>46113</v>
      </c>
      <c r="B1214" s="3" t="str">
        <f>'03_Actual_Opex'!B485</f>
        <v>D01</v>
      </c>
      <c r="C1214" s="3" t="str">
        <f>'03_Actual_Opex'!C485</f>
        <v>Sales</v>
      </c>
      <c r="D1214" s="3" t="str">
        <f>'03_Actual_Opex'!D485</f>
        <v>A04</v>
      </c>
      <c r="E1214" s="9">
        <f>'03_Actual_Opex'!E485</f>
        <v>8000000</v>
      </c>
      <c r="F1214" s="9">
        <f>E1214*(1+_xlfn.XLOOKUP("Sales",'01_Assumptions'!$A$11:$A$18,'01_Assumptions'!$B$11:$B$18))</f>
        <v>8480000</v>
      </c>
    </row>
    <row r="1215" spans="1:6">
      <c r="A1215" s="5">
        <f>'03_Actual_Opex'!A486</f>
        <v>46113</v>
      </c>
      <c r="B1215" s="3" t="str">
        <f>'03_Actual_Opex'!B486</f>
        <v>D02</v>
      </c>
      <c r="C1215" s="3" t="str">
        <f>'03_Actual_Opex'!C486</f>
        <v>Marketing</v>
      </c>
      <c r="D1215" s="3" t="str">
        <f>'03_Actual_Opex'!D486</f>
        <v>A01</v>
      </c>
      <c r="E1215" s="9">
        <f>'03_Actual_Opex'!E486</f>
        <v>30000000</v>
      </c>
      <c r="F1215" s="9">
        <f>E1215*(1+_xlfn.XLOOKUP("Marketing",'01_Assumptions'!$A$11:$A$18,'01_Assumptions'!$B$11:$B$18))</f>
        <v>32100000.000000004</v>
      </c>
    </row>
    <row r="1216" spans="1:6">
      <c r="A1216" s="5">
        <f>'03_Actual_Opex'!A487</f>
        <v>46113</v>
      </c>
      <c r="B1216" s="3" t="str">
        <f>'03_Actual_Opex'!B487</f>
        <v>D02</v>
      </c>
      <c r="C1216" s="3" t="str">
        <f>'03_Actual_Opex'!C487</f>
        <v>Marketing</v>
      </c>
      <c r="D1216" s="3" t="str">
        <f>'03_Actual_Opex'!D487</f>
        <v>A02</v>
      </c>
      <c r="E1216" s="9">
        <f>'03_Actual_Opex'!E487</f>
        <v>30000000</v>
      </c>
      <c r="F1216" s="9">
        <f>E1216*(1+_xlfn.XLOOKUP("Marketing",'01_Assumptions'!$A$11:$A$18,'01_Assumptions'!$B$11:$B$18))</f>
        <v>32100000.000000004</v>
      </c>
    </row>
    <row r="1217" spans="1:6">
      <c r="A1217" s="5">
        <f>'03_Actual_Opex'!A488</f>
        <v>46113</v>
      </c>
      <c r="B1217" s="3" t="str">
        <f>'03_Actual_Opex'!B488</f>
        <v>D02</v>
      </c>
      <c r="C1217" s="3" t="str">
        <f>'03_Actual_Opex'!C488</f>
        <v>Marketing</v>
      </c>
      <c r="D1217" s="3" t="str">
        <f>'03_Actual_Opex'!D488</f>
        <v>A03</v>
      </c>
      <c r="E1217" s="9">
        <f>'03_Actual_Opex'!E488</f>
        <v>30000000</v>
      </c>
      <c r="F1217" s="9">
        <f>E1217*(1+_xlfn.XLOOKUP("Marketing",'01_Assumptions'!$A$11:$A$18,'01_Assumptions'!$B$11:$B$18))</f>
        <v>32100000.000000004</v>
      </c>
    </row>
    <row r="1218" spans="1:6">
      <c r="A1218" s="5">
        <f>'03_Actual_Opex'!A489</f>
        <v>46113</v>
      </c>
      <c r="B1218" s="3" t="str">
        <f>'03_Actual_Opex'!B489</f>
        <v>D02</v>
      </c>
      <c r="C1218" s="3" t="str">
        <f>'03_Actual_Opex'!C489</f>
        <v>Marketing</v>
      </c>
      <c r="D1218" s="3" t="str">
        <f>'03_Actual_Opex'!D489</f>
        <v>A04</v>
      </c>
      <c r="E1218" s="9">
        <f>'03_Actual_Opex'!E489</f>
        <v>30000000</v>
      </c>
      <c r="F1218" s="9">
        <f>E1218*(1+_xlfn.XLOOKUP("Marketing",'01_Assumptions'!$A$11:$A$18,'01_Assumptions'!$B$11:$B$18))</f>
        <v>32100000.000000004</v>
      </c>
    </row>
    <row r="1219" spans="1:6">
      <c r="A1219" s="5">
        <f>'03_Actual_Opex'!A490</f>
        <v>46113</v>
      </c>
      <c r="B1219" s="3" t="str">
        <f>'03_Actual_Opex'!B490</f>
        <v>D03</v>
      </c>
      <c r="C1219" s="3" t="str">
        <f>'03_Actual_Opex'!C490</f>
        <v>R&amp;D</v>
      </c>
      <c r="D1219" s="3" t="str">
        <f>'03_Actual_Opex'!D490</f>
        <v>A01</v>
      </c>
      <c r="E1219" s="9">
        <f>'03_Actual_Opex'!E490</f>
        <v>20000000</v>
      </c>
      <c r="F1219" s="9">
        <f>E1219*(1+_xlfn.XLOOKUP("R&amp;D",'01_Assumptions'!$A$11:$A$18,'01_Assumptions'!$B$11:$B$18))</f>
        <v>21800000</v>
      </c>
    </row>
    <row r="1220" spans="1:6">
      <c r="A1220" s="5">
        <f>'03_Actual_Opex'!A491</f>
        <v>46113</v>
      </c>
      <c r="B1220" s="3" t="str">
        <f>'03_Actual_Opex'!B491</f>
        <v>D03</v>
      </c>
      <c r="C1220" s="3" t="str">
        <f>'03_Actual_Opex'!C491</f>
        <v>R&amp;D</v>
      </c>
      <c r="D1220" s="3" t="str">
        <f>'03_Actual_Opex'!D491</f>
        <v>A02</v>
      </c>
      <c r="E1220" s="9">
        <f>'03_Actual_Opex'!E491</f>
        <v>20000000</v>
      </c>
      <c r="F1220" s="9">
        <f>E1220*(1+_xlfn.XLOOKUP("R&amp;D",'01_Assumptions'!$A$11:$A$18,'01_Assumptions'!$B$11:$B$18))</f>
        <v>21800000</v>
      </c>
    </row>
    <row r="1221" spans="1:6">
      <c r="A1221" s="5">
        <f>'03_Actual_Opex'!A492</f>
        <v>46113</v>
      </c>
      <c r="B1221" s="3" t="str">
        <f>'03_Actual_Opex'!B492</f>
        <v>D03</v>
      </c>
      <c r="C1221" s="3" t="str">
        <f>'03_Actual_Opex'!C492</f>
        <v>R&amp;D</v>
      </c>
      <c r="D1221" s="3" t="str">
        <f>'03_Actual_Opex'!D492</f>
        <v>A03</v>
      </c>
      <c r="E1221" s="9">
        <f>'03_Actual_Opex'!E492</f>
        <v>20000000</v>
      </c>
      <c r="F1221" s="9">
        <f>E1221*(1+_xlfn.XLOOKUP("R&amp;D",'01_Assumptions'!$A$11:$A$18,'01_Assumptions'!$B$11:$B$18))</f>
        <v>21800000</v>
      </c>
    </row>
    <row r="1222" spans="1:6">
      <c r="A1222" s="5">
        <f>'03_Actual_Opex'!A493</f>
        <v>46113</v>
      </c>
      <c r="B1222" s="3" t="str">
        <f>'03_Actual_Opex'!B493</f>
        <v>D03</v>
      </c>
      <c r="C1222" s="3" t="str">
        <f>'03_Actual_Opex'!C493</f>
        <v>R&amp;D</v>
      </c>
      <c r="D1222" s="3" t="str">
        <f>'03_Actual_Opex'!D493</f>
        <v>A04</v>
      </c>
      <c r="E1222" s="9">
        <f>'03_Actual_Opex'!E493</f>
        <v>20000000</v>
      </c>
      <c r="F1222" s="9">
        <f>E1222*(1+_xlfn.XLOOKUP("R&amp;D",'01_Assumptions'!$A$11:$A$18,'01_Assumptions'!$B$11:$B$18))</f>
        <v>21800000</v>
      </c>
    </row>
    <row r="1223" spans="1:6">
      <c r="A1223" s="5">
        <f>'03_Actual_Opex'!A494</f>
        <v>46113</v>
      </c>
      <c r="B1223" s="3" t="str">
        <f>'03_Actual_Opex'!B494</f>
        <v>D04</v>
      </c>
      <c r="C1223" s="3" t="str">
        <f>'03_Actual_Opex'!C494</f>
        <v>G&amp;A</v>
      </c>
      <c r="D1223" s="3" t="str">
        <f>'03_Actual_Opex'!D494</f>
        <v>A01</v>
      </c>
      <c r="E1223" s="9">
        <f>'03_Actual_Opex'!E494</f>
        <v>8000000</v>
      </c>
      <c r="F1223" s="9">
        <f>E1223*(1+_xlfn.XLOOKUP("G&amp;A",'01_Assumptions'!$A$11:$A$18,'01_Assumptions'!$B$11:$B$18))</f>
        <v>8400000</v>
      </c>
    </row>
    <row r="1224" spans="1:6">
      <c r="A1224" s="5">
        <f>'03_Actual_Opex'!A495</f>
        <v>46113</v>
      </c>
      <c r="B1224" s="3" t="str">
        <f>'03_Actual_Opex'!B495</f>
        <v>D04</v>
      </c>
      <c r="C1224" s="3" t="str">
        <f>'03_Actual_Opex'!C495</f>
        <v>G&amp;A</v>
      </c>
      <c r="D1224" s="3" t="str">
        <f>'03_Actual_Opex'!D495</f>
        <v>A02</v>
      </c>
      <c r="E1224" s="9">
        <f>'03_Actual_Opex'!E495</f>
        <v>8000000</v>
      </c>
      <c r="F1224" s="9">
        <f>E1224*(1+_xlfn.XLOOKUP("G&amp;A",'01_Assumptions'!$A$11:$A$18,'01_Assumptions'!$B$11:$B$18))</f>
        <v>8400000</v>
      </c>
    </row>
    <row r="1225" spans="1:6">
      <c r="A1225" s="5">
        <f>'03_Actual_Opex'!A496</f>
        <v>46113</v>
      </c>
      <c r="B1225" s="3" t="str">
        <f>'03_Actual_Opex'!B496</f>
        <v>D04</v>
      </c>
      <c r="C1225" s="3" t="str">
        <f>'03_Actual_Opex'!C496</f>
        <v>G&amp;A</v>
      </c>
      <c r="D1225" s="3" t="str">
        <f>'03_Actual_Opex'!D496</f>
        <v>A03</v>
      </c>
      <c r="E1225" s="9">
        <f>'03_Actual_Opex'!E496</f>
        <v>8000000</v>
      </c>
      <c r="F1225" s="9">
        <f>E1225*(1+_xlfn.XLOOKUP("G&amp;A",'01_Assumptions'!$A$11:$A$18,'01_Assumptions'!$B$11:$B$18))</f>
        <v>8400000</v>
      </c>
    </row>
    <row r="1226" spans="1:6">
      <c r="A1226" s="5">
        <f>'03_Actual_Opex'!A497</f>
        <v>46113</v>
      </c>
      <c r="B1226" s="3" t="str">
        <f>'03_Actual_Opex'!B497</f>
        <v>D04</v>
      </c>
      <c r="C1226" s="3" t="str">
        <f>'03_Actual_Opex'!C497</f>
        <v>G&amp;A</v>
      </c>
      <c r="D1226" s="3" t="str">
        <f>'03_Actual_Opex'!D497</f>
        <v>A04</v>
      </c>
      <c r="E1226" s="9">
        <f>'03_Actual_Opex'!E497</f>
        <v>8000000</v>
      </c>
      <c r="F1226" s="9">
        <f>E1226*(1+_xlfn.XLOOKUP("G&amp;A",'01_Assumptions'!$A$11:$A$18,'01_Assumptions'!$B$11:$B$18))</f>
        <v>8400000</v>
      </c>
    </row>
    <row r="1227" spans="1:6">
      <c r="A1227" s="5">
        <f>'03_Actual_Opex'!A498</f>
        <v>46113</v>
      </c>
      <c r="B1227" s="3" t="str">
        <f>'03_Actual_Opex'!B498</f>
        <v>D05</v>
      </c>
      <c r="C1227" s="3" t="str">
        <f>'03_Actual_Opex'!C498</f>
        <v>IT</v>
      </c>
      <c r="D1227" s="3" t="str">
        <f>'03_Actual_Opex'!D498</f>
        <v>A01</v>
      </c>
      <c r="E1227" s="9">
        <f>'03_Actual_Opex'!E498</f>
        <v>12000000</v>
      </c>
      <c r="F1227" s="9">
        <f>E1227*(1+_xlfn.XLOOKUP("IT",'01_Assumptions'!$A$11:$A$18,'01_Assumptions'!$B$11:$B$18))</f>
        <v>12960000</v>
      </c>
    </row>
    <row r="1228" spans="1:6">
      <c r="A1228" s="5">
        <f>'03_Actual_Opex'!A499</f>
        <v>46113</v>
      </c>
      <c r="B1228" s="3" t="str">
        <f>'03_Actual_Opex'!B499</f>
        <v>D05</v>
      </c>
      <c r="C1228" s="3" t="str">
        <f>'03_Actual_Opex'!C499</f>
        <v>IT</v>
      </c>
      <c r="D1228" s="3" t="str">
        <f>'03_Actual_Opex'!D499</f>
        <v>A02</v>
      </c>
      <c r="E1228" s="9">
        <f>'03_Actual_Opex'!E499</f>
        <v>12000000</v>
      </c>
      <c r="F1228" s="9">
        <f>E1228*(1+_xlfn.XLOOKUP("IT",'01_Assumptions'!$A$11:$A$18,'01_Assumptions'!$B$11:$B$18))</f>
        <v>12960000</v>
      </c>
    </row>
    <row r="1229" spans="1:6">
      <c r="A1229" s="5">
        <f>'03_Actual_Opex'!A500</f>
        <v>46113</v>
      </c>
      <c r="B1229" s="3" t="str">
        <f>'03_Actual_Opex'!B500</f>
        <v>D05</v>
      </c>
      <c r="C1229" s="3" t="str">
        <f>'03_Actual_Opex'!C500</f>
        <v>IT</v>
      </c>
      <c r="D1229" s="3" t="str">
        <f>'03_Actual_Opex'!D500</f>
        <v>A03</v>
      </c>
      <c r="E1229" s="9">
        <f>'03_Actual_Opex'!E500</f>
        <v>12000000</v>
      </c>
      <c r="F1229" s="9">
        <f>E1229*(1+_xlfn.XLOOKUP("IT",'01_Assumptions'!$A$11:$A$18,'01_Assumptions'!$B$11:$B$18))</f>
        <v>12960000</v>
      </c>
    </row>
    <row r="1230" spans="1:6">
      <c r="A1230" s="5">
        <f>'03_Actual_Opex'!A501</f>
        <v>46113</v>
      </c>
      <c r="B1230" s="3" t="str">
        <f>'03_Actual_Opex'!B501</f>
        <v>D05</v>
      </c>
      <c r="C1230" s="3" t="str">
        <f>'03_Actual_Opex'!C501</f>
        <v>IT</v>
      </c>
      <c r="D1230" s="3" t="str">
        <f>'03_Actual_Opex'!D501</f>
        <v>A04</v>
      </c>
      <c r="E1230" s="9">
        <f>'03_Actual_Opex'!E501</f>
        <v>12000000</v>
      </c>
      <c r="F1230" s="9">
        <f>E1230*(1+_xlfn.XLOOKUP("IT",'01_Assumptions'!$A$11:$A$18,'01_Assumptions'!$B$11:$B$18))</f>
        <v>12960000</v>
      </c>
    </row>
    <row r="1231" spans="1:6">
      <c r="A1231" s="5">
        <f>'03_Actual_Opex'!A502</f>
        <v>46113</v>
      </c>
      <c r="B1231" s="3" t="str">
        <f>'03_Actual_Opex'!B502</f>
        <v>D06</v>
      </c>
      <c r="C1231" s="3" t="str">
        <f>'03_Actual_Opex'!C502</f>
        <v>Customer Operations</v>
      </c>
      <c r="D1231" s="3" t="str">
        <f>'03_Actual_Opex'!D502</f>
        <v>A01</v>
      </c>
      <c r="E1231" s="9">
        <f>'03_Actual_Opex'!E502</f>
        <v>10000000</v>
      </c>
      <c r="F1231" s="9">
        <f>E1231*(1+_xlfn.XLOOKUP("Customer Operations",'01_Assumptions'!$A$11:$A$18,'01_Assumptions'!$B$11:$B$18))</f>
        <v>10600000</v>
      </c>
    </row>
    <row r="1232" spans="1:6">
      <c r="A1232" s="5">
        <f>'03_Actual_Opex'!A503</f>
        <v>46113</v>
      </c>
      <c r="B1232" s="3" t="str">
        <f>'03_Actual_Opex'!B503</f>
        <v>D06</v>
      </c>
      <c r="C1232" s="3" t="str">
        <f>'03_Actual_Opex'!C503</f>
        <v>Customer Operations</v>
      </c>
      <c r="D1232" s="3" t="str">
        <f>'03_Actual_Opex'!D503</f>
        <v>A02</v>
      </c>
      <c r="E1232" s="9">
        <f>'03_Actual_Opex'!E503</f>
        <v>10000000</v>
      </c>
      <c r="F1232" s="9">
        <f>E1232*(1+_xlfn.XLOOKUP("Customer Operations",'01_Assumptions'!$A$11:$A$18,'01_Assumptions'!$B$11:$B$18))</f>
        <v>10600000</v>
      </c>
    </row>
    <row r="1233" spans="1:6">
      <c r="A1233" s="5">
        <f>'03_Actual_Opex'!A504</f>
        <v>46113</v>
      </c>
      <c r="B1233" s="3" t="str">
        <f>'03_Actual_Opex'!B504</f>
        <v>D06</v>
      </c>
      <c r="C1233" s="3" t="str">
        <f>'03_Actual_Opex'!C504</f>
        <v>Customer Operations</v>
      </c>
      <c r="D1233" s="3" t="str">
        <f>'03_Actual_Opex'!D504</f>
        <v>A03</v>
      </c>
      <c r="E1233" s="9">
        <f>'03_Actual_Opex'!E504</f>
        <v>10000000</v>
      </c>
      <c r="F1233" s="9">
        <f>E1233*(1+_xlfn.XLOOKUP("Customer Operations",'01_Assumptions'!$A$11:$A$18,'01_Assumptions'!$B$11:$B$18))</f>
        <v>10600000</v>
      </c>
    </row>
    <row r="1234" spans="1:6">
      <c r="A1234" s="5">
        <f>'03_Actual_Opex'!A505</f>
        <v>46113</v>
      </c>
      <c r="B1234" s="3" t="str">
        <f>'03_Actual_Opex'!B505</f>
        <v>D06</v>
      </c>
      <c r="C1234" s="3" t="str">
        <f>'03_Actual_Opex'!C505</f>
        <v>Customer Operations</v>
      </c>
      <c r="D1234" s="3" t="str">
        <f>'03_Actual_Opex'!D505</f>
        <v>A04</v>
      </c>
      <c r="E1234" s="9">
        <f>'03_Actual_Opex'!E505</f>
        <v>10000000</v>
      </c>
      <c r="F1234" s="9">
        <f>E1234*(1+_xlfn.XLOOKUP("Customer Operations",'01_Assumptions'!$A$11:$A$18,'01_Assumptions'!$B$11:$B$18))</f>
        <v>10600000</v>
      </c>
    </row>
    <row r="1235" spans="1:6">
      <c r="A1235" s="5">
        <f>'03_Actual_Opex'!A506</f>
        <v>46113</v>
      </c>
      <c r="B1235" s="3" t="str">
        <f>'03_Actual_Opex'!B506</f>
        <v>D07</v>
      </c>
      <c r="C1235" s="3" t="str">
        <f>'03_Actual_Opex'!C506</f>
        <v>HR</v>
      </c>
      <c r="D1235" s="3" t="str">
        <f>'03_Actual_Opex'!D506</f>
        <v>A01</v>
      </c>
      <c r="E1235" s="9">
        <f>'03_Actual_Opex'!E506</f>
        <v>3000000</v>
      </c>
      <c r="F1235" s="9">
        <f>E1235*(1+_xlfn.XLOOKUP("HR",'01_Assumptions'!$A$11:$A$18,'01_Assumptions'!$B$11:$B$18))</f>
        <v>3150000</v>
      </c>
    </row>
    <row r="1236" spans="1:6">
      <c r="A1236" s="5">
        <f>'03_Actual_Opex'!A507</f>
        <v>46113</v>
      </c>
      <c r="B1236" s="3" t="str">
        <f>'03_Actual_Opex'!B507</f>
        <v>D07</v>
      </c>
      <c r="C1236" s="3" t="str">
        <f>'03_Actual_Opex'!C507</f>
        <v>HR</v>
      </c>
      <c r="D1236" s="3" t="str">
        <f>'03_Actual_Opex'!D507</f>
        <v>A02</v>
      </c>
      <c r="E1236" s="9">
        <f>'03_Actual_Opex'!E507</f>
        <v>3000000</v>
      </c>
      <c r="F1236" s="9">
        <f>E1236*(1+_xlfn.XLOOKUP("HR",'01_Assumptions'!$A$11:$A$18,'01_Assumptions'!$B$11:$B$18))</f>
        <v>3150000</v>
      </c>
    </row>
    <row r="1237" spans="1:6">
      <c r="A1237" s="5">
        <f>'03_Actual_Opex'!A508</f>
        <v>46113</v>
      </c>
      <c r="B1237" s="3" t="str">
        <f>'03_Actual_Opex'!B508</f>
        <v>D07</v>
      </c>
      <c r="C1237" s="3" t="str">
        <f>'03_Actual_Opex'!C508</f>
        <v>HR</v>
      </c>
      <c r="D1237" s="3" t="str">
        <f>'03_Actual_Opex'!D508</f>
        <v>A03</v>
      </c>
      <c r="E1237" s="9">
        <f>'03_Actual_Opex'!E508</f>
        <v>3000000</v>
      </c>
      <c r="F1237" s="9">
        <f>E1237*(1+_xlfn.XLOOKUP("HR",'01_Assumptions'!$A$11:$A$18,'01_Assumptions'!$B$11:$B$18))</f>
        <v>3150000</v>
      </c>
    </row>
    <row r="1238" spans="1:6">
      <c r="A1238" s="5">
        <f>'03_Actual_Opex'!A509</f>
        <v>46113</v>
      </c>
      <c r="B1238" s="3" t="str">
        <f>'03_Actual_Opex'!B509</f>
        <v>D07</v>
      </c>
      <c r="C1238" s="3" t="str">
        <f>'03_Actual_Opex'!C509</f>
        <v>HR</v>
      </c>
      <c r="D1238" s="3" t="str">
        <f>'03_Actual_Opex'!D509</f>
        <v>A04</v>
      </c>
      <c r="E1238" s="9">
        <f>'03_Actual_Opex'!E509</f>
        <v>3000000</v>
      </c>
      <c r="F1238" s="9">
        <f>E1238*(1+_xlfn.XLOOKUP("HR",'01_Assumptions'!$A$11:$A$18,'01_Assumptions'!$B$11:$B$18))</f>
        <v>3150000</v>
      </c>
    </row>
    <row r="1239" spans="1:6">
      <c r="A1239" s="5">
        <f>'03_Actual_Opex'!A510</f>
        <v>46113</v>
      </c>
      <c r="B1239" s="3" t="str">
        <f>'03_Actual_Opex'!B510</f>
        <v>D08</v>
      </c>
      <c r="C1239" s="3" t="str">
        <f>'03_Actual_Opex'!C510</f>
        <v>Facilities</v>
      </c>
      <c r="D1239" s="3" t="str">
        <f>'03_Actual_Opex'!D510</f>
        <v>A01</v>
      </c>
      <c r="E1239" s="9">
        <f>'03_Actual_Opex'!E510</f>
        <v>8000000</v>
      </c>
      <c r="F1239" s="9">
        <f>E1239*(1+_xlfn.XLOOKUP("Facilities",'01_Assumptions'!$A$11:$A$18,'01_Assumptions'!$B$11:$B$18))</f>
        <v>8400000</v>
      </c>
    </row>
    <row r="1240" spans="1:6">
      <c r="A1240" s="5">
        <f>'03_Actual_Opex'!A511</f>
        <v>46113</v>
      </c>
      <c r="B1240" s="3" t="str">
        <f>'03_Actual_Opex'!B511</f>
        <v>D08</v>
      </c>
      <c r="C1240" s="3" t="str">
        <f>'03_Actual_Opex'!C511</f>
        <v>Facilities</v>
      </c>
      <c r="D1240" s="3" t="str">
        <f>'03_Actual_Opex'!D511</f>
        <v>A02</v>
      </c>
      <c r="E1240" s="9">
        <f>'03_Actual_Opex'!E511</f>
        <v>8000000</v>
      </c>
      <c r="F1240" s="9">
        <f>E1240*(1+_xlfn.XLOOKUP("Facilities",'01_Assumptions'!$A$11:$A$18,'01_Assumptions'!$B$11:$B$18))</f>
        <v>8400000</v>
      </c>
    </row>
    <row r="1241" spans="1:6">
      <c r="A1241" s="5">
        <f>'03_Actual_Opex'!A512</f>
        <v>46113</v>
      </c>
      <c r="B1241" s="3" t="str">
        <f>'03_Actual_Opex'!B512</f>
        <v>D08</v>
      </c>
      <c r="C1241" s="3" t="str">
        <f>'03_Actual_Opex'!C512</f>
        <v>Facilities</v>
      </c>
      <c r="D1241" s="3" t="str">
        <f>'03_Actual_Opex'!D512</f>
        <v>A03</v>
      </c>
      <c r="E1241" s="9">
        <f>'03_Actual_Opex'!E512</f>
        <v>8000000</v>
      </c>
      <c r="F1241" s="9">
        <f>E1241*(1+_xlfn.XLOOKUP("Facilities",'01_Assumptions'!$A$11:$A$18,'01_Assumptions'!$B$11:$B$18))</f>
        <v>8400000</v>
      </c>
    </row>
    <row r="1242" spans="1:6">
      <c r="A1242" s="5">
        <f>'03_Actual_Opex'!A513</f>
        <v>46113</v>
      </c>
      <c r="B1242" s="3" t="str">
        <f>'03_Actual_Opex'!B513</f>
        <v>D08</v>
      </c>
      <c r="C1242" s="3" t="str">
        <f>'03_Actual_Opex'!C513</f>
        <v>Facilities</v>
      </c>
      <c r="D1242" s="3" t="str">
        <f>'03_Actual_Opex'!D513</f>
        <v>A04</v>
      </c>
      <c r="E1242" s="9">
        <f>'03_Actual_Opex'!E513</f>
        <v>8000000</v>
      </c>
      <c r="F1242" s="9">
        <f>E1242*(1+_xlfn.XLOOKUP("Facilities",'01_Assumptions'!$A$11:$A$18,'01_Assumptions'!$B$11:$B$18))</f>
        <v>8400000</v>
      </c>
    </row>
    <row r="1243" spans="1:6">
      <c r="A1243" s="5">
        <f>'03_Actual_Opex'!A514</f>
        <v>46143</v>
      </c>
      <c r="B1243" s="3" t="str">
        <f>'03_Actual_Opex'!B514</f>
        <v>D01</v>
      </c>
      <c r="C1243" s="3" t="str">
        <f>'03_Actual_Opex'!C514</f>
        <v>Sales</v>
      </c>
      <c r="D1243" s="3" t="str">
        <f>'03_Actual_Opex'!D514</f>
        <v>A01</v>
      </c>
      <c r="E1243" s="9">
        <f>'03_Actual_Opex'!E514</f>
        <v>8000000</v>
      </c>
      <c r="F1243" s="9">
        <f>E1243*(1+_xlfn.XLOOKUP("Sales",'01_Assumptions'!$A$11:$A$18,'01_Assumptions'!$B$11:$B$18))</f>
        <v>8480000</v>
      </c>
    </row>
    <row r="1244" spans="1:6">
      <c r="A1244" s="5">
        <f>'03_Actual_Opex'!A515</f>
        <v>46143</v>
      </c>
      <c r="B1244" s="3" t="str">
        <f>'03_Actual_Opex'!B515</f>
        <v>D01</v>
      </c>
      <c r="C1244" s="3" t="str">
        <f>'03_Actual_Opex'!C515</f>
        <v>Sales</v>
      </c>
      <c r="D1244" s="3" t="str">
        <f>'03_Actual_Opex'!D515</f>
        <v>A02</v>
      </c>
      <c r="E1244" s="9">
        <f>'03_Actual_Opex'!E515</f>
        <v>8000000</v>
      </c>
      <c r="F1244" s="9">
        <f>E1244*(1+_xlfn.XLOOKUP("Sales",'01_Assumptions'!$A$11:$A$18,'01_Assumptions'!$B$11:$B$18))</f>
        <v>8480000</v>
      </c>
    </row>
    <row r="1245" spans="1:6">
      <c r="A1245" s="5">
        <f>'03_Actual_Opex'!A516</f>
        <v>46143</v>
      </c>
      <c r="B1245" s="3" t="str">
        <f>'03_Actual_Opex'!B516</f>
        <v>D01</v>
      </c>
      <c r="C1245" s="3" t="str">
        <f>'03_Actual_Opex'!C516</f>
        <v>Sales</v>
      </c>
      <c r="D1245" s="3" t="str">
        <f>'03_Actual_Opex'!D516</f>
        <v>A03</v>
      </c>
      <c r="E1245" s="9">
        <f>'03_Actual_Opex'!E516</f>
        <v>8000000</v>
      </c>
      <c r="F1245" s="9">
        <f>E1245*(1+_xlfn.XLOOKUP("Sales",'01_Assumptions'!$A$11:$A$18,'01_Assumptions'!$B$11:$B$18))</f>
        <v>8480000</v>
      </c>
    </row>
    <row r="1246" spans="1:6">
      <c r="A1246" s="5">
        <f>'03_Actual_Opex'!A517</f>
        <v>46143</v>
      </c>
      <c r="B1246" s="3" t="str">
        <f>'03_Actual_Opex'!B517</f>
        <v>D01</v>
      </c>
      <c r="C1246" s="3" t="str">
        <f>'03_Actual_Opex'!C517</f>
        <v>Sales</v>
      </c>
      <c r="D1246" s="3" t="str">
        <f>'03_Actual_Opex'!D517</f>
        <v>A04</v>
      </c>
      <c r="E1246" s="9">
        <f>'03_Actual_Opex'!E517</f>
        <v>8000000</v>
      </c>
      <c r="F1246" s="9">
        <f>E1246*(1+_xlfn.XLOOKUP("Sales",'01_Assumptions'!$A$11:$A$18,'01_Assumptions'!$B$11:$B$18))</f>
        <v>8480000</v>
      </c>
    </row>
    <row r="1247" spans="1:6">
      <c r="A1247" s="5">
        <f>'03_Actual_Opex'!A518</f>
        <v>46143</v>
      </c>
      <c r="B1247" s="3" t="str">
        <f>'03_Actual_Opex'!B518</f>
        <v>D02</v>
      </c>
      <c r="C1247" s="3" t="str">
        <f>'03_Actual_Opex'!C518</f>
        <v>Marketing</v>
      </c>
      <c r="D1247" s="3" t="str">
        <f>'03_Actual_Opex'!D518</f>
        <v>A01</v>
      </c>
      <c r="E1247" s="9">
        <f>'03_Actual_Opex'!E518</f>
        <v>30000000</v>
      </c>
      <c r="F1247" s="9">
        <f>E1247*(1+_xlfn.XLOOKUP("Marketing",'01_Assumptions'!$A$11:$A$18,'01_Assumptions'!$B$11:$B$18))</f>
        <v>32100000.000000004</v>
      </c>
    </row>
    <row r="1248" spans="1:6">
      <c r="A1248" s="5">
        <f>'03_Actual_Opex'!A519</f>
        <v>46143</v>
      </c>
      <c r="B1248" s="3" t="str">
        <f>'03_Actual_Opex'!B519</f>
        <v>D02</v>
      </c>
      <c r="C1248" s="3" t="str">
        <f>'03_Actual_Opex'!C519</f>
        <v>Marketing</v>
      </c>
      <c r="D1248" s="3" t="str">
        <f>'03_Actual_Opex'!D519</f>
        <v>A02</v>
      </c>
      <c r="E1248" s="9">
        <f>'03_Actual_Opex'!E519</f>
        <v>30000000</v>
      </c>
      <c r="F1248" s="9">
        <f>E1248*(1+_xlfn.XLOOKUP("Marketing",'01_Assumptions'!$A$11:$A$18,'01_Assumptions'!$B$11:$B$18))</f>
        <v>32100000.000000004</v>
      </c>
    </row>
    <row r="1249" spans="1:6">
      <c r="A1249" s="5">
        <f>'03_Actual_Opex'!A520</f>
        <v>46143</v>
      </c>
      <c r="B1249" s="3" t="str">
        <f>'03_Actual_Opex'!B520</f>
        <v>D02</v>
      </c>
      <c r="C1249" s="3" t="str">
        <f>'03_Actual_Opex'!C520</f>
        <v>Marketing</v>
      </c>
      <c r="D1249" s="3" t="str">
        <f>'03_Actual_Opex'!D520</f>
        <v>A03</v>
      </c>
      <c r="E1249" s="9">
        <f>'03_Actual_Opex'!E520</f>
        <v>30000000</v>
      </c>
      <c r="F1249" s="9">
        <f>E1249*(1+_xlfn.XLOOKUP("Marketing",'01_Assumptions'!$A$11:$A$18,'01_Assumptions'!$B$11:$B$18))</f>
        <v>32100000.000000004</v>
      </c>
    </row>
    <row r="1250" spans="1:6">
      <c r="A1250" s="5">
        <f>'03_Actual_Opex'!A521</f>
        <v>46143</v>
      </c>
      <c r="B1250" s="3" t="str">
        <f>'03_Actual_Opex'!B521</f>
        <v>D02</v>
      </c>
      <c r="C1250" s="3" t="str">
        <f>'03_Actual_Opex'!C521</f>
        <v>Marketing</v>
      </c>
      <c r="D1250" s="3" t="str">
        <f>'03_Actual_Opex'!D521</f>
        <v>A04</v>
      </c>
      <c r="E1250" s="9">
        <f>'03_Actual_Opex'!E521</f>
        <v>30000000</v>
      </c>
      <c r="F1250" s="9">
        <f>E1250*(1+_xlfn.XLOOKUP("Marketing",'01_Assumptions'!$A$11:$A$18,'01_Assumptions'!$B$11:$B$18))</f>
        <v>32100000.000000004</v>
      </c>
    </row>
    <row r="1251" spans="1:6">
      <c r="A1251" s="5">
        <f>'03_Actual_Opex'!A522</f>
        <v>46143</v>
      </c>
      <c r="B1251" s="3" t="str">
        <f>'03_Actual_Opex'!B522</f>
        <v>D03</v>
      </c>
      <c r="C1251" s="3" t="str">
        <f>'03_Actual_Opex'!C522</f>
        <v>R&amp;D</v>
      </c>
      <c r="D1251" s="3" t="str">
        <f>'03_Actual_Opex'!D522</f>
        <v>A01</v>
      </c>
      <c r="E1251" s="9">
        <f>'03_Actual_Opex'!E522</f>
        <v>20000000</v>
      </c>
      <c r="F1251" s="9">
        <f>E1251*(1+_xlfn.XLOOKUP("R&amp;D",'01_Assumptions'!$A$11:$A$18,'01_Assumptions'!$B$11:$B$18))</f>
        <v>21800000</v>
      </c>
    </row>
    <row r="1252" spans="1:6">
      <c r="A1252" s="5">
        <f>'03_Actual_Opex'!A523</f>
        <v>46143</v>
      </c>
      <c r="B1252" s="3" t="str">
        <f>'03_Actual_Opex'!B523</f>
        <v>D03</v>
      </c>
      <c r="C1252" s="3" t="str">
        <f>'03_Actual_Opex'!C523</f>
        <v>R&amp;D</v>
      </c>
      <c r="D1252" s="3" t="str">
        <f>'03_Actual_Opex'!D523</f>
        <v>A02</v>
      </c>
      <c r="E1252" s="9">
        <f>'03_Actual_Opex'!E523</f>
        <v>20000000</v>
      </c>
      <c r="F1252" s="9">
        <f>E1252*(1+_xlfn.XLOOKUP("R&amp;D",'01_Assumptions'!$A$11:$A$18,'01_Assumptions'!$B$11:$B$18))</f>
        <v>21800000</v>
      </c>
    </row>
    <row r="1253" spans="1:6">
      <c r="A1253" s="5">
        <f>'03_Actual_Opex'!A524</f>
        <v>46143</v>
      </c>
      <c r="B1253" s="3" t="str">
        <f>'03_Actual_Opex'!B524</f>
        <v>D03</v>
      </c>
      <c r="C1253" s="3" t="str">
        <f>'03_Actual_Opex'!C524</f>
        <v>R&amp;D</v>
      </c>
      <c r="D1253" s="3" t="str">
        <f>'03_Actual_Opex'!D524</f>
        <v>A03</v>
      </c>
      <c r="E1253" s="9">
        <f>'03_Actual_Opex'!E524</f>
        <v>20000000</v>
      </c>
      <c r="F1253" s="9">
        <f>E1253*(1+_xlfn.XLOOKUP("R&amp;D",'01_Assumptions'!$A$11:$A$18,'01_Assumptions'!$B$11:$B$18))</f>
        <v>21800000</v>
      </c>
    </row>
    <row r="1254" spans="1:6">
      <c r="A1254" s="5">
        <f>'03_Actual_Opex'!A525</f>
        <v>46143</v>
      </c>
      <c r="B1254" s="3" t="str">
        <f>'03_Actual_Opex'!B525</f>
        <v>D03</v>
      </c>
      <c r="C1254" s="3" t="str">
        <f>'03_Actual_Opex'!C525</f>
        <v>R&amp;D</v>
      </c>
      <c r="D1254" s="3" t="str">
        <f>'03_Actual_Opex'!D525</f>
        <v>A04</v>
      </c>
      <c r="E1254" s="9">
        <f>'03_Actual_Opex'!E525</f>
        <v>20000000</v>
      </c>
      <c r="F1254" s="9">
        <f>E1254*(1+_xlfn.XLOOKUP("R&amp;D",'01_Assumptions'!$A$11:$A$18,'01_Assumptions'!$B$11:$B$18))</f>
        <v>21800000</v>
      </c>
    </row>
    <row r="1255" spans="1:6">
      <c r="A1255" s="5">
        <f>'03_Actual_Opex'!A526</f>
        <v>46143</v>
      </c>
      <c r="B1255" s="3" t="str">
        <f>'03_Actual_Opex'!B526</f>
        <v>D04</v>
      </c>
      <c r="C1255" s="3" t="str">
        <f>'03_Actual_Opex'!C526</f>
        <v>G&amp;A</v>
      </c>
      <c r="D1255" s="3" t="str">
        <f>'03_Actual_Opex'!D526</f>
        <v>A01</v>
      </c>
      <c r="E1255" s="9">
        <f>'03_Actual_Opex'!E526</f>
        <v>8000000</v>
      </c>
      <c r="F1255" s="9">
        <f>E1255*(1+_xlfn.XLOOKUP("G&amp;A",'01_Assumptions'!$A$11:$A$18,'01_Assumptions'!$B$11:$B$18))</f>
        <v>8400000</v>
      </c>
    </row>
    <row r="1256" spans="1:6">
      <c r="A1256" s="5">
        <f>'03_Actual_Opex'!A527</f>
        <v>46143</v>
      </c>
      <c r="B1256" s="3" t="str">
        <f>'03_Actual_Opex'!B527</f>
        <v>D04</v>
      </c>
      <c r="C1256" s="3" t="str">
        <f>'03_Actual_Opex'!C527</f>
        <v>G&amp;A</v>
      </c>
      <c r="D1256" s="3" t="str">
        <f>'03_Actual_Opex'!D527</f>
        <v>A02</v>
      </c>
      <c r="E1256" s="9">
        <f>'03_Actual_Opex'!E527</f>
        <v>8000000</v>
      </c>
      <c r="F1256" s="9">
        <f>E1256*(1+_xlfn.XLOOKUP("G&amp;A",'01_Assumptions'!$A$11:$A$18,'01_Assumptions'!$B$11:$B$18))</f>
        <v>8400000</v>
      </c>
    </row>
    <row r="1257" spans="1:6">
      <c r="A1257" s="5">
        <f>'03_Actual_Opex'!A528</f>
        <v>46143</v>
      </c>
      <c r="B1257" s="3" t="str">
        <f>'03_Actual_Opex'!B528</f>
        <v>D04</v>
      </c>
      <c r="C1257" s="3" t="str">
        <f>'03_Actual_Opex'!C528</f>
        <v>G&amp;A</v>
      </c>
      <c r="D1257" s="3" t="str">
        <f>'03_Actual_Opex'!D528</f>
        <v>A03</v>
      </c>
      <c r="E1257" s="9">
        <f>'03_Actual_Opex'!E528</f>
        <v>8000000</v>
      </c>
      <c r="F1257" s="9">
        <f>E1257*(1+_xlfn.XLOOKUP("G&amp;A",'01_Assumptions'!$A$11:$A$18,'01_Assumptions'!$B$11:$B$18))</f>
        <v>8400000</v>
      </c>
    </row>
    <row r="1258" spans="1:6">
      <c r="A1258" s="5">
        <f>'03_Actual_Opex'!A529</f>
        <v>46143</v>
      </c>
      <c r="B1258" s="3" t="str">
        <f>'03_Actual_Opex'!B529</f>
        <v>D04</v>
      </c>
      <c r="C1258" s="3" t="str">
        <f>'03_Actual_Opex'!C529</f>
        <v>G&amp;A</v>
      </c>
      <c r="D1258" s="3" t="str">
        <f>'03_Actual_Opex'!D529</f>
        <v>A04</v>
      </c>
      <c r="E1258" s="9">
        <f>'03_Actual_Opex'!E529</f>
        <v>8000000</v>
      </c>
      <c r="F1258" s="9">
        <f>E1258*(1+_xlfn.XLOOKUP("G&amp;A",'01_Assumptions'!$A$11:$A$18,'01_Assumptions'!$B$11:$B$18))</f>
        <v>8400000</v>
      </c>
    </row>
    <row r="1259" spans="1:6">
      <c r="A1259" s="5">
        <f>'03_Actual_Opex'!A530</f>
        <v>46143</v>
      </c>
      <c r="B1259" s="3" t="str">
        <f>'03_Actual_Opex'!B530</f>
        <v>D05</v>
      </c>
      <c r="C1259" s="3" t="str">
        <f>'03_Actual_Opex'!C530</f>
        <v>IT</v>
      </c>
      <c r="D1259" s="3" t="str">
        <f>'03_Actual_Opex'!D530</f>
        <v>A01</v>
      </c>
      <c r="E1259" s="9">
        <f>'03_Actual_Opex'!E530</f>
        <v>12000000</v>
      </c>
      <c r="F1259" s="9">
        <f>E1259*(1+_xlfn.XLOOKUP("IT",'01_Assumptions'!$A$11:$A$18,'01_Assumptions'!$B$11:$B$18))</f>
        <v>12960000</v>
      </c>
    </row>
    <row r="1260" spans="1:6">
      <c r="A1260" s="5">
        <f>'03_Actual_Opex'!A531</f>
        <v>46143</v>
      </c>
      <c r="B1260" s="3" t="str">
        <f>'03_Actual_Opex'!B531</f>
        <v>D05</v>
      </c>
      <c r="C1260" s="3" t="str">
        <f>'03_Actual_Opex'!C531</f>
        <v>IT</v>
      </c>
      <c r="D1260" s="3" t="str">
        <f>'03_Actual_Opex'!D531</f>
        <v>A02</v>
      </c>
      <c r="E1260" s="9">
        <f>'03_Actual_Opex'!E531</f>
        <v>12000000</v>
      </c>
      <c r="F1260" s="9">
        <f>E1260*(1+_xlfn.XLOOKUP("IT",'01_Assumptions'!$A$11:$A$18,'01_Assumptions'!$B$11:$B$18))</f>
        <v>12960000</v>
      </c>
    </row>
    <row r="1261" spans="1:6">
      <c r="A1261" s="5">
        <f>'03_Actual_Opex'!A532</f>
        <v>46143</v>
      </c>
      <c r="B1261" s="3" t="str">
        <f>'03_Actual_Opex'!B532</f>
        <v>D05</v>
      </c>
      <c r="C1261" s="3" t="str">
        <f>'03_Actual_Opex'!C532</f>
        <v>IT</v>
      </c>
      <c r="D1261" s="3" t="str">
        <f>'03_Actual_Opex'!D532</f>
        <v>A03</v>
      </c>
      <c r="E1261" s="9">
        <f>'03_Actual_Opex'!E532</f>
        <v>12000000</v>
      </c>
      <c r="F1261" s="9">
        <f>E1261*(1+_xlfn.XLOOKUP("IT",'01_Assumptions'!$A$11:$A$18,'01_Assumptions'!$B$11:$B$18))</f>
        <v>12960000</v>
      </c>
    </row>
    <row r="1262" spans="1:6">
      <c r="A1262" s="5">
        <f>'03_Actual_Opex'!A533</f>
        <v>46143</v>
      </c>
      <c r="B1262" s="3" t="str">
        <f>'03_Actual_Opex'!B533</f>
        <v>D05</v>
      </c>
      <c r="C1262" s="3" t="str">
        <f>'03_Actual_Opex'!C533</f>
        <v>IT</v>
      </c>
      <c r="D1262" s="3" t="str">
        <f>'03_Actual_Opex'!D533</f>
        <v>A04</v>
      </c>
      <c r="E1262" s="9">
        <f>'03_Actual_Opex'!E533</f>
        <v>12000000</v>
      </c>
      <c r="F1262" s="9">
        <f>E1262*(1+_xlfn.XLOOKUP("IT",'01_Assumptions'!$A$11:$A$18,'01_Assumptions'!$B$11:$B$18))</f>
        <v>12960000</v>
      </c>
    </row>
    <row r="1263" spans="1:6">
      <c r="A1263" s="5">
        <f>'03_Actual_Opex'!A534</f>
        <v>46143</v>
      </c>
      <c r="B1263" s="3" t="str">
        <f>'03_Actual_Opex'!B534</f>
        <v>D06</v>
      </c>
      <c r="C1263" s="3" t="str">
        <f>'03_Actual_Opex'!C534</f>
        <v>Customer Operations</v>
      </c>
      <c r="D1263" s="3" t="str">
        <f>'03_Actual_Opex'!D534</f>
        <v>A01</v>
      </c>
      <c r="E1263" s="9">
        <f>'03_Actual_Opex'!E534</f>
        <v>10000000</v>
      </c>
      <c r="F1263" s="9">
        <f>E1263*(1+_xlfn.XLOOKUP("Customer Operations",'01_Assumptions'!$A$11:$A$18,'01_Assumptions'!$B$11:$B$18))</f>
        <v>10600000</v>
      </c>
    </row>
    <row r="1264" spans="1:6">
      <c r="A1264" s="5">
        <f>'03_Actual_Opex'!A535</f>
        <v>46143</v>
      </c>
      <c r="B1264" s="3" t="str">
        <f>'03_Actual_Opex'!B535</f>
        <v>D06</v>
      </c>
      <c r="C1264" s="3" t="str">
        <f>'03_Actual_Opex'!C535</f>
        <v>Customer Operations</v>
      </c>
      <c r="D1264" s="3" t="str">
        <f>'03_Actual_Opex'!D535</f>
        <v>A02</v>
      </c>
      <c r="E1264" s="9">
        <f>'03_Actual_Opex'!E535</f>
        <v>10000000</v>
      </c>
      <c r="F1264" s="9">
        <f>E1264*(1+_xlfn.XLOOKUP("Customer Operations",'01_Assumptions'!$A$11:$A$18,'01_Assumptions'!$B$11:$B$18))</f>
        <v>10600000</v>
      </c>
    </row>
    <row r="1265" spans="1:6">
      <c r="A1265" s="5">
        <f>'03_Actual_Opex'!A536</f>
        <v>46143</v>
      </c>
      <c r="B1265" s="3" t="str">
        <f>'03_Actual_Opex'!B536</f>
        <v>D06</v>
      </c>
      <c r="C1265" s="3" t="str">
        <f>'03_Actual_Opex'!C536</f>
        <v>Customer Operations</v>
      </c>
      <c r="D1265" s="3" t="str">
        <f>'03_Actual_Opex'!D536</f>
        <v>A03</v>
      </c>
      <c r="E1265" s="9">
        <f>'03_Actual_Opex'!E536</f>
        <v>10000000</v>
      </c>
      <c r="F1265" s="9">
        <f>E1265*(1+_xlfn.XLOOKUP("Customer Operations",'01_Assumptions'!$A$11:$A$18,'01_Assumptions'!$B$11:$B$18))</f>
        <v>10600000</v>
      </c>
    </row>
    <row r="1266" spans="1:6">
      <c r="A1266" s="5">
        <f>'03_Actual_Opex'!A537</f>
        <v>46143</v>
      </c>
      <c r="B1266" s="3" t="str">
        <f>'03_Actual_Opex'!B537</f>
        <v>D06</v>
      </c>
      <c r="C1266" s="3" t="str">
        <f>'03_Actual_Opex'!C537</f>
        <v>Customer Operations</v>
      </c>
      <c r="D1266" s="3" t="str">
        <f>'03_Actual_Opex'!D537</f>
        <v>A04</v>
      </c>
      <c r="E1266" s="9">
        <f>'03_Actual_Opex'!E537</f>
        <v>10000000</v>
      </c>
      <c r="F1266" s="9">
        <f>E1266*(1+_xlfn.XLOOKUP("Customer Operations",'01_Assumptions'!$A$11:$A$18,'01_Assumptions'!$B$11:$B$18))</f>
        <v>10600000</v>
      </c>
    </row>
    <row r="1267" spans="1:6">
      <c r="A1267" s="5">
        <f>'03_Actual_Opex'!A538</f>
        <v>46143</v>
      </c>
      <c r="B1267" s="3" t="str">
        <f>'03_Actual_Opex'!B538</f>
        <v>D07</v>
      </c>
      <c r="C1267" s="3" t="str">
        <f>'03_Actual_Opex'!C538</f>
        <v>HR</v>
      </c>
      <c r="D1267" s="3" t="str">
        <f>'03_Actual_Opex'!D538</f>
        <v>A01</v>
      </c>
      <c r="E1267" s="9">
        <f>'03_Actual_Opex'!E538</f>
        <v>3000000</v>
      </c>
      <c r="F1267" s="9">
        <f>E1267*(1+_xlfn.XLOOKUP("HR",'01_Assumptions'!$A$11:$A$18,'01_Assumptions'!$B$11:$B$18))</f>
        <v>3150000</v>
      </c>
    </row>
    <row r="1268" spans="1:6">
      <c r="A1268" s="5">
        <f>'03_Actual_Opex'!A539</f>
        <v>46143</v>
      </c>
      <c r="B1268" s="3" t="str">
        <f>'03_Actual_Opex'!B539</f>
        <v>D07</v>
      </c>
      <c r="C1268" s="3" t="str">
        <f>'03_Actual_Opex'!C539</f>
        <v>HR</v>
      </c>
      <c r="D1268" s="3" t="str">
        <f>'03_Actual_Opex'!D539</f>
        <v>A02</v>
      </c>
      <c r="E1268" s="9">
        <f>'03_Actual_Opex'!E539</f>
        <v>3000000</v>
      </c>
      <c r="F1268" s="9">
        <f>E1268*(1+_xlfn.XLOOKUP("HR",'01_Assumptions'!$A$11:$A$18,'01_Assumptions'!$B$11:$B$18))</f>
        <v>3150000</v>
      </c>
    </row>
    <row r="1269" spans="1:6">
      <c r="A1269" s="5">
        <f>'03_Actual_Opex'!A540</f>
        <v>46143</v>
      </c>
      <c r="B1269" s="3" t="str">
        <f>'03_Actual_Opex'!B540</f>
        <v>D07</v>
      </c>
      <c r="C1269" s="3" t="str">
        <f>'03_Actual_Opex'!C540</f>
        <v>HR</v>
      </c>
      <c r="D1269" s="3" t="str">
        <f>'03_Actual_Opex'!D540</f>
        <v>A03</v>
      </c>
      <c r="E1269" s="9">
        <f>'03_Actual_Opex'!E540</f>
        <v>3000000</v>
      </c>
      <c r="F1269" s="9">
        <f>E1269*(1+_xlfn.XLOOKUP("HR",'01_Assumptions'!$A$11:$A$18,'01_Assumptions'!$B$11:$B$18))</f>
        <v>3150000</v>
      </c>
    </row>
    <row r="1270" spans="1:6">
      <c r="A1270" s="5">
        <f>'03_Actual_Opex'!A541</f>
        <v>46143</v>
      </c>
      <c r="B1270" s="3" t="str">
        <f>'03_Actual_Opex'!B541</f>
        <v>D07</v>
      </c>
      <c r="C1270" s="3" t="str">
        <f>'03_Actual_Opex'!C541</f>
        <v>HR</v>
      </c>
      <c r="D1270" s="3" t="str">
        <f>'03_Actual_Opex'!D541</f>
        <v>A04</v>
      </c>
      <c r="E1270" s="9">
        <f>'03_Actual_Opex'!E541</f>
        <v>3000000</v>
      </c>
      <c r="F1270" s="9">
        <f>E1270*(1+_xlfn.XLOOKUP("HR",'01_Assumptions'!$A$11:$A$18,'01_Assumptions'!$B$11:$B$18))</f>
        <v>3150000</v>
      </c>
    </row>
    <row r="1271" spans="1:6">
      <c r="A1271" s="5">
        <f>'03_Actual_Opex'!A542</f>
        <v>46143</v>
      </c>
      <c r="B1271" s="3" t="str">
        <f>'03_Actual_Opex'!B542</f>
        <v>D08</v>
      </c>
      <c r="C1271" s="3" t="str">
        <f>'03_Actual_Opex'!C542</f>
        <v>Facilities</v>
      </c>
      <c r="D1271" s="3" t="str">
        <f>'03_Actual_Opex'!D542</f>
        <v>A01</v>
      </c>
      <c r="E1271" s="9">
        <f>'03_Actual_Opex'!E542</f>
        <v>8000000</v>
      </c>
      <c r="F1271" s="9">
        <f>E1271*(1+_xlfn.XLOOKUP("Facilities",'01_Assumptions'!$A$11:$A$18,'01_Assumptions'!$B$11:$B$18))</f>
        <v>8400000</v>
      </c>
    </row>
    <row r="1272" spans="1:6">
      <c r="A1272" s="5">
        <f>'03_Actual_Opex'!A543</f>
        <v>46143</v>
      </c>
      <c r="B1272" s="3" t="str">
        <f>'03_Actual_Opex'!B543</f>
        <v>D08</v>
      </c>
      <c r="C1272" s="3" t="str">
        <f>'03_Actual_Opex'!C543</f>
        <v>Facilities</v>
      </c>
      <c r="D1272" s="3" t="str">
        <f>'03_Actual_Opex'!D543</f>
        <v>A02</v>
      </c>
      <c r="E1272" s="9">
        <f>'03_Actual_Opex'!E543</f>
        <v>8000000</v>
      </c>
      <c r="F1272" s="9">
        <f>E1272*(1+_xlfn.XLOOKUP("Facilities",'01_Assumptions'!$A$11:$A$18,'01_Assumptions'!$B$11:$B$18))</f>
        <v>8400000</v>
      </c>
    </row>
    <row r="1273" spans="1:6">
      <c r="A1273" s="5">
        <f>'03_Actual_Opex'!A544</f>
        <v>46143</v>
      </c>
      <c r="B1273" s="3" t="str">
        <f>'03_Actual_Opex'!B544</f>
        <v>D08</v>
      </c>
      <c r="C1273" s="3" t="str">
        <f>'03_Actual_Opex'!C544</f>
        <v>Facilities</v>
      </c>
      <c r="D1273" s="3" t="str">
        <f>'03_Actual_Opex'!D544</f>
        <v>A03</v>
      </c>
      <c r="E1273" s="9">
        <f>'03_Actual_Opex'!E544</f>
        <v>8000000</v>
      </c>
      <c r="F1273" s="9">
        <f>E1273*(1+_xlfn.XLOOKUP("Facilities",'01_Assumptions'!$A$11:$A$18,'01_Assumptions'!$B$11:$B$18))</f>
        <v>8400000</v>
      </c>
    </row>
    <row r="1274" spans="1:6">
      <c r="A1274" s="5">
        <f>'03_Actual_Opex'!A545</f>
        <v>46143</v>
      </c>
      <c r="B1274" s="3" t="str">
        <f>'03_Actual_Opex'!B545</f>
        <v>D08</v>
      </c>
      <c r="C1274" s="3" t="str">
        <f>'03_Actual_Opex'!C545</f>
        <v>Facilities</v>
      </c>
      <c r="D1274" s="3" t="str">
        <f>'03_Actual_Opex'!D545</f>
        <v>A04</v>
      </c>
      <c r="E1274" s="9">
        <f>'03_Actual_Opex'!E545</f>
        <v>8000000</v>
      </c>
      <c r="F1274" s="9">
        <f>E1274*(1+_xlfn.XLOOKUP("Facilities",'01_Assumptions'!$A$11:$A$18,'01_Assumptions'!$B$11:$B$18))</f>
        <v>8400000</v>
      </c>
    </row>
    <row r="1275" spans="1:6">
      <c r="A1275" s="5">
        <f>'03_Actual_Opex'!A546</f>
        <v>46174</v>
      </c>
      <c r="B1275" s="3" t="str">
        <f>'03_Actual_Opex'!B546</f>
        <v>D01</v>
      </c>
      <c r="C1275" s="3" t="str">
        <f>'03_Actual_Opex'!C546</f>
        <v>Sales</v>
      </c>
      <c r="D1275" s="3" t="str">
        <f>'03_Actual_Opex'!D546</f>
        <v>A01</v>
      </c>
      <c r="E1275" s="9">
        <f>'03_Actual_Opex'!E546</f>
        <v>8000000</v>
      </c>
      <c r="F1275" s="9">
        <f>E1275*(1+_xlfn.XLOOKUP("Sales",'01_Assumptions'!$A$11:$A$18,'01_Assumptions'!$B$11:$B$18))</f>
        <v>8480000</v>
      </c>
    </row>
    <row r="1276" spans="1:6">
      <c r="A1276" s="5">
        <f>'03_Actual_Opex'!A547</f>
        <v>46174</v>
      </c>
      <c r="B1276" s="3" t="str">
        <f>'03_Actual_Opex'!B547</f>
        <v>D01</v>
      </c>
      <c r="C1276" s="3" t="str">
        <f>'03_Actual_Opex'!C547</f>
        <v>Sales</v>
      </c>
      <c r="D1276" s="3" t="str">
        <f>'03_Actual_Opex'!D547</f>
        <v>A02</v>
      </c>
      <c r="E1276" s="9">
        <f>'03_Actual_Opex'!E547</f>
        <v>8000000</v>
      </c>
      <c r="F1276" s="9">
        <f>E1276*(1+_xlfn.XLOOKUP("Sales",'01_Assumptions'!$A$11:$A$18,'01_Assumptions'!$B$11:$B$18))</f>
        <v>8480000</v>
      </c>
    </row>
    <row r="1277" spans="1:6">
      <c r="A1277" s="5">
        <f>'03_Actual_Opex'!A548</f>
        <v>46174</v>
      </c>
      <c r="B1277" s="3" t="str">
        <f>'03_Actual_Opex'!B548</f>
        <v>D01</v>
      </c>
      <c r="C1277" s="3" t="str">
        <f>'03_Actual_Opex'!C548</f>
        <v>Sales</v>
      </c>
      <c r="D1277" s="3" t="str">
        <f>'03_Actual_Opex'!D548</f>
        <v>A03</v>
      </c>
      <c r="E1277" s="9">
        <f>'03_Actual_Opex'!E548</f>
        <v>8000000</v>
      </c>
      <c r="F1277" s="9">
        <f>E1277*(1+_xlfn.XLOOKUP("Sales",'01_Assumptions'!$A$11:$A$18,'01_Assumptions'!$B$11:$B$18))</f>
        <v>8480000</v>
      </c>
    </row>
    <row r="1278" spans="1:6">
      <c r="A1278" s="5">
        <f>'03_Actual_Opex'!A549</f>
        <v>46174</v>
      </c>
      <c r="B1278" s="3" t="str">
        <f>'03_Actual_Opex'!B549</f>
        <v>D01</v>
      </c>
      <c r="C1278" s="3" t="str">
        <f>'03_Actual_Opex'!C549</f>
        <v>Sales</v>
      </c>
      <c r="D1278" s="3" t="str">
        <f>'03_Actual_Opex'!D549</f>
        <v>A04</v>
      </c>
      <c r="E1278" s="9">
        <f>'03_Actual_Opex'!E549</f>
        <v>8000000</v>
      </c>
      <c r="F1278" s="9">
        <f>E1278*(1+_xlfn.XLOOKUP("Sales",'01_Assumptions'!$A$11:$A$18,'01_Assumptions'!$B$11:$B$18))</f>
        <v>8480000</v>
      </c>
    </row>
    <row r="1279" spans="1:6">
      <c r="A1279" s="5">
        <f>'03_Actual_Opex'!A550</f>
        <v>46174</v>
      </c>
      <c r="B1279" s="3" t="str">
        <f>'03_Actual_Opex'!B550</f>
        <v>D02</v>
      </c>
      <c r="C1279" s="3" t="str">
        <f>'03_Actual_Opex'!C550</f>
        <v>Marketing</v>
      </c>
      <c r="D1279" s="3" t="str">
        <f>'03_Actual_Opex'!D550</f>
        <v>A01</v>
      </c>
      <c r="E1279" s="9">
        <f>'03_Actual_Opex'!E550</f>
        <v>30000000</v>
      </c>
      <c r="F1279" s="9">
        <f>E1279*(1+_xlfn.XLOOKUP("Marketing",'01_Assumptions'!$A$11:$A$18,'01_Assumptions'!$B$11:$B$18))</f>
        <v>32100000.000000004</v>
      </c>
    </row>
    <row r="1280" spans="1:6">
      <c r="A1280" s="5">
        <f>'03_Actual_Opex'!A551</f>
        <v>46174</v>
      </c>
      <c r="B1280" s="3" t="str">
        <f>'03_Actual_Opex'!B551</f>
        <v>D02</v>
      </c>
      <c r="C1280" s="3" t="str">
        <f>'03_Actual_Opex'!C551</f>
        <v>Marketing</v>
      </c>
      <c r="D1280" s="3" t="str">
        <f>'03_Actual_Opex'!D551</f>
        <v>A02</v>
      </c>
      <c r="E1280" s="9">
        <f>'03_Actual_Opex'!E551</f>
        <v>30000000</v>
      </c>
      <c r="F1280" s="9">
        <f>E1280*(1+_xlfn.XLOOKUP("Marketing",'01_Assumptions'!$A$11:$A$18,'01_Assumptions'!$B$11:$B$18))</f>
        <v>32100000.000000004</v>
      </c>
    </row>
    <row r="1281" spans="1:6">
      <c r="A1281" s="5">
        <f>'03_Actual_Opex'!A552</f>
        <v>46174</v>
      </c>
      <c r="B1281" s="3" t="str">
        <f>'03_Actual_Opex'!B552</f>
        <v>D02</v>
      </c>
      <c r="C1281" s="3" t="str">
        <f>'03_Actual_Opex'!C552</f>
        <v>Marketing</v>
      </c>
      <c r="D1281" s="3" t="str">
        <f>'03_Actual_Opex'!D552</f>
        <v>A03</v>
      </c>
      <c r="E1281" s="9">
        <f>'03_Actual_Opex'!E552</f>
        <v>30000000</v>
      </c>
      <c r="F1281" s="9">
        <f>E1281*(1+_xlfn.XLOOKUP("Marketing",'01_Assumptions'!$A$11:$A$18,'01_Assumptions'!$B$11:$B$18))</f>
        <v>32100000.000000004</v>
      </c>
    </row>
    <row r="1282" spans="1:6">
      <c r="A1282" s="5">
        <f>'03_Actual_Opex'!A553</f>
        <v>46174</v>
      </c>
      <c r="B1282" s="3" t="str">
        <f>'03_Actual_Opex'!B553</f>
        <v>D02</v>
      </c>
      <c r="C1282" s="3" t="str">
        <f>'03_Actual_Opex'!C553</f>
        <v>Marketing</v>
      </c>
      <c r="D1282" s="3" t="str">
        <f>'03_Actual_Opex'!D553</f>
        <v>A04</v>
      </c>
      <c r="E1282" s="9">
        <f>'03_Actual_Opex'!E553</f>
        <v>30000000</v>
      </c>
      <c r="F1282" s="9">
        <f>E1282*(1+_xlfn.XLOOKUP("Marketing",'01_Assumptions'!$A$11:$A$18,'01_Assumptions'!$B$11:$B$18))</f>
        <v>32100000.000000004</v>
      </c>
    </row>
    <row r="1283" spans="1:6">
      <c r="A1283" s="5">
        <f>'03_Actual_Opex'!A554</f>
        <v>46174</v>
      </c>
      <c r="B1283" s="3" t="str">
        <f>'03_Actual_Opex'!B554</f>
        <v>D03</v>
      </c>
      <c r="C1283" s="3" t="str">
        <f>'03_Actual_Opex'!C554</f>
        <v>R&amp;D</v>
      </c>
      <c r="D1283" s="3" t="str">
        <f>'03_Actual_Opex'!D554</f>
        <v>A01</v>
      </c>
      <c r="E1283" s="9">
        <f>'03_Actual_Opex'!E554</f>
        <v>20000000</v>
      </c>
      <c r="F1283" s="9">
        <f>E1283*(1+_xlfn.XLOOKUP("R&amp;D",'01_Assumptions'!$A$11:$A$18,'01_Assumptions'!$B$11:$B$18))</f>
        <v>21800000</v>
      </c>
    </row>
    <row r="1284" spans="1:6">
      <c r="A1284" s="5">
        <f>'03_Actual_Opex'!A555</f>
        <v>46174</v>
      </c>
      <c r="B1284" s="3" t="str">
        <f>'03_Actual_Opex'!B555</f>
        <v>D03</v>
      </c>
      <c r="C1284" s="3" t="str">
        <f>'03_Actual_Opex'!C555</f>
        <v>R&amp;D</v>
      </c>
      <c r="D1284" s="3" t="str">
        <f>'03_Actual_Opex'!D555</f>
        <v>A02</v>
      </c>
      <c r="E1284" s="9">
        <f>'03_Actual_Opex'!E555</f>
        <v>20000000</v>
      </c>
      <c r="F1284" s="9">
        <f>E1284*(1+_xlfn.XLOOKUP("R&amp;D",'01_Assumptions'!$A$11:$A$18,'01_Assumptions'!$B$11:$B$18))</f>
        <v>21800000</v>
      </c>
    </row>
    <row r="1285" spans="1:6">
      <c r="A1285" s="5">
        <f>'03_Actual_Opex'!A556</f>
        <v>46174</v>
      </c>
      <c r="B1285" s="3" t="str">
        <f>'03_Actual_Opex'!B556</f>
        <v>D03</v>
      </c>
      <c r="C1285" s="3" t="str">
        <f>'03_Actual_Opex'!C556</f>
        <v>R&amp;D</v>
      </c>
      <c r="D1285" s="3" t="str">
        <f>'03_Actual_Opex'!D556</f>
        <v>A03</v>
      </c>
      <c r="E1285" s="9">
        <f>'03_Actual_Opex'!E556</f>
        <v>20000000</v>
      </c>
      <c r="F1285" s="9">
        <f>E1285*(1+_xlfn.XLOOKUP("R&amp;D",'01_Assumptions'!$A$11:$A$18,'01_Assumptions'!$B$11:$B$18))</f>
        <v>21800000</v>
      </c>
    </row>
    <row r="1286" spans="1:6">
      <c r="A1286" s="5">
        <f>'03_Actual_Opex'!A557</f>
        <v>46174</v>
      </c>
      <c r="B1286" s="3" t="str">
        <f>'03_Actual_Opex'!B557</f>
        <v>D03</v>
      </c>
      <c r="C1286" s="3" t="str">
        <f>'03_Actual_Opex'!C557</f>
        <v>R&amp;D</v>
      </c>
      <c r="D1286" s="3" t="str">
        <f>'03_Actual_Opex'!D557</f>
        <v>A04</v>
      </c>
      <c r="E1286" s="9">
        <f>'03_Actual_Opex'!E557</f>
        <v>20000000</v>
      </c>
      <c r="F1286" s="9">
        <f>E1286*(1+_xlfn.XLOOKUP("R&amp;D",'01_Assumptions'!$A$11:$A$18,'01_Assumptions'!$B$11:$B$18))</f>
        <v>21800000</v>
      </c>
    </row>
    <row r="1287" spans="1:6">
      <c r="A1287" s="5">
        <f>'03_Actual_Opex'!A558</f>
        <v>46174</v>
      </c>
      <c r="B1287" s="3" t="str">
        <f>'03_Actual_Opex'!B558</f>
        <v>D04</v>
      </c>
      <c r="C1287" s="3" t="str">
        <f>'03_Actual_Opex'!C558</f>
        <v>G&amp;A</v>
      </c>
      <c r="D1287" s="3" t="str">
        <f>'03_Actual_Opex'!D558</f>
        <v>A01</v>
      </c>
      <c r="E1287" s="9">
        <f>'03_Actual_Opex'!E558</f>
        <v>8000000</v>
      </c>
      <c r="F1287" s="9">
        <f>E1287*(1+_xlfn.XLOOKUP("G&amp;A",'01_Assumptions'!$A$11:$A$18,'01_Assumptions'!$B$11:$B$18))</f>
        <v>8400000</v>
      </c>
    </row>
    <row r="1288" spans="1:6">
      <c r="A1288" s="5">
        <f>'03_Actual_Opex'!A559</f>
        <v>46174</v>
      </c>
      <c r="B1288" s="3" t="str">
        <f>'03_Actual_Opex'!B559</f>
        <v>D04</v>
      </c>
      <c r="C1288" s="3" t="str">
        <f>'03_Actual_Opex'!C559</f>
        <v>G&amp;A</v>
      </c>
      <c r="D1288" s="3" t="str">
        <f>'03_Actual_Opex'!D559</f>
        <v>A02</v>
      </c>
      <c r="E1288" s="9">
        <f>'03_Actual_Opex'!E559</f>
        <v>8000000</v>
      </c>
      <c r="F1288" s="9">
        <f>E1288*(1+_xlfn.XLOOKUP("G&amp;A",'01_Assumptions'!$A$11:$A$18,'01_Assumptions'!$B$11:$B$18))</f>
        <v>8400000</v>
      </c>
    </row>
    <row r="1289" spans="1:6">
      <c r="A1289" s="5">
        <f>'03_Actual_Opex'!A560</f>
        <v>46174</v>
      </c>
      <c r="B1289" s="3" t="str">
        <f>'03_Actual_Opex'!B560</f>
        <v>D04</v>
      </c>
      <c r="C1289" s="3" t="str">
        <f>'03_Actual_Opex'!C560</f>
        <v>G&amp;A</v>
      </c>
      <c r="D1289" s="3" t="str">
        <f>'03_Actual_Opex'!D560</f>
        <v>A03</v>
      </c>
      <c r="E1289" s="9">
        <f>'03_Actual_Opex'!E560</f>
        <v>8000000</v>
      </c>
      <c r="F1289" s="9">
        <f>E1289*(1+_xlfn.XLOOKUP("G&amp;A",'01_Assumptions'!$A$11:$A$18,'01_Assumptions'!$B$11:$B$18))</f>
        <v>8400000</v>
      </c>
    </row>
    <row r="1290" spans="1:6">
      <c r="A1290" s="5">
        <f>'03_Actual_Opex'!A561</f>
        <v>46174</v>
      </c>
      <c r="B1290" s="3" t="str">
        <f>'03_Actual_Opex'!B561</f>
        <v>D04</v>
      </c>
      <c r="C1290" s="3" t="str">
        <f>'03_Actual_Opex'!C561</f>
        <v>G&amp;A</v>
      </c>
      <c r="D1290" s="3" t="str">
        <f>'03_Actual_Opex'!D561</f>
        <v>A04</v>
      </c>
      <c r="E1290" s="9">
        <f>'03_Actual_Opex'!E561</f>
        <v>8000000</v>
      </c>
      <c r="F1290" s="9">
        <f>E1290*(1+_xlfn.XLOOKUP("G&amp;A",'01_Assumptions'!$A$11:$A$18,'01_Assumptions'!$B$11:$B$18))</f>
        <v>8400000</v>
      </c>
    </row>
    <row r="1291" spans="1:6">
      <c r="A1291" s="5">
        <f>'03_Actual_Opex'!A562</f>
        <v>46174</v>
      </c>
      <c r="B1291" s="3" t="str">
        <f>'03_Actual_Opex'!B562</f>
        <v>D05</v>
      </c>
      <c r="C1291" s="3" t="str">
        <f>'03_Actual_Opex'!C562</f>
        <v>IT</v>
      </c>
      <c r="D1291" s="3" t="str">
        <f>'03_Actual_Opex'!D562</f>
        <v>A01</v>
      </c>
      <c r="E1291" s="9">
        <f>'03_Actual_Opex'!E562</f>
        <v>12000000</v>
      </c>
      <c r="F1291" s="9">
        <f>E1291*(1+_xlfn.XLOOKUP("IT",'01_Assumptions'!$A$11:$A$18,'01_Assumptions'!$B$11:$B$18))</f>
        <v>12960000</v>
      </c>
    </row>
    <row r="1292" spans="1:6">
      <c r="A1292" s="5">
        <f>'03_Actual_Opex'!A563</f>
        <v>46174</v>
      </c>
      <c r="B1292" s="3" t="str">
        <f>'03_Actual_Opex'!B563</f>
        <v>D05</v>
      </c>
      <c r="C1292" s="3" t="str">
        <f>'03_Actual_Opex'!C563</f>
        <v>IT</v>
      </c>
      <c r="D1292" s="3" t="str">
        <f>'03_Actual_Opex'!D563</f>
        <v>A02</v>
      </c>
      <c r="E1292" s="9">
        <f>'03_Actual_Opex'!E563</f>
        <v>12000000</v>
      </c>
      <c r="F1292" s="9">
        <f>E1292*(1+_xlfn.XLOOKUP("IT",'01_Assumptions'!$A$11:$A$18,'01_Assumptions'!$B$11:$B$18))</f>
        <v>12960000</v>
      </c>
    </row>
    <row r="1293" spans="1:6">
      <c r="A1293" s="5">
        <f>'03_Actual_Opex'!A564</f>
        <v>46174</v>
      </c>
      <c r="B1293" s="3" t="str">
        <f>'03_Actual_Opex'!B564</f>
        <v>D05</v>
      </c>
      <c r="C1293" s="3" t="str">
        <f>'03_Actual_Opex'!C564</f>
        <v>IT</v>
      </c>
      <c r="D1293" s="3" t="str">
        <f>'03_Actual_Opex'!D564</f>
        <v>A03</v>
      </c>
      <c r="E1293" s="9">
        <f>'03_Actual_Opex'!E564</f>
        <v>12000000</v>
      </c>
      <c r="F1293" s="9">
        <f>E1293*(1+_xlfn.XLOOKUP("IT",'01_Assumptions'!$A$11:$A$18,'01_Assumptions'!$B$11:$B$18))</f>
        <v>12960000</v>
      </c>
    </row>
    <row r="1294" spans="1:6">
      <c r="A1294" s="5">
        <f>'03_Actual_Opex'!A565</f>
        <v>46174</v>
      </c>
      <c r="B1294" s="3" t="str">
        <f>'03_Actual_Opex'!B565</f>
        <v>D05</v>
      </c>
      <c r="C1294" s="3" t="str">
        <f>'03_Actual_Opex'!C565</f>
        <v>IT</v>
      </c>
      <c r="D1294" s="3" t="str">
        <f>'03_Actual_Opex'!D565</f>
        <v>A04</v>
      </c>
      <c r="E1294" s="9">
        <f>'03_Actual_Opex'!E565</f>
        <v>12000000</v>
      </c>
      <c r="F1294" s="9">
        <f>E1294*(1+_xlfn.XLOOKUP("IT",'01_Assumptions'!$A$11:$A$18,'01_Assumptions'!$B$11:$B$18))</f>
        <v>12960000</v>
      </c>
    </row>
    <row r="1295" spans="1:6">
      <c r="A1295" s="5">
        <f>'03_Actual_Opex'!A566</f>
        <v>46174</v>
      </c>
      <c r="B1295" s="3" t="str">
        <f>'03_Actual_Opex'!B566</f>
        <v>D06</v>
      </c>
      <c r="C1295" s="3" t="str">
        <f>'03_Actual_Opex'!C566</f>
        <v>Customer Operations</v>
      </c>
      <c r="D1295" s="3" t="str">
        <f>'03_Actual_Opex'!D566</f>
        <v>A01</v>
      </c>
      <c r="E1295" s="9">
        <f>'03_Actual_Opex'!E566</f>
        <v>10000000</v>
      </c>
      <c r="F1295" s="9">
        <f>E1295*(1+_xlfn.XLOOKUP("Customer Operations",'01_Assumptions'!$A$11:$A$18,'01_Assumptions'!$B$11:$B$18))</f>
        <v>10600000</v>
      </c>
    </row>
    <row r="1296" spans="1:6">
      <c r="A1296" s="5">
        <f>'03_Actual_Opex'!A567</f>
        <v>46174</v>
      </c>
      <c r="B1296" s="3" t="str">
        <f>'03_Actual_Opex'!B567</f>
        <v>D06</v>
      </c>
      <c r="C1296" s="3" t="str">
        <f>'03_Actual_Opex'!C567</f>
        <v>Customer Operations</v>
      </c>
      <c r="D1296" s="3" t="str">
        <f>'03_Actual_Opex'!D567</f>
        <v>A02</v>
      </c>
      <c r="E1296" s="9">
        <f>'03_Actual_Opex'!E567</f>
        <v>10000000</v>
      </c>
      <c r="F1296" s="9">
        <f>E1296*(1+_xlfn.XLOOKUP("Customer Operations",'01_Assumptions'!$A$11:$A$18,'01_Assumptions'!$B$11:$B$18))</f>
        <v>10600000</v>
      </c>
    </row>
    <row r="1297" spans="1:6">
      <c r="A1297" s="5">
        <f>'03_Actual_Opex'!A568</f>
        <v>46174</v>
      </c>
      <c r="B1297" s="3" t="str">
        <f>'03_Actual_Opex'!B568</f>
        <v>D06</v>
      </c>
      <c r="C1297" s="3" t="str">
        <f>'03_Actual_Opex'!C568</f>
        <v>Customer Operations</v>
      </c>
      <c r="D1297" s="3" t="str">
        <f>'03_Actual_Opex'!D568</f>
        <v>A03</v>
      </c>
      <c r="E1297" s="9">
        <f>'03_Actual_Opex'!E568</f>
        <v>10000000</v>
      </c>
      <c r="F1297" s="9">
        <f>E1297*(1+_xlfn.XLOOKUP("Customer Operations",'01_Assumptions'!$A$11:$A$18,'01_Assumptions'!$B$11:$B$18))</f>
        <v>10600000</v>
      </c>
    </row>
    <row r="1298" spans="1:6">
      <c r="A1298" s="5">
        <f>'03_Actual_Opex'!A569</f>
        <v>46174</v>
      </c>
      <c r="B1298" s="3" t="str">
        <f>'03_Actual_Opex'!B569</f>
        <v>D06</v>
      </c>
      <c r="C1298" s="3" t="str">
        <f>'03_Actual_Opex'!C569</f>
        <v>Customer Operations</v>
      </c>
      <c r="D1298" s="3" t="str">
        <f>'03_Actual_Opex'!D569</f>
        <v>A04</v>
      </c>
      <c r="E1298" s="9">
        <f>'03_Actual_Opex'!E569</f>
        <v>10000000</v>
      </c>
      <c r="F1298" s="9">
        <f>E1298*(1+_xlfn.XLOOKUP("Customer Operations",'01_Assumptions'!$A$11:$A$18,'01_Assumptions'!$B$11:$B$18))</f>
        <v>10600000</v>
      </c>
    </row>
    <row r="1299" spans="1:6">
      <c r="A1299" s="5">
        <f>'03_Actual_Opex'!A570</f>
        <v>46174</v>
      </c>
      <c r="B1299" s="3" t="str">
        <f>'03_Actual_Opex'!B570</f>
        <v>D07</v>
      </c>
      <c r="C1299" s="3" t="str">
        <f>'03_Actual_Opex'!C570</f>
        <v>HR</v>
      </c>
      <c r="D1299" s="3" t="str">
        <f>'03_Actual_Opex'!D570</f>
        <v>A01</v>
      </c>
      <c r="E1299" s="9">
        <f>'03_Actual_Opex'!E570</f>
        <v>3000000</v>
      </c>
      <c r="F1299" s="9">
        <f>E1299*(1+_xlfn.XLOOKUP("HR",'01_Assumptions'!$A$11:$A$18,'01_Assumptions'!$B$11:$B$18))</f>
        <v>3150000</v>
      </c>
    </row>
    <row r="1300" spans="1:6">
      <c r="A1300" s="5">
        <f>'03_Actual_Opex'!A571</f>
        <v>46174</v>
      </c>
      <c r="B1300" s="3" t="str">
        <f>'03_Actual_Opex'!B571</f>
        <v>D07</v>
      </c>
      <c r="C1300" s="3" t="str">
        <f>'03_Actual_Opex'!C571</f>
        <v>HR</v>
      </c>
      <c r="D1300" s="3" t="str">
        <f>'03_Actual_Opex'!D571</f>
        <v>A02</v>
      </c>
      <c r="E1300" s="9">
        <f>'03_Actual_Opex'!E571</f>
        <v>3000000</v>
      </c>
      <c r="F1300" s="9">
        <f>E1300*(1+_xlfn.XLOOKUP("HR",'01_Assumptions'!$A$11:$A$18,'01_Assumptions'!$B$11:$B$18))</f>
        <v>3150000</v>
      </c>
    </row>
    <row r="1301" spans="1:6">
      <c r="A1301" s="5">
        <f>'03_Actual_Opex'!A572</f>
        <v>46174</v>
      </c>
      <c r="B1301" s="3" t="str">
        <f>'03_Actual_Opex'!B572</f>
        <v>D07</v>
      </c>
      <c r="C1301" s="3" t="str">
        <f>'03_Actual_Opex'!C572</f>
        <v>HR</v>
      </c>
      <c r="D1301" s="3" t="str">
        <f>'03_Actual_Opex'!D572</f>
        <v>A03</v>
      </c>
      <c r="E1301" s="9">
        <f>'03_Actual_Opex'!E572</f>
        <v>3000000</v>
      </c>
      <c r="F1301" s="9">
        <f>E1301*(1+_xlfn.XLOOKUP("HR",'01_Assumptions'!$A$11:$A$18,'01_Assumptions'!$B$11:$B$18))</f>
        <v>3150000</v>
      </c>
    </row>
    <row r="1302" spans="1:6">
      <c r="A1302" s="5">
        <f>'03_Actual_Opex'!A573</f>
        <v>46174</v>
      </c>
      <c r="B1302" s="3" t="str">
        <f>'03_Actual_Opex'!B573</f>
        <v>D07</v>
      </c>
      <c r="C1302" s="3" t="str">
        <f>'03_Actual_Opex'!C573</f>
        <v>HR</v>
      </c>
      <c r="D1302" s="3" t="str">
        <f>'03_Actual_Opex'!D573</f>
        <v>A04</v>
      </c>
      <c r="E1302" s="9">
        <f>'03_Actual_Opex'!E573</f>
        <v>3000000</v>
      </c>
      <c r="F1302" s="9">
        <f>E1302*(1+_xlfn.XLOOKUP("HR",'01_Assumptions'!$A$11:$A$18,'01_Assumptions'!$B$11:$B$18))</f>
        <v>3150000</v>
      </c>
    </row>
    <row r="1303" spans="1:6">
      <c r="A1303" s="5">
        <f>'03_Actual_Opex'!A574</f>
        <v>46174</v>
      </c>
      <c r="B1303" s="3" t="str">
        <f>'03_Actual_Opex'!B574</f>
        <v>D08</v>
      </c>
      <c r="C1303" s="3" t="str">
        <f>'03_Actual_Opex'!C574</f>
        <v>Facilities</v>
      </c>
      <c r="D1303" s="3" t="str">
        <f>'03_Actual_Opex'!D574</f>
        <v>A01</v>
      </c>
      <c r="E1303" s="9">
        <f>'03_Actual_Opex'!E574</f>
        <v>8000000</v>
      </c>
      <c r="F1303" s="9">
        <f>E1303*(1+_xlfn.XLOOKUP("Facilities",'01_Assumptions'!$A$11:$A$18,'01_Assumptions'!$B$11:$B$18))</f>
        <v>8400000</v>
      </c>
    </row>
    <row r="1304" spans="1:6">
      <c r="A1304" s="5">
        <f>'03_Actual_Opex'!A575</f>
        <v>46174</v>
      </c>
      <c r="B1304" s="3" t="str">
        <f>'03_Actual_Opex'!B575</f>
        <v>D08</v>
      </c>
      <c r="C1304" s="3" t="str">
        <f>'03_Actual_Opex'!C575</f>
        <v>Facilities</v>
      </c>
      <c r="D1304" s="3" t="str">
        <f>'03_Actual_Opex'!D575</f>
        <v>A02</v>
      </c>
      <c r="E1304" s="9">
        <f>'03_Actual_Opex'!E575</f>
        <v>8000000</v>
      </c>
      <c r="F1304" s="9">
        <f>E1304*(1+_xlfn.XLOOKUP("Facilities",'01_Assumptions'!$A$11:$A$18,'01_Assumptions'!$B$11:$B$18))</f>
        <v>8400000</v>
      </c>
    </row>
    <row r="1305" spans="1:6">
      <c r="A1305" s="5">
        <f>'03_Actual_Opex'!A576</f>
        <v>46174</v>
      </c>
      <c r="B1305" s="3" t="str">
        <f>'03_Actual_Opex'!B576</f>
        <v>D08</v>
      </c>
      <c r="C1305" s="3" t="str">
        <f>'03_Actual_Opex'!C576</f>
        <v>Facilities</v>
      </c>
      <c r="D1305" s="3" t="str">
        <f>'03_Actual_Opex'!D576</f>
        <v>A03</v>
      </c>
      <c r="E1305" s="9">
        <f>'03_Actual_Opex'!E576</f>
        <v>8000000</v>
      </c>
      <c r="F1305" s="9">
        <f>E1305*(1+_xlfn.XLOOKUP("Facilities",'01_Assumptions'!$A$11:$A$18,'01_Assumptions'!$B$11:$B$18))</f>
        <v>8400000</v>
      </c>
    </row>
    <row r="1306" spans="1:6">
      <c r="A1306" s="5">
        <f>'03_Actual_Opex'!A577</f>
        <v>46174</v>
      </c>
      <c r="B1306" s="3" t="str">
        <f>'03_Actual_Opex'!B577</f>
        <v>D08</v>
      </c>
      <c r="C1306" s="3" t="str">
        <f>'03_Actual_Opex'!C577</f>
        <v>Facilities</v>
      </c>
      <c r="D1306" s="3" t="str">
        <f>'03_Actual_Opex'!D577</f>
        <v>A04</v>
      </c>
      <c r="E1306" s="9">
        <f>'03_Actual_Opex'!E577</f>
        <v>8000000</v>
      </c>
      <c r="F1306" s="9">
        <f>E1306*(1+_xlfn.XLOOKUP("Facilities",'01_Assumptions'!$A$11:$A$18,'01_Assumptions'!$B$11:$B$18))</f>
        <v>8400000</v>
      </c>
    </row>
    <row r="1307" spans="1:6">
      <c r="A1307" s="5"/>
    </row>
    <row r="1308" spans="1:6">
      <c r="A1308" s="6" t="s">
        <v>101</v>
      </c>
      <c r="B1308" s="9">
        <f>SUM(F731:F1306)</f>
        <v>7624080000</v>
      </c>
    </row>
    <row r="1310" spans="1:6">
      <c r="A1310" s="17" t="s">
        <v>102</v>
      </c>
    </row>
    <row r="1311" spans="1:6">
      <c r="A1311" s="5"/>
    </row>
    <row r="1312" spans="1:6">
      <c r="A1312" s="15" t="s">
        <v>41</v>
      </c>
      <c r="B1312" s="15" t="s">
        <v>67</v>
      </c>
      <c r="C1312" s="6" t="s">
        <v>68</v>
      </c>
      <c r="D1312" s="15" t="s">
        <v>84</v>
      </c>
      <c r="E1312" s="6" t="s">
        <v>103</v>
      </c>
      <c r="F1312" s="8" t="s">
        <v>104</v>
      </c>
    </row>
    <row r="1313" spans="1:6">
      <c r="A1313" s="5">
        <f>'04_Actual_Headcount'!A2</f>
        <v>45658</v>
      </c>
      <c r="B1313" s="3" t="str">
        <f>'04_Actual_Headcount'!B2</f>
        <v>D01</v>
      </c>
      <c r="C1313" s="3" t="s">
        <v>23</v>
      </c>
      <c r="D1313" s="11">
        <f>'04_Actual_Headcount'!C2</f>
        <v>700</v>
      </c>
      <c r="E1313" s="9">
        <f>'04_Actual_Headcount'!D2</f>
        <v>70000</v>
      </c>
      <c r="F1313" s="9">
        <f>E1313*(1+_xlfn.XLOOKUP("Sales",'01_Assumptions'!$A$23:$A$30,'01_Assumptions'!$B$23:$B$30))</f>
        <v>73500</v>
      </c>
    </row>
    <row r="1314" spans="1:6">
      <c r="A1314" s="5">
        <f>'04_Actual_Headcount'!A3</f>
        <v>45658</v>
      </c>
      <c r="B1314" s="3" t="str">
        <f>'04_Actual_Headcount'!B3</f>
        <v>D02</v>
      </c>
      <c r="C1314" s="3" t="s">
        <v>24</v>
      </c>
      <c r="D1314" s="11">
        <f>'04_Actual_Headcount'!C3</f>
        <v>450</v>
      </c>
      <c r="E1314" s="9">
        <f>'04_Actual_Headcount'!D3</f>
        <v>75000</v>
      </c>
      <c r="F1314" s="9">
        <f>E1314*(1+_xlfn.XLOOKUP("Marketing",'01_Assumptions'!$A$23:$A$30,'01_Assumptions'!$B$23:$B$30))</f>
        <v>79500</v>
      </c>
    </row>
    <row r="1315" spans="1:6">
      <c r="A1315" s="5">
        <f>'04_Actual_Headcount'!A4</f>
        <v>45658</v>
      </c>
      <c r="B1315" s="3" t="str">
        <f>'04_Actual_Headcount'!B4</f>
        <v>D03</v>
      </c>
      <c r="C1315" s="3" t="s">
        <v>25</v>
      </c>
      <c r="D1315" s="11">
        <f>'04_Actual_Headcount'!C4</f>
        <v>1100</v>
      </c>
      <c r="E1315" s="9">
        <f>'04_Actual_Headcount'!D4</f>
        <v>95000</v>
      </c>
      <c r="F1315" s="9">
        <f>E1315*(1+_xlfn.XLOOKUP("R&amp;D",'01_Assumptions'!$A$23:$A$30,'01_Assumptions'!$B$23:$B$30))</f>
        <v>102600</v>
      </c>
    </row>
    <row r="1316" spans="1:6">
      <c r="A1316" s="5">
        <f>'04_Actual_Headcount'!A5</f>
        <v>45658</v>
      </c>
      <c r="B1316" s="3" t="str">
        <f>'04_Actual_Headcount'!B5</f>
        <v>D04</v>
      </c>
      <c r="C1316" s="3" t="s">
        <v>26</v>
      </c>
      <c r="D1316" s="11">
        <f>'04_Actual_Headcount'!C5</f>
        <v>400</v>
      </c>
      <c r="E1316" s="9">
        <f>'04_Actual_Headcount'!D5</f>
        <v>85000</v>
      </c>
      <c r="F1316" s="9">
        <f>E1316*(1+_xlfn.XLOOKUP("G&amp;A",'01_Assumptions'!$A$23:$A$30,'01_Assumptions'!$B$23:$B$30))</f>
        <v>87550</v>
      </c>
    </row>
    <row r="1317" spans="1:6">
      <c r="A1317" s="5">
        <f>'04_Actual_Headcount'!A6</f>
        <v>45658</v>
      </c>
      <c r="B1317" s="3" t="str">
        <f>'04_Actual_Headcount'!B6</f>
        <v>D05</v>
      </c>
      <c r="C1317" s="3" t="s">
        <v>27</v>
      </c>
      <c r="D1317" s="11">
        <f>'04_Actual_Headcount'!C6</f>
        <v>350</v>
      </c>
      <c r="E1317" s="9">
        <f>'04_Actual_Headcount'!D6</f>
        <v>90000</v>
      </c>
      <c r="F1317" s="9">
        <f>E1317*(1+_xlfn.XLOOKUP("IT",'01_Assumptions'!$A$23:$A$30,'01_Assumptions'!$B$23:$B$30))</f>
        <v>96300</v>
      </c>
    </row>
    <row r="1318" spans="1:6">
      <c r="A1318" s="5">
        <f>'04_Actual_Headcount'!A7</f>
        <v>45658</v>
      </c>
      <c r="B1318" s="3" t="str">
        <f>'04_Actual_Headcount'!B7</f>
        <v>D06</v>
      </c>
      <c r="C1318" s="3" t="s">
        <v>28</v>
      </c>
      <c r="D1318" s="11">
        <f>'04_Actual_Headcount'!C7</f>
        <v>700</v>
      </c>
      <c r="E1318" s="9">
        <f>'04_Actual_Headcount'!D7</f>
        <v>65000</v>
      </c>
      <c r="F1318" s="9">
        <f>E1318*(1+_xlfn.XLOOKUP("Customer Operations",'01_Assumptions'!$A$23:$A$30,'01_Assumptions'!$B$23:$B$30))</f>
        <v>68250</v>
      </c>
    </row>
    <row r="1319" spans="1:6">
      <c r="A1319" s="5">
        <f>'04_Actual_Headcount'!A8</f>
        <v>45658</v>
      </c>
      <c r="B1319" s="3" t="str">
        <f>'04_Actual_Headcount'!B8</f>
        <v>D07</v>
      </c>
      <c r="C1319" s="3" t="s">
        <v>29</v>
      </c>
      <c r="D1319" s="11">
        <f>'04_Actual_Headcount'!C8</f>
        <v>150</v>
      </c>
      <c r="E1319" s="9">
        <f>'04_Actual_Headcount'!D8</f>
        <v>70000</v>
      </c>
      <c r="F1319" s="9">
        <f>E1319*(1+_xlfn.XLOOKUP("HR",'01_Assumptions'!$A$23:$A$30,'01_Assumptions'!$B$23:$B$30))</f>
        <v>72800</v>
      </c>
    </row>
    <row r="1320" spans="1:6">
      <c r="A1320" s="5">
        <f>'04_Actual_Headcount'!A9</f>
        <v>45658</v>
      </c>
      <c r="B1320" s="3" t="str">
        <f>'04_Actual_Headcount'!B9</f>
        <v>D08</v>
      </c>
      <c r="C1320" s="3" t="s">
        <v>30</v>
      </c>
      <c r="D1320" s="11">
        <f>'04_Actual_Headcount'!C9</f>
        <v>200</v>
      </c>
      <c r="E1320" s="9">
        <f>'04_Actual_Headcount'!D9</f>
        <v>55000</v>
      </c>
      <c r="F1320" s="9">
        <f>E1320*(1+_xlfn.XLOOKUP("Facilities",'01_Assumptions'!$A$23:$A$30,'01_Assumptions'!$B$23:$B$30))</f>
        <v>56100</v>
      </c>
    </row>
    <row r="1321" spans="1:6">
      <c r="A1321" s="5">
        <f>'04_Actual_Headcount'!A10</f>
        <v>45689</v>
      </c>
      <c r="B1321" s="3" t="str">
        <f>'04_Actual_Headcount'!B10</f>
        <v>D01</v>
      </c>
      <c r="C1321" s="3" t="s">
        <v>23</v>
      </c>
      <c r="D1321" s="11">
        <f>'04_Actual_Headcount'!C10</f>
        <v>700</v>
      </c>
      <c r="E1321" s="9">
        <f>'04_Actual_Headcount'!D10</f>
        <v>70000</v>
      </c>
      <c r="F1321" s="9">
        <f>E1321*(1+_xlfn.XLOOKUP("Sales",'01_Assumptions'!$A$23:$A$30,'01_Assumptions'!$B$23:$B$30))</f>
        <v>73500</v>
      </c>
    </row>
    <row r="1322" spans="1:6">
      <c r="A1322" s="5">
        <f>'04_Actual_Headcount'!A11</f>
        <v>45689</v>
      </c>
      <c r="B1322" s="3" t="str">
        <f>'04_Actual_Headcount'!B11</f>
        <v>D02</v>
      </c>
      <c r="C1322" s="3" t="s">
        <v>24</v>
      </c>
      <c r="D1322" s="11">
        <f>'04_Actual_Headcount'!C11</f>
        <v>450</v>
      </c>
      <c r="E1322" s="9">
        <f>'04_Actual_Headcount'!D11</f>
        <v>75000</v>
      </c>
      <c r="F1322" s="9">
        <f>E1322*(1+_xlfn.XLOOKUP("Marketing",'01_Assumptions'!$A$23:$A$30,'01_Assumptions'!$B$23:$B$30))</f>
        <v>79500</v>
      </c>
    </row>
    <row r="1323" spans="1:6">
      <c r="A1323" s="5">
        <f>'04_Actual_Headcount'!A12</f>
        <v>45689</v>
      </c>
      <c r="B1323" s="3" t="str">
        <f>'04_Actual_Headcount'!B12</f>
        <v>D03</v>
      </c>
      <c r="C1323" s="3" t="s">
        <v>25</v>
      </c>
      <c r="D1323" s="11">
        <f>'04_Actual_Headcount'!C12</f>
        <v>1100</v>
      </c>
      <c r="E1323" s="9">
        <f>'04_Actual_Headcount'!D12</f>
        <v>95000</v>
      </c>
      <c r="F1323" s="9">
        <f>E1323*(1+_xlfn.XLOOKUP("R&amp;D",'01_Assumptions'!$A$23:$A$30,'01_Assumptions'!$B$23:$B$30))</f>
        <v>102600</v>
      </c>
    </row>
    <row r="1324" spans="1:6">
      <c r="A1324" s="5">
        <f>'04_Actual_Headcount'!A13</f>
        <v>45689</v>
      </c>
      <c r="B1324" s="3" t="str">
        <f>'04_Actual_Headcount'!B13</f>
        <v>D04</v>
      </c>
      <c r="C1324" s="3" t="s">
        <v>26</v>
      </c>
      <c r="D1324" s="11">
        <f>'04_Actual_Headcount'!C13</f>
        <v>400</v>
      </c>
      <c r="E1324" s="9">
        <f>'04_Actual_Headcount'!D13</f>
        <v>85000</v>
      </c>
      <c r="F1324" s="9">
        <f>E1324*(1+_xlfn.XLOOKUP("G&amp;A",'01_Assumptions'!$A$23:$A$30,'01_Assumptions'!$B$23:$B$30))</f>
        <v>87550</v>
      </c>
    </row>
    <row r="1325" spans="1:6">
      <c r="A1325" s="5">
        <f>'04_Actual_Headcount'!A14</f>
        <v>45689</v>
      </c>
      <c r="B1325" s="3" t="str">
        <f>'04_Actual_Headcount'!B14</f>
        <v>D05</v>
      </c>
      <c r="C1325" s="3" t="s">
        <v>27</v>
      </c>
      <c r="D1325" s="11">
        <f>'04_Actual_Headcount'!C14</f>
        <v>350</v>
      </c>
      <c r="E1325" s="9">
        <f>'04_Actual_Headcount'!D14</f>
        <v>90000</v>
      </c>
      <c r="F1325" s="9">
        <f>E1325*(1+_xlfn.XLOOKUP("IT",'01_Assumptions'!$A$23:$A$30,'01_Assumptions'!$B$23:$B$30))</f>
        <v>96300</v>
      </c>
    </row>
    <row r="1326" spans="1:6">
      <c r="A1326" s="5">
        <f>'04_Actual_Headcount'!A15</f>
        <v>45689</v>
      </c>
      <c r="B1326" s="3" t="str">
        <f>'04_Actual_Headcount'!B15</f>
        <v>D06</v>
      </c>
      <c r="C1326" s="3" t="s">
        <v>28</v>
      </c>
      <c r="D1326" s="11">
        <f>'04_Actual_Headcount'!C15</f>
        <v>700</v>
      </c>
      <c r="E1326" s="9">
        <f>'04_Actual_Headcount'!D15</f>
        <v>65000</v>
      </c>
      <c r="F1326" s="9">
        <f>E1326*(1+_xlfn.XLOOKUP("Customer Operations",'01_Assumptions'!$A$23:$A$30,'01_Assumptions'!$B$23:$B$30))</f>
        <v>68250</v>
      </c>
    </row>
    <row r="1327" spans="1:6">
      <c r="A1327" s="5">
        <f>'04_Actual_Headcount'!A16</f>
        <v>45689</v>
      </c>
      <c r="B1327" s="3" t="str">
        <f>'04_Actual_Headcount'!B16</f>
        <v>D07</v>
      </c>
      <c r="C1327" s="3" t="s">
        <v>29</v>
      </c>
      <c r="D1327" s="11">
        <f>'04_Actual_Headcount'!C16</f>
        <v>150</v>
      </c>
      <c r="E1327" s="9">
        <f>'04_Actual_Headcount'!D16</f>
        <v>70000</v>
      </c>
      <c r="F1327" s="9">
        <f>E1327*(1+_xlfn.XLOOKUP("HR",'01_Assumptions'!$A$23:$A$30,'01_Assumptions'!$B$23:$B$30))</f>
        <v>72800</v>
      </c>
    </row>
    <row r="1328" spans="1:6">
      <c r="A1328" s="5">
        <f>'04_Actual_Headcount'!A17</f>
        <v>45689</v>
      </c>
      <c r="B1328" s="3" t="str">
        <f>'04_Actual_Headcount'!B17</f>
        <v>D08</v>
      </c>
      <c r="C1328" s="3" t="s">
        <v>30</v>
      </c>
      <c r="D1328" s="11">
        <f>'04_Actual_Headcount'!C17</f>
        <v>200</v>
      </c>
      <c r="E1328" s="9">
        <f>'04_Actual_Headcount'!D17</f>
        <v>55000</v>
      </c>
      <c r="F1328" s="9">
        <f>E1328*(1+_xlfn.XLOOKUP("Facilities",'01_Assumptions'!$A$23:$A$30,'01_Assumptions'!$B$23:$B$30))</f>
        <v>56100</v>
      </c>
    </row>
    <row r="1329" spans="1:6">
      <c r="A1329" s="5">
        <f>'04_Actual_Headcount'!A18</f>
        <v>45717</v>
      </c>
      <c r="B1329" s="3" t="str">
        <f>'04_Actual_Headcount'!B18</f>
        <v>D01</v>
      </c>
      <c r="C1329" s="3" t="s">
        <v>23</v>
      </c>
      <c r="D1329" s="11">
        <f>'04_Actual_Headcount'!C18</f>
        <v>700</v>
      </c>
      <c r="E1329" s="9">
        <f>'04_Actual_Headcount'!D18</f>
        <v>70000</v>
      </c>
      <c r="F1329" s="9">
        <f>E1329*(1+_xlfn.XLOOKUP("Sales",'01_Assumptions'!$A$23:$A$30,'01_Assumptions'!$B$23:$B$30))</f>
        <v>73500</v>
      </c>
    </row>
    <row r="1330" spans="1:6">
      <c r="A1330" s="5">
        <f>'04_Actual_Headcount'!A19</f>
        <v>45717</v>
      </c>
      <c r="B1330" s="3" t="str">
        <f>'04_Actual_Headcount'!B19</f>
        <v>D02</v>
      </c>
      <c r="C1330" s="3" t="s">
        <v>24</v>
      </c>
      <c r="D1330" s="11">
        <f>'04_Actual_Headcount'!C19</f>
        <v>450</v>
      </c>
      <c r="E1330" s="9">
        <f>'04_Actual_Headcount'!D19</f>
        <v>75000</v>
      </c>
      <c r="F1330" s="9">
        <f>E1330*(1+_xlfn.XLOOKUP("Marketing",'01_Assumptions'!$A$23:$A$30,'01_Assumptions'!$B$23:$B$30))</f>
        <v>79500</v>
      </c>
    </row>
    <row r="1331" spans="1:6">
      <c r="A1331" s="5">
        <f>'04_Actual_Headcount'!A20</f>
        <v>45717</v>
      </c>
      <c r="B1331" s="3" t="str">
        <f>'04_Actual_Headcount'!B20</f>
        <v>D03</v>
      </c>
      <c r="C1331" s="3" t="s">
        <v>25</v>
      </c>
      <c r="D1331" s="11">
        <f>'04_Actual_Headcount'!C20</f>
        <v>1100</v>
      </c>
      <c r="E1331" s="9">
        <f>'04_Actual_Headcount'!D20</f>
        <v>95000</v>
      </c>
      <c r="F1331" s="9">
        <f>E1331*(1+_xlfn.XLOOKUP("R&amp;D",'01_Assumptions'!$A$23:$A$30,'01_Assumptions'!$B$23:$B$30))</f>
        <v>102600</v>
      </c>
    </row>
    <row r="1332" spans="1:6">
      <c r="A1332" s="5">
        <f>'04_Actual_Headcount'!A21</f>
        <v>45717</v>
      </c>
      <c r="B1332" s="3" t="str">
        <f>'04_Actual_Headcount'!B21</f>
        <v>D04</v>
      </c>
      <c r="C1332" s="3" t="s">
        <v>26</v>
      </c>
      <c r="D1332" s="11">
        <f>'04_Actual_Headcount'!C21</f>
        <v>400</v>
      </c>
      <c r="E1332" s="9">
        <f>'04_Actual_Headcount'!D21</f>
        <v>85000</v>
      </c>
      <c r="F1332" s="9">
        <f>E1332*(1+_xlfn.XLOOKUP("G&amp;A",'01_Assumptions'!$A$23:$A$30,'01_Assumptions'!$B$23:$B$30))</f>
        <v>87550</v>
      </c>
    </row>
    <row r="1333" spans="1:6">
      <c r="A1333" s="5">
        <f>'04_Actual_Headcount'!A22</f>
        <v>45717</v>
      </c>
      <c r="B1333" s="3" t="str">
        <f>'04_Actual_Headcount'!B22</f>
        <v>D05</v>
      </c>
      <c r="C1333" s="3" t="s">
        <v>27</v>
      </c>
      <c r="D1333" s="11">
        <f>'04_Actual_Headcount'!C22</f>
        <v>350</v>
      </c>
      <c r="E1333" s="9">
        <f>'04_Actual_Headcount'!D22</f>
        <v>90000</v>
      </c>
      <c r="F1333" s="9">
        <f>E1333*(1+_xlfn.XLOOKUP("IT",'01_Assumptions'!$A$23:$A$30,'01_Assumptions'!$B$23:$B$30))</f>
        <v>96300</v>
      </c>
    </row>
    <row r="1334" spans="1:6">
      <c r="A1334" s="5">
        <f>'04_Actual_Headcount'!A23</f>
        <v>45717</v>
      </c>
      <c r="B1334" s="3" t="str">
        <f>'04_Actual_Headcount'!B23</f>
        <v>D06</v>
      </c>
      <c r="C1334" s="3" t="s">
        <v>28</v>
      </c>
      <c r="D1334" s="11">
        <f>'04_Actual_Headcount'!C23</f>
        <v>700</v>
      </c>
      <c r="E1334" s="9">
        <f>'04_Actual_Headcount'!D23</f>
        <v>65000</v>
      </c>
      <c r="F1334" s="9">
        <f>E1334*(1+_xlfn.XLOOKUP("Customer Operations",'01_Assumptions'!$A$23:$A$30,'01_Assumptions'!$B$23:$B$30))</f>
        <v>68250</v>
      </c>
    </row>
    <row r="1335" spans="1:6">
      <c r="A1335" s="5">
        <f>'04_Actual_Headcount'!A24</f>
        <v>45717</v>
      </c>
      <c r="B1335" s="3" t="str">
        <f>'04_Actual_Headcount'!B24</f>
        <v>D07</v>
      </c>
      <c r="C1335" s="3" t="s">
        <v>29</v>
      </c>
      <c r="D1335" s="11">
        <f>'04_Actual_Headcount'!C24</f>
        <v>150</v>
      </c>
      <c r="E1335" s="9">
        <f>'04_Actual_Headcount'!D24</f>
        <v>70000</v>
      </c>
      <c r="F1335" s="9">
        <f>E1335*(1+_xlfn.XLOOKUP("HR",'01_Assumptions'!$A$23:$A$30,'01_Assumptions'!$B$23:$B$30))</f>
        <v>72800</v>
      </c>
    </row>
    <row r="1336" spans="1:6">
      <c r="A1336" s="5">
        <f>'04_Actual_Headcount'!A25</f>
        <v>45717</v>
      </c>
      <c r="B1336" s="3" t="str">
        <f>'04_Actual_Headcount'!B25</f>
        <v>D08</v>
      </c>
      <c r="C1336" s="3" t="s">
        <v>30</v>
      </c>
      <c r="D1336" s="11">
        <f>'04_Actual_Headcount'!C25</f>
        <v>200</v>
      </c>
      <c r="E1336" s="9">
        <f>'04_Actual_Headcount'!D25</f>
        <v>55000</v>
      </c>
      <c r="F1336" s="9">
        <f>E1336*(1+_xlfn.XLOOKUP("Facilities",'01_Assumptions'!$A$23:$A$30,'01_Assumptions'!$B$23:$B$30))</f>
        <v>56100</v>
      </c>
    </row>
    <row r="1337" spans="1:6">
      <c r="A1337" s="5">
        <f>'04_Actual_Headcount'!A26</f>
        <v>45748</v>
      </c>
      <c r="B1337" s="3" t="str">
        <f>'04_Actual_Headcount'!B26</f>
        <v>D01</v>
      </c>
      <c r="C1337" s="3" t="s">
        <v>23</v>
      </c>
      <c r="D1337" s="11">
        <f>'04_Actual_Headcount'!C26</f>
        <v>700</v>
      </c>
      <c r="E1337" s="9">
        <f>'04_Actual_Headcount'!D26</f>
        <v>70000</v>
      </c>
      <c r="F1337" s="9">
        <f>E1337*(1+_xlfn.XLOOKUP("Sales",'01_Assumptions'!$A$23:$A$30,'01_Assumptions'!$B$23:$B$30))</f>
        <v>73500</v>
      </c>
    </row>
    <row r="1338" spans="1:6">
      <c r="A1338" s="5">
        <f>'04_Actual_Headcount'!A27</f>
        <v>45748</v>
      </c>
      <c r="B1338" s="3" t="str">
        <f>'04_Actual_Headcount'!B27</f>
        <v>D02</v>
      </c>
      <c r="C1338" s="3" t="s">
        <v>24</v>
      </c>
      <c r="D1338" s="11">
        <f>'04_Actual_Headcount'!C27</f>
        <v>450</v>
      </c>
      <c r="E1338" s="9">
        <f>'04_Actual_Headcount'!D27</f>
        <v>75000</v>
      </c>
      <c r="F1338" s="9">
        <f>E1338*(1+_xlfn.XLOOKUP("Marketing",'01_Assumptions'!$A$23:$A$30,'01_Assumptions'!$B$23:$B$30))</f>
        <v>79500</v>
      </c>
    </row>
    <row r="1339" spans="1:6">
      <c r="A1339" s="5">
        <f>'04_Actual_Headcount'!A28</f>
        <v>45748</v>
      </c>
      <c r="B1339" s="3" t="str">
        <f>'04_Actual_Headcount'!B28</f>
        <v>D03</v>
      </c>
      <c r="C1339" s="3" t="s">
        <v>25</v>
      </c>
      <c r="D1339" s="11">
        <f>'04_Actual_Headcount'!C28</f>
        <v>1100</v>
      </c>
      <c r="E1339" s="9">
        <f>'04_Actual_Headcount'!D28</f>
        <v>95000</v>
      </c>
      <c r="F1339" s="9">
        <f>E1339*(1+_xlfn.XLOOKUP("R&amp;D",'01_Assumptions'!$A$23:$A$30,'01_Assumptions'!$B$23:$B$30))</f>
        <v>102600</v>
      </c>
    </row>
    <row r="1340" spans="1:6">
      <c r="A1340" s="5">
        <f>'04_Actual_Headcount'!A29</f>
        <v>45748</v>
      </c>
      <c r="B1340" s="3" t="str">
        <f>'04_Actual_Headcount'!B29</f>
        <v>D04</v>
      </c>
      <c r="C1340" s="3" t="s">
        <v>26</v>
      </c>
      <c r="D1340" s="11">
        <f>'04_Actual_Headcount'!C29</f>
        <v>400</v>
      </c>
      <c r="E1340" s="9">
        <f>'04_Actual_Headcount'!D29</f>
        <v>85000</v>
      </c>
      <c r="F1340" s="9">
        <f>E1340*(1+_xlfn.XLOOKUP("G&amp;A",'01_Assumptions'!$A$23:$A$30,'01_Assumptions'!$B$23:$B$30))</f>
        <v>87550</v>
      </c>
    </row>
    <row r="1341" spans="1:6">
      <c r="A1341" s="5">
        <f>'04_Actual_Headcount'!A30</f>
        <v>45748</v>
      </c>
      <c r="B1341" s="3" t="str">
        <f>'04_Actual_Headcount'!B30</f>
        <v>D05</v>
      </c>
      <c r="C1341" s="3" t="s">
        <v>27</v>
      </c>
      <c r="D1341" s="11">
        <f>'04_Actual_Headcount'!C30</f>
        <v>350</v>
      </c>
      <c r="E1341" s="9">
        <f>'04_Actual_Headcount'!D30</f>
        <v>90000</v>
      </c>
      <c r="F1341" s="9">
        <f>E1341*(1+_xlfn.XLOOKUP("IT",'01_Assumptions'!$A$23:$A$30,'01_Assumptions'!$B$23:$B$30))</f>
        <v>96300</v>
      </c>
    </row>
    <row r="1342" spans="1:6">
      <c r="A1342" s="5">
        <f>'04_Actual_Headcount'!A31</f>
        <v>45748</v>
      </c>
      <c r="B1342" s="3" t="str">
        <f>'04_Actual_Headcount'!B31</f>
        <v>D06</v>
      </c>
      <c r="C1342" s="3" t="s">
        <v>28</v>
      </c>
      <c r="D1342" s="11">
        <f>'04_Actual_Headcount'!C31</f>
        <v>700</v>
      </c>
      <c r="E1342" s="9">
        <f>'04_Actual_Headcount'!D31</f>
        <v>65000</v>
      </c>
      <c r="F1342" s="9">
        <f>E1342*(1+_xlfn.XLOOKUP("Customer Operations",'01_Assumptions'!$A$23:$A$30,'01_Assumptions'!$B$23:$B$30))</f>
        <v>68250</v>
      </c>
    </row>
    <row r="1343" spans="1:6">
      <c r="A1343" s="5">
        <f>'04_Actual_Headcount'!A32</f>
        <v>45748</v>
      </c>
      <c r="B1343" s="3" t="str">
        <f>'04_Actual_Headcount'!B32</f>
        <v>D07</v>
      </c>
      <c r="C1343" s="3" t="s">
        <v>29</v>
      </c>
      <c r="D1343" s="11">
        <f>'04_Actual_Headcount'!C32</f>
        <v>150</v>
      </c>
      <c r="E1343" s="9">
        <f>'04_Actual_Headcount'!D32</f>
        <v>70000</v>
      </c>
      <c r="F1343" s="9">
        <f>E1343*(1+_xlfn.XLOOKUP("HR",'01_Assumptions'!$A$23:$A$30,'01_Assumptions'!$B$23:$B$30))</f>
        <v>72800</v>
      </c>
    </row>
    <row r="1344" spans="1:6">
      <c r="A1344" s="5">
        <f>'04_Actual_Headcount'!A33</f>
        <v>45748</v>
      </c>
      <c r="B1344" s="3" t="str">
        <f>'04_Actual_Headcount'!B33</f>
        <v>D08</v>
      </c>
      <c r="C1344" s="3" t="s">
        <v>30</v>
      </c>
      <c r="D1344" s="11">
        <f>'04_Actual_Headcount'!C33</f>
        <v>200</v>
      </c>
      <c r="E1344" s="9">
        <f>'04_Actual_Headcount'!D33</f>
        <v>55000</v>
      </c>
      <c r="F1344" s="9">
        <f>E1344*(1+_xlfn.XLOOKUP("Facilities",'01_Assumptions'!$A$23:$A$30,'01_Assumptions'!$B$23:$B$30))</f>
        <v>56100</v>
      </c>
    </row>
    <row r="1345" spans="1:6">
      <c r="A1345" s="5">
        <f>'04_Actual_Headcount'!A34</f>
        <v>45778</v>
      </c>
      <c r="B1345" s="3" t="str">
        <f>'04_Actual_Headcount'!B34</f>
        <v>D01</v>
      </c>
      <c r="C1345" s="3" t="s">
        <v>23</v>
      </c>
      <c r="D1345" s="11">
        <f>'04_Actual_Headcount'!C34</f>
        <v>700</v>
      </c>
      <c r="E1345" s="9">
        <f>'04_Actual_Headcount'!D34</f>
        <v>70000</v>
      </c>
      <c r="F1345" s="9">
        <f>E1345*(1+_xlfn.XLOOKUP("Sales",'01_Assumptions'!$A$23:$A$30,'01_Assumptions'!$B$23:$B$30))</f>
        <v>73500</v>
      </c>
    </row>
    <row r="1346" spans="1:6">
      <c r="A1346" s="5">
        <f>'04_Actual_Headcount'!A35</f>
        <v>45778</v>
      </c>
      <c r="B1346" s="3" t="str">
        <f>'04_Actual_Headcount'!B35</f>
        <v>D02</v>
      </c>
      <c r="C1346" s="3" t="s">
        <v>24</v>
      </c>
      <c r="D1346" s="11">
        <f>'04_Actual_Headcount'!C35</f>
        <v>450</v>
      </c>
      <c r="E1346" s="9">
        <f>'04_Actual_Headcount'!D35</f>
        <v>75000</v>
      </c>
      <c r="F1346" s="9">
        <f>E1346*(1+_xlfn.XLOOKUP("Marketing",'01_Assumptions'!$A$23:$A$30,'01_Assumptions'!$B$23:$B$30))</f>
        <v>79500</v>
      </c>
    </row>
    <row r="1347" spans="1:6">
      <c r="A1347" s="5">
        <f>'04_Actual_Headcount'!A36</f>
        <v>45778</v>
      </c>
      <c r="B1347" s="3" t="str">
        <f>'04_Actual_Headcount'!B36</f>
        <v>D03</v>
      </c>
      <c r="C1347" s="3" t="s">
        <v>25</v>
      </c>
      <c r="D1347" s="11">
        <f>'04_Actual_Headcount'!C36</f>
        <v>1100</v>
      </c>
      <c r="E1347" s="9">
        <f>'04_Actual_Headcount'!D36</f>
        <v>95000</v>
      </c>
      <c r="F1347" s="9">
        <f>E1347*(1+_xlfn.XLOOKUP("R&amp;D",'01_Assumptions'!$A$23:$A$30,'01_Assumptions'!$B$23:$B$30))</f>
        <v>102600</v>
      </c>
    </row>
    <row r="1348" spans="1:6">
      <c r="A1348" s="5">
        <f>'04_Actual_Headcount'!A37</f>
        <v>45778</v>
      </c>
      <c r="B1348" s="3" t="str">
        <f>'04_Actual_Headcount'!B37</f>
        <v>D04</v>
      </c>
      <c r="C1348" s="3" t="s">
        <v>26</v>
      </c>
      <c r="D1348" s="11">
        <f>'04_Actual_Headcount'!C37</f>
        <v>400</v>
      </c>
      <c r="E1348" s="9">
        <f>'04_Actual_Headcount'!D37</f>
        <v>85000</v>
      </c>
      <c r="F1348" s="9">
        <f>E1348*(1+_xlfn.XLOOKUP("G&amp;A",'01_Assumptions'!$A$23:$A$30,'01_Assumptions'!$B$23:$B$30))</f>
        <v>87550</v>
      </c>
    </row>
    <row r="1349" spans="1:6">
      <c r="A1349" s="5">
        <f>'04_Actual_Headcount'!A38</f>
        <v>45778</v>
      </c>
      <c r="B1349" s="3" t="str">
        <f>'04_Actual_Headcount'!B38</f>
        <v>D05</v>
      </c>
      <c r="C1349" s="3" t="s">
        <v>27</v>
      </c>
      <c r="D1349" s="11">
        <f>'04_Actual_Headcount'!C38</f>
        <v>350</v>
      </c>
      <c r="E1349" s="9">
        <f>'04_Actual_Headcount'!D38</f>
        <v>90000</v>
      </c>
      <c r="F1349" s="9">
        <f>E1349*(1+_xlfn.XLOOKUP("IT",'01_Assumptions'!$A$23:$A$30,'01_Assumptions'!$B$23:$B$30))</f>
        <v>96300</v>
      </c>
    </row>
    <row r="1350" spans="1:6">
      <c r="A1350" s="5">
        <f>'04_Actual_Headcount'!A39</f>
        <v>45778</v>
      </c>
      <c r="B1350" s="3" t="str">
        <f>'04_Actual_Headcount'!B39</f>
        <v>D06</v>
      </c>
      <c r="C1350" s="3" t="s">
        <v>28</v>
      </c>
      <c r="D1350" s="11">
        <f>'04_Actual_Headcount'!C39</f>
        <v>700</v>
      </c>
      <c r="E1350" s="9">
        <f>'04_Actual_Headcount'!D39</f>
        <v>65000</v>
      </c>
      <c r="F1350" s="9">
        <f>E1350*(1+_xlfn.XLOOKUP("Customer Operations",'01_Assumptions'!$A$23:$A$30,'01_Assumptions'!$B$23:$B$30))</f>
        <v>68250</v>
      </c>
    </row>
    <row r="1351" spans="1:6">
      <c r="A1351" s="5">
        <f>'04_Actual_Headcount'!A40</f>
        <v>45778</v>
      </c>
      <c r="B1351" s="3" t="str">
        <f>'04_Actual_Headcount'!B40</f>
        <v>D07</v>
      </c>
      <c r="C1351" s="3" t="s">
        <v>29</v>
      </c>
      <c r="D1351" s="11">
        <f>'04_Actual_Headcount'!C40</f>
        <v>150</v>
      </c>
      <c r="E1351" s="9">
        <f>'04_Actual_Headcount'!D40</f>
        <v>70000</v>
      </c>
      <c r="F1351" s="9">
        <f>E1351*(1+_xlfn.XLOOKUP("HR",'01_Assumptions'!$A$23:$A$30,'01_Assumptions'!$B$23:$B$30))</f>
        <v>72800</v>
      </c>
    </row>
    <row r="1352" spans="1:6">
      <c r="A1352" s="5">
        <f>'04_Actual_Headcount'!A41</f>
        <v>45778</v>
      </c>
      <c r="B1352" s="3" t="str">
        <f>'04_Actual_Headcount'!B41</f>
        <v>D08</v>
      </c>
      <c r="C1352" s="3" t="s">
        <v>30</v>
      </c>
      <c r="D1352" s="11">
        <f>'04_Actual_Headcount'!C41</f>
        <v>200</v>
      </c>
      <c r="E1352" s="9">
        <f>'04_Actual_Headcount'!D41</f>
        <v>55000</v>
      </c>
      <c r="F1352" s="9">
        <f>E1352*(1+_xlfn.XLOOKUP("Facilities",'01_Assumptions'!$A$23:$A$30,'01_Assumptions'!$B$23:$B$30))</f>
        <v>56100</v>
      </c>
    </row>
    <row r="1353" spans="1:6">
      <c r="A1353" s="5">
        <f>'04_Actual_Headcount'!A42</f>
        <v>45809</v>
      </c>
      <c r="B1353" s="3" t="str">
        <f>'04_Actual_Headcount'!B42</f>
        <v>D01</v>
      </c>
      <c r="C1353" s="3" t="s">
        <v>23</v>
      </c>
      <c r="D1353" s="11">
        <f>'04_Actual_Headcount'!C42</f>
        <v>700</v>
      </c>
      <c r="E1353" s="9">
        <f>'04_Actual_Headcount'!D42</f>
        <v>70000</v>
      </c>
      <c r="F1353" s="9">
        <f>E1353*(1+_xlfn.XLOOKUP("Sales",'01_Assumptions'!$A$23:$A$30,'01_Assumptions'!$B$23:$B$30))</f>
        <v>73500</v>
      </c>
    </row>
    <row r="1354" spans="1:6">
      <c r="A1354" s="5">
        <f>'04_Actual_Headcount'!A43</f>
        <v>45809</v>
      </c>
      <c r="B1354" s="3" t="str">
        <f>'04_Actual_Headcount'!B43</f>
        <v>D02</v>
      </c>
      <c r="C1354" s="3" t="s">
        <v>24</v>
      </c>
      <c r="D1354" s="11">
        <f>'04_Actual_Headcount'!C43</f>
        <v>450</v>
      </c>
      <c r="E1354" s="9">
        <f>'04_Actual_Headcount'!D43</f>
        <v>75000</v>
      </c>
      <c r="F1354" s="9">
        <f>E1354*(1+_xlfn.XLOOKUP("Marketing",'01_Assumptions'!$A$23:$A$30,'01_Assumptions'!$B$23:$B$30))</f>
        <v>79500</v>
      </c>
    </row>
    <row r="1355" spans="1:6">
      <c r="A1355" s="5">
        <f>'04_Actual_Headcount'!A44</f>
        <v>45809</v>
      </c>
      <c r="B1355" s="3" t="str">
        <f>'04_Actual_Headcount'!B44</f>
        <v>D03</v>
      </c>
      <c r="C1355" s="3" t="s">
        <v>25</v>
      </c>
      <c r="D1355" s="11">
        <f>'04_Actual_Headcount'!C44</f>
        <v>1100</v>
      </c>
      <c r="E1355" s="9">
        <f>'04_Actual_Headcount'!D44</f>
        <v>95000</v>
      </c>
      <c r="F1355" s="9">
        <f>E1355*(1+_xlfn.XLOOKUP("R&amp;D",'01_Assumptions'!$A$23:$A$30,'01_Assumptions'!$B$23:$B$30))</f>
        <v>102600</v>
      </c>
    </row>
    <row r="1356" spans="1:6">
      <c r="A1356" s="5">
        <f>'04_Actual_Headcount'!A45</f>
        <v>45809</v>
      </c>
      <c r="B1356" s="3" t="str">
        <f>'04_Actual_Headcount'!B45</f>
        <v>D04</v>
      </c>
      <c r="C1356" s="3" t="s">
        <v>26</v>
      </c>
      <c r="D1356" s="11">
        <f>'04_Actual_Headcount'!C45</f>
        <v>400</v>
      </c>
      <c r="E1356" s="9">
        <f>'04_Actual_Headcount'!D45</f>
        <v>85000</v>
      </c>
      <c r="F1356" s="9">
        <f>E1356*(1+_xlfn.XLOOKUP("G&amp;A",'01_Assumptions'!$A$23:$A$30,'01_Assumptions'!$B$23:$B$30))</f>
        <v>87550</v>
      </c>
    </row>
    <row r="1357" spans="1:6">
      <c r="A1357" s="5">
        <f>'04_Actual_Headcount'!A46</f>
        <v>45809</v>
      </c>
      <c r="B1357" s="3" t="str">
        <f>'04_Actual_Headcount'!B46</f>
        <v>D05</v>
      </c>
      <c r="C1357" s="3" t="s">
        <v>27</v>
      </c>
      <c r="D1357" s="11">
        <f>'04_Actual_Headcount'!C46</f>
        <v>350</v>
      </c>
      <c r="E1357" s="9">
        <f>'04_Actual_Headcount'!D46</f>
        <v>90000</v>
      </c>
      <c r="F1357" s="9">
        <f>E1357*(1+_xlfn.XLOOKUP("IT",'01_Assumptions'!$A$23:$A$30,'01_Assumptions'!$B$23:$B$30))</f>
        <v>96300</v>
      </c>
    </row>
    <row r="1358" spans="1:6">
      <c r="A1358" s="5">
        <f>'04_Actual_Headcount'!A47</f>
        <v>45809</v>
      </c>
      <c r="B1358" s="3" t="str">
        <f>'04_Actual_Headcount'!B47</f>
        <v>D06</v>
      </c>
      <c r="C1358" s="3" t="s">
        <v>28</v>
      </c>
      <c r="D1358" s="11">
        <f>'04_Actual_Headcount'!C47</f>
        <v>700</v>
      </c>
      <c r="E1358" s="9">
        <f>'04_Actual_Headcount'!D47</f>
        <v>65000</v>
      </c>
      <c r="F1358" s="9">
        <f>E1358*(1+_xlfn.XLOOKUP("Customer Operations",'01_Assumptions'!$A$23:$A$30,'01_Assumptions'!$B$23:$B$30))</f>
        <v>68250</v>
      </c>
    </row>
    <row r="1359" spans="1:6">
      <c r="A1359" s="5">
        <f>'04_Actual_Headcount'!A48</f>
        <v>45809</v>
      </c>
      <c r="B1359" s="3" t="str">
        <f>'04_Actual_Headcount'!B48</f>
        <v>D07</v>
      </c>
      <c r="C1359" s="3" t="s">
        <v>29</v>
      </c>
      <c r="D1359" s="11">
        <f>'04_Actual_Headcount'!C48</f>
        <v>150</v>
      </c>
      <c r="E1359" s="9">
        <f>'04_Actual_Headcount'!D48</f>
        <v>70000</v>
      </c>
      <c r="F1359" s="9">
        <f>E1359*(1+_xlfn.XLOOKUP("HR",'01_Assumptions'!$A$23:$A$30,'01_Assumptions'!$B$23:$B$30))</f>
        <v>72800</v>
      </c>
    </row>
    <row r="1360" spans="1:6">
      <c r="A1360" s="5">
        <f>'04_Actual_Headcount'!A49</f>
        <v>45809</v>
      </c>
      <c r="B1360" s="3" t="str">
        <f>'04_Actual_Headcount'!B49</f>
        <v>D08</v>
      </c>
      <c r="C1360" s="3" t="s">
        <v>30</v>
      </c>
      <c r="D1360" s="11">
        <f>'04_Actual_Headcount'!C49</f>
        <v>200</v>
      </c>
      <c r="E1360" s="9">
        <f>'04_Actual_Headcount'!D49</f>
        <v>55000</v>
      </c>
      <c r="F1360" s="9">
        <f>E1360*(1+_xlfn.XLOOKUP("Facilities",'01_Assumptions'!$A$23:$A$30,'01_Assumptions'!$B$23:$B$30))</f>
        <v>56100</v>
      </c>
    </row>
    <row r="1361" spans="1:6">
      <c r="A1361" s="5">
        <f>'04_Actual_Headcount'!A50</f>
        <v>45839</v>
      </c>
      <c r="B1361" s="3" t="str">
        <f>'04_Actual_Headcount'!B50</f>
        <v>D01</v>
      </c>
      <c r="C1361" s="3" t="s">
        <v>23</v>
      </c>
      <c r="D1361" s="11">
        <f>'04_Actual_Headcount'!C50</f>
        <v>700</v>
      </c>
      <c r="E1361" s="9">
        <f>'04_Actual_Headcount'!D50</f>
        <v>70000</v>
      </c>
      <c r="F1361" s="9">
        <f>E1361*(1+_xlfn.XLOOKUP("Sales",'01_Assumptions'!$A$23:$A$30,'01_Assumptions'!$B$23:$B$30))</f>
        <v>73500</v>
      </c>
    </row>
    <row r="1362" spans="1:6">
      <c r="A1362" s="5">
        <f>'04_Actual_Headcount'!A51</f>
        <v>45839</v>
      </c>
      <c r="B1362" s="3" t="str">
        <f>'04_Actual_Headcount'!B51</f>
        <v>D02</v>
      </c>
      <c r="C1362" s="3" t="s">
        <v>24</v>
      </c>
      <c r="D1362" s="11">
        <f>'04_Actual_Headcount'!C51</f>
        <v>450</v>
      </c>
      <c r="E1362" s="9">
        <f>'04_Actual_Headcount'!D51</f>
        <v>75000</v>
      </c>
      <c r="F1362" s="9">
        <f>E1362*(1+_xlfn.XLOOKUP("Marketing",'01_Assumptions'!$A$23:$A$30,'01_Assumptions'!$B$23:$B$30))</f>
        <v>79500</v>
      </c>
    </row>
    <row r="1363" spans="1:6">
      <c r="A1363" s="5">
        <f>'04_Actual_Headcount'!A52</f>
        <v>45839</v>
      </c>
      <c r="B1363" s="3" t="str">
        <f>'04_Actual_Headcount'!B52</f>
        <v>D03</v>
      </c>
      <c r="C1363" s="3" t="s">
        <v>25</v>
      </c>
      <c r="D1363" s="11">
        <f>'04_Actual_Headcount'!C52</f>
        <v>1100</v>
      </c>
      <c r="E1363" s="9">
        <f>'04_Actual_Headcount'!D52</f>
        <v>95000</v>
      </c>
      <c r="F1363" s="9">
        <f>E1363*(1+_xlfn.XLOOKUP("R&amp;D",'01_Assumptions'!$A$23:$A$30,'01_Assumptions'!$B$23:$B$30))</f>
        <v>102600</v>
      </c>
    </row>
    <row r="1364" spans="1:6">
      <c r="A1364" s="5">
        <f>'04_Actual_Headcount'!A53</f>
        <v>45839</v>
      </c>
      <c r="B1364" s="3" t="str">
        <f>'04_Actual_Headcount'!B53</f>
        <v>D04</v>
      </c>
      <c r="C1364" s="3" t="s">
        <v>26</v>
      </c>
      <c r="D1364" s="11">
        <f>'04_Actual_Headcount'!C53</f>
        <v>400</v>
      </c>
      <c r="E1364" s="9">
        <f>'04_Actual_Headcount'!D53</f>
        <v>85000</v>
      </c>
      <c r="F1364" s="9">
        <f>E1364*(1+_xlfn.XLOOKUP("G&amp;A",'01_Assumptions'!$A$23:$A$30,'01_Assumptions'!$B$23:$B$30))</f>
        <v>87550</v>
      </c>
    </row>
    <row r="1365" spans="1:6">
      <c r="A1365" s="5">
        <f>'04_Actual_Headcount'!A54</f>
        <v>45839</v>
      </c>
      <c r="B1365" s="3" t="str">
        <f>'04_Actual_Headcount'!B54</f>
        <v>D05</v>
      </c>
      <c r="C1365" s="3" t="s">
        <v>27</v>
      </c>
      <c r="D1365" s="11">
        <f>'04_Actual_Headcount'!C54</f>
        <v>350</v>
      </c>
      <c r="E1365" s="9">
        <f>'04_Actual_Headcount'!D54</f>
        <v>90000</v>
      </c>
      <c r="F1365" s="9">
        <f>E1365*(1+_xlfn.XLOOKUP("IT",'01_Assumptions'!$A$23:$A$30,'01_Assumptions'!$B$23:$B$30))</f>
        <v>96300</v>
      </c>
    </row>
    <row r="1366" spans="1:6">
      <c r="A1366" s="5">
        <f>'04_Actual_Headcount'!A55</f>
        <v>45839</v>
      </c>
      <c r="B1366" s="3" t="str">
        <f>'04_Actual_Headcount'!B55</f>
        <v>D06</v>
      </c>
      <c r="C1366" s="3" t="s">
        <v>28</v>
      </c>
      <c r="D1366" s="11">
        <f>'04_Actual_Headcount'!C55</f>
        <v>700</v>
      </c>
      <c r="E1366" s="9">
        <f>'04_Actual_Headcount'!D55</f>
        <v>65000</v>
      </c>
      <c r="F1366" s="9">
        <f>E1366*(1+_xlfn.XLOOKUP("Customer Operations",'01_Assumptions'!$A$23:$A$30,'01_Assumptions'!$B$23:$B$30))</f>
        <v>68250</v>
      </c>
    </row>
    <row r="1367" spans="1:6">
      <c r="A1367" s="5">
        <f>'04_Actual_Headcount'!A56</f>
        <v>45839</v>
      </c>
      <c r="B1367" s="3" t="str">
        <f>'04_Actual_Headcount'!B56</f>
        <v>D07</v>
      </c>
      <c r="C1367" s="3" t="s">
        <v>29</v>
      </c>
      <c r="D1367" s="11">
        <f>'04_Actual_Headcount'!C56</f>
        <v>150</v>
      </c>
      <c r="E1367" s="9">
        <f>'04_Actual_Headcount'!D56</f>
        <v>70000</v>
      </c>
      <c r="F1367" s="9">
        <f>E1367*(1+_xlfn.XLOOKUP("HR",'01_Assumptions'!$A$23:$A$30,'01_Assumptions'!$B$23:$B$30))</f>
        <v>72800</v>
      </c>
    </row>
    <row r="1368" spans="1:6">
      <c r="A1368" s="5">
        <f>'04_Actual_Headcount'!A57</f>
        <v>45839</v>
      </c>
      <c r="B1368" s="3" t="str">
        <f>'04_Actual_Headcount'!B57</f>
        <v>D08</v>
      </c>
      <c r="C1368" s="3" t="s">
        <v>30</v>
      </c>
      <c r="D1368" s="11">
        <f>'04_Actual_Headcount'!C57</f>
        <v>200</v>
      </c>
      <c r="E1368" s="9">
        <f>'04_Actual_Headcount'!D57</f>
        <v>55000</v>
      </c>
      <c r="F1368" s="9">
        <f>E1368*(1+_xlfn.XLOOKUP("Facilities",'01_Assumptions'!$A$23:$A$30,'01_Assumptions'!$B$23:$B$30))</f>
        <v>56100</v>
      </c>
    </row>
    <row r="1369" spans="1:6">
      <c r="A1369" s="5">
        <f>'04_Actual_Headcount'!A58</f>
        <v>45870</v>
      </c>
      <c r="B1369" s="3" t="str">
        <f>'04_Actual_Headcount'!B58</f>
        <v>D01</v>
      </c>
      <c r="C1369" s="3" t="s">
        <v>23</v>
      </c>
      <c r="D1369" s="11">
        <f>'04_Actual_Headcount'!C58</f>
        <v>700</v>
      </c>
      <c r="E1369" s="9">
        <f>'04_Actual_Headcount'!D58</f>
        <v>70000</v>
      </c>
      <c r="F1369" s="9">
        <f>E1369*(1+_xlfn.XLOOKUP("Sales",'01_Assumptions'!$A$23:$A$30,'01_Assumptions'!$B$23:$B$30))</f>
        <v>73500</v>
      </c>
    </row>
    <row r="1370" spans="1:6">
      <c r="A1370" s="5">
        <f>'04_Actual_Headcount'!A59</f>
        <v>45870</v>
      </c>
      <c r="B1370" s="3" t="str">
        <f>'04_Actual_Headcount'!B59</f>
        <v>D02</v>
      </c>
      <c r="C1370" s="3" t="s">
        <v>24</v>
      </c>
      <c r="D1370" s="11">
        <f>'04_Actual_Headcount'!C59</f>
        <v>450</v>
      </c>
      <c r="E1370" s="9">
        <f>'04_Actual_Headcount'!D59</f>
        <v>75000</v>
      </c>
      <c r="F1370" s="9">
        <f>E1370*(1+_xlfn.XLOOKUP("Marketing",'01_Assumptions'!$A$23:$A$30,'01_Assumptions'!$B$23:$B$30))</f>
        <v>79500</v>
      </c>
    </row>
    <row r="1371" spans="1:6">
      <c r="A1371" s="5">
        <f>'04_Actual_Headcount'!A60</f>
        <v>45870</v>
      </c>
      <c r="B1371" s="3" t="str">
        <f>'04_Actual_Headcount'!B60</f>
        <v>D03</v>
      </c>
      <c r="C1371" s="3" t="s">
        <v>25</v>
      </c>
      <c r="D1371" s="11">
        <f>'04_Actual_Headcount'!C60</f>
        <v>1100</v>
      </c>
      <c r="E1371" s="9">
        <f>'04_Actual_Headcount'!D60</f>
        <v>95000</v>
      </c>
      <c r="F1371" s="9">
        <f>E1371*(1+_xlfn.XLOOKUP("R&amp;D",'01_Assumptions'!$A$23:$A$30,'01_Assumptions'!$B$23:$B$30))</f>
        <v>102600</v>
      </c>
    </row>
    <row r="1372" spans="1:6">
      <c r="A1372" s="5">
        <f>'04_Actual_Headcount'!A61</f>
        <v>45870</v>
      </c>
      <c r="B1372" s="3" t="str">
        <f>'04_Actual_Headcount'!B61</f>
        <v>D04</v>
      </c>
      <c r="C1372" s="3" t="s">
        <v>26</v>
      </c>
      <c r="D1372" s="11">
        <f>'04_Actual_Headcount'!C61</f>
        <v>400</v>
      </c>
      <c r="E1372" s="9">
        <f>'04_Actual_Headcount'!D61</f>
        <v>85000</v>
      </c>
      <c r="F1372" s="9">
        <f>E1372*(1+_xlfn.XLOOKUP("G&amp;A",'01_Assumptions'!$A$23:$A$30,'01_Assumptions'!$B$23:$B$30))</f>
        <v>87550</v>
      </c>
    </row>
    <row r="1373" spans="1:6">
      <c r="A1373" s="5">
        <f>'04_Actual_Headcount'!A62</f>
        <v>45870</v>
      </c>
      <c r="B1373" s="3" t="str">
        <f>'04_Actual_Headcount'!B62</f>
        <v>D05</v>
      </c>
      <c r="C1373" s="3" t="s">
        <v>27</v>
      </c>
      <c r="D1373" s="11">
        <f>'04_Actual_Headcount'!C62</f>
        <v>350</v>
      </c>
      <c r="E1373" s="9">
        <f>'04_Actual_Headcount'!D62</f>
        <v>90000</v>
      </c>
      <c r="F1373" s="9">
        <f>E1373*(1+_xlfn.XLOOKUP("IT",'01_Assumptions'!$A$23:$A$30,'01_Assumptions'!$B$23:$B$30))</f>
        <v>96300</v>
      </c>
    </row>
    <row r="1374" spans="1:6">
      <c r="A1374" s="5">
        <f>'04_Actual_Headcount'!A63</f>
        <v>45870</v>
      </c>
      <c r="B1374" s="3" t="str">
        <f>'04_Actual_Headcount'!B63</f>
        <v>D06</v>
      </c>
      <c r="C1374" s="3" t="s">
        <v>28</v>
      </c>
      <c r="D1374" s="11">
        <f>'04_Actual_Headcount'!C63</f>
        <v>700</v>
      </c>
      <c r="E1374" s="9">
        <f>'04_Actual_Headcount'!D63</f>
        <v>65000</v>
      </c>
      <c r="F1374" s="9">
        <f>E1374*(1+_xlfn.XLOOKUP("Customer Operations",'01_Assumptions'!$A$23:$A$30,'01_Assumptions'!$B$23:$B$30))</f>
        <v>68250</v>
      </c>
    </row>
    <row r="1375" spans="1:6">
      <c r="A1375" s="5">
        <f>'04_Actual_Headcount'!A64</f>
        <v>45870</v>
      </c>
      <c r="B1375" s="3" t="str">
        <f>'04_Actual_Headcount'!B64</f>
        <v>D07</v>
      </c>
      <c r="C1375" s="3" t="s">
        <v>29</v>
      </c>
      <c r="D1375" s="11">
        <f>'04_Actual_Headcount'!C64</f>
        <v>150</v>
      </c>
      <c r="E1375" s="9">
        <f>'04_Actual_Headcount'!D64</f>
        <v>70000</v>
      </c>
      <c r="F1375" s="9">
        <f>E1375*(1+_xlfn.XLOOKUP("HR",'01_Assumptions'!$A$23:$A$30,'01_Assumptions'!$B$23:$B$30))</f>
        <v>72800</v>
      </c>
    </row>
    <row r="1376" spans="1:6">
      <c r="A1376" s="5">
        <f>'04_Actual_Headcount'!A65</f>
        <v>45870</v>
      </c>
      <c r="B1376" s="3" t="str">
        <f>'04_Actual_Headcount'!B65</f>
        <v>D08</v>
      </c>
      <c r="C1376" s="3" t="s">
        <v>30</v>
      </c>
      <c r="D1376" s="11">
        <f>'04_Actual_Headcount'!C65</f>
        <v>200</v>
      </c>
      <c r="E1376" s="9">
        <f>'04_Actual_Headcount'!D65</f>
        <v>55000</v>
      </c>
      <c r="F1376" s="9">
        <f>E1376*(1+_xlfn.XLOOKUP("Facilities",'01_Assumptions'!$A$23:$A$30,'01_Assumptions'!$B$23:$B$30))</f>
        <v>56100</v>
      </c>
    </row>
    <row r="1377" spans="1:6">
      <c r="A1377" s="5">
        <f>'04_Actual_Headcount'!A66</f>
        <v>45901</v>
      </c>
      <c r="B1377" s="3" t="str">
        <f>'04_Actual_Headcount'!B66</f>
        <v>D01</v>
      </c>
      <c r="C1377" s="3" t="s">
        <v>23</v>
      </c>
      <c r="D1377" s="11">
        <f>'04_Actual_Headcount'!C66</f>
        <v>700</v>
      </c>
      <c r="E1377" s="9">
        <f>'04_Actual_Headcount'!D66</f>
        <v>70000</v>
      </c>
      <c r="F1377" s="9">
        <f>E1377*(1+_xlfn.XLOOKUP("Sales",'01_Assumptions'!$A$23:$A$30,'01_Assumptions'!$B$23:$B$30))</f>
        <v>73500</v>
      </c>
    </row>
    <row r="1378" spans="1:6">
      <c r="A1378" s="5">
        <f>'04_Actual_Headcount'!A67</f>
        <v>45901</v>
      </c>
      <c r="B1378" s="3" t="str">
        <f>'04_Actual_Headcount'!B67</f>
        <v>D02</v>
      </c>
      <c r="C1378" s="3" t="s">
        <v>24</v>
      </c>
      <c r="D1378" s="11">
        <f>'04_Actual_Headcount'!C67</f>
        <v>450</v>
      </c>
      <c r="E1378" s="9">
        <f>'04_Actual_Headcount'!D67</f>
        <v>75000</v>
      </c>
      <c r="F1378" s="9">
        <f>E1378*(1+_xlfn.XLOOKUP("Marketing",'01_Assumptions'!$A$23:$A$30,'01_Assumptions'!$B$23:$B$30))</f>
        <v>79500</v>
      </c>
    </row>
    <row r="1379" spans="1:6">
      <c r="A1379" s="5">
        <f>'04_Actual_Headcount'!A68</f>
        <v>45901</v>
      </c>
      <c r="B1379" s="3" t="str">
        <f>'04_Actual_Headcount'!B68</f>
        <v>D03</v>
      </c>
      <c r="C1379" s="3" t="s">
        <v>25</v>
      </c>
      <c r="D1379" s="11">
        <f>'04_Actual_Headcount'!C68</f>
        <v>1100</v>
      </c>
      <c r="E1379" s="9">
        <f>'04_Actual_Headcount'!D68</f>
        <v>95000</v>
      </c>
      <c r="F1379" s="9">
        <f>E1379*(1+_xlfn.XLOOKUP("R&amp;D",'01_Assumptions'!$A$23:$A$30,'01_Assumptions'!$B$23:$B$30))</f>
        <v>102600</v>
      </c>
    </row>
    <row r="1380" spans="1:6">
      <c r="A1380" s="5">
        <f>'04_Actual_Headcount'!A69</f>
        <v>45901</v>
      </c>
      <c r="B1380" s="3" t="str">
        <f>'04_Actual_Headcount'!B69</f>
        <v>D04</v>
      </c>
      <c r="C1380" s="3" t="s">
        <v>26</v>
      </c>
      <c r="D1380" s="11">
        <f>'04_Actual_Headcount'!C69</f>
        <v>400</v>
      </c>
      <c r="E1380" s="9">
        <f>'04_Actual_Headcount'!D69</f>
        <v>85000</v>
      </c>
      <c r="F1380" s="9">
        <f>E1380*(1+_xlfn.XLOOKUP("G&amp;A",'01_Assumptions'!$A$23:$A$30,'01_Assumptions'!$B$23:$B$30))</f>
        <v>87550</v>
      </c>
    </row>
    <row r="1381" spans="1:6">
      <c r="A1381" s="5">
        <f>'04_Actual_Headcount'!A70</f>
        <v>45901</v>
      </c>
      <c r="B1381" s="3" t="str">
        <f>'04_Actual_Headcount'!B70</f>
        <v>D05</v>
      </c>
      <c r="C1381" s="3" t="s">
        <v>27</v>
      </c>
      <c r="D1381" s="11">
        <f>'04_Actual_Headcount'!C70</f>
        <v>350</v>
      </c>
      <c r="E1381" s="9">
        <f>'04_Actual_Headcount'!D70</f>
        <v>90000</v>
      </c>
      <c r="F1381" s="9">
        <f>E1381*(1+_xlfn.XLOOKUP("IT",'01_Assumptions'!$A$23:$A$30,'01_Assumptions'!$B$23:$B$30))</f>
        <v>96300</v>
      </c>
    </row>
    <row r="1382" spans="1:6">
      <c r="A1382" s="5">
        <f>'04_Actual_Headcount'!A71</f>
        <v>45901</v>
      </c>
      <c r="B1382" s="3" t="str">
        <f>'04_Actual_Headcount'!B71</f>
        <v>D06</v>
      </c>
      <c r="C1382" s="3" t="s">
        <v>28</v>
      </c>
      <c r="D1382" s="11">
        <f>'04_Actual_Headcount'!C71</f>
        <v>700</v>
      </c>
      <c r="E1382" s="9">
        <f>'04_Actual_Headcount'!D71</f>
        <v>65000</v>
      </c>
      <c r="F1382" s="9">
        <f>E1382*(1+_xlfn.XLOOKUP("Customer Operations",'01_Assumptions'!$A$23:$A$30,'01_Assumptions'!$B$23:$B$30))</f>
        <v>68250</v>
      </c>
    </row>
    <row r="1383" spans="1:6">
      <c r="A1383" s="5">
        <f>'04_Actual_Headcount'!A72</f>
        <v>45901</v>
      </c>
      <c r="B1383" s="3" t="str">
        <f>'04_Actual_Headcount'!B72</f>
        <v>D07</v>
      </c>
      <c r="C1383" s="3" t="s">
        <v>29</v>
      </c>
      <c r="D1383" s="11">
        <f>'04_Actual_Headcount'!C72</f>
        <v>150</v>
      </c>
      <c r="E1383" s="9">
        <f>'04_Actual_Headcount'!D72</f>
        <v>70000</v>
      </c>
      <c r="F1383" s="9">
        <f>E1383*(1+_xlfn.XLOOKUP("HR",'01_Assumptions'!$A$23:$A$30,'01_Assumptions'!$B$23:$B$30))</f>
        <v>72800</v>
      </c>
    </row>
    <row r="1384" spans="1:6">
      <c r="A1384" s="5">
        <f>'04_Actual_Headcount'!A73</f>
        <v>45901</v>
      </c>
      <c r="B1384" s="3" t="str">
        <f>'04_Actual_Headcount'!B73</f>
        <v>D08</v>
      </c>
      <c r="C1384" s="3" t="s">
        <v>30</v>
      </c>
      <c r="D1384" s="11">
        <f>'04_Actual_Headcount'!C73</f>
        <v>200</v>
      </c>
      <c r="E1384" s="9">
        <f>'04_Actual_Headcount'!D73</f>
        <v>55000</v>
      </c>
      <c r="F1384" s="9">
        <f>E1384*(1+_xlfn.XLOOKUP("Facilities",'01_Assumptions'!$A$23:$A$30,'01_Assumptions'!$B$23:$B$30))</f>
        <v>56100</v>
      </c>
    </row>
    <row r="1385" spans="1:6">
      <c r="A1385" s="5">
        <f>'04_Actual_Headcount'!A74</f>
        <v>45931</v>
      </c>
      <c r="B1385" s="3" t="str">
        <f>'04_Actual_Headcount'!B74</f>
        <v>D01</v>
      </c>
      <c r="C1385" s="3" t="s">
        <v>23</v>
      </c>
      <c r="D1385" s="11">
        <f>'04_Actual_Headcount'!C74</f>
        <v>700</v>
      </c>
      <c r="E1385" s="9">
        <f>'04_Actual_Headcount'!D74</f>
        <v>70000</v>
      </c>
      <c r="F1385" s="9">
        <f>E1385*(1+_xlfn.XLOOKUP("Sales",'01_Assumptions'!$A$23:$A$30,'01_Assumptions'!$B$23:$B$30))</f>
        <v>73500</v>
      </c>
    </row>
    <row r="1386" spans="1:6">
      <c r="A1386" s="5">
        <f>'04_Actual_Headcount'!A75</f>
        <v>45931</v>
      </c>
      <c r="B1386" s="3" t="str">
        <f>'04_Actual_Headcount'!B75</f>
        <v>D02</v>
      </c>
      <c r="C1386" s="3" t="s">
        <v>24</v>
      </c>
      <c r="D1386" s="11">
        <f>'04_Actual_Headcount'!C75</f>
        <v>450</v>
      </c>
      <c r="E1386" s="9">
        <f>'04_Actual_Headcount'!D75</f>
        <v>75000</v>
      </c>
      <c r="F1386" s="9">
        <f>E1386*(1+_xlfn.XLOOKUP("Marketing",'01_Assumptions'!$A$23:$A$30,'01_Assumptions'!$B$23:$B$30))</f>
        <v>79500</v>
      </c>
    </row>
    <row r="1387" spans="1:6">
      <c r="A1387" s="5">
        <f>'04_Actual_Headcount'!A76</f>
        <v>45931</v>
      </c>
      <c r="B1387" s="3" t="str">
        <f>'04_Actual_Headcount'!B76</f>
        <v>D03</v>
      </c>
      <c r="C1387" s="3" t="s">
        <v>25</v>
      </c>
      <c r="D1387" s="11">
        <f>'04_Actual_Headcount'!C76</f>
        <v>1100</v>
      </c>
      <c r="E1387" s="9">
        <f>'04_Actual_Headcount'!D76</f>
        <v>95000</v>
      </c>
      <c r="F1387" s="9">
        <f>E1387*(1+_xlfn.XLOOKUP("R&amp;D",'01_Assumptions'!$A$23:$A$30,'01_Assumptions'!$B$23:$B$30))</f>
        <v>102600</v>
      </c>
    </row>
    <row r="1388" spans="1:6">
      <c r="A1388" s="5">
        <f>'04_Actual_Headcount'!A77</f>
        <v>45931</v>
      </c>
      <c r="B1388" s="3" t="str">
        <f>'04_Actual_Headcount'!B77</f>
        <v>D04</v>
      </c>
      <c r="C1388" s="3" t="s">
        <v>26</v>
      </c>
      <c r="D1388" s="11">
        <f>'04_Actual_Headcount'!C77</f>
        <v>400</v>
      </c>
      <c r="E1388" s="9">
        <f>'04_Actual_Headcount'!D77</f>
        <v>85000</v>
      </c>
      <c r="F1388" s="9">
        <f>E1388*(1+_xlfn.XLOOKUP("G&amp;A",'01_Assumptions'!$A$23:$A$30,'01_Assumptions'!$B$23:$B$30))</f>
        <v>87550</v>
      </c>
    </row>
    <row r="1389" spans="1:6">
      <c r="A1389" s="5">
        <f>'04_Actual_Headcount'!A78</f>
        <v>45931</v>
      </c>
      <c r="B1389" s="3" t="str">
        <f>'04_Actual_Headcount'!B78</f>
        <v>D05</v>
      </c>
      <c r="C1389" s="3" t="s">
        <v>27</v>
      </c>
      <c r="D1389" s="11">
        <f>'04_Actual_Headcount'!C78</f>
        <v>350</v>
      </c>
      <c r="E1389" s="9">
        <f>'04_Actual_Headcount'!D78</f>
        <v>90000</v>
      </c>
      <c r="F1389" s="9">
        <f>E1389*(1+_xlfn.XLOOKUP("IT",'01_Assumptions'!$A$23:$A$30,'01_Assumptions'!$B$23:$B$30))</f>
        <v>96300</v>
      </c>
    </row>
    <row r="1390" spans="1:6">
      <c r="A1390" s="5">
        <f>'04_Actual_Headcount'!A79</f>
        <v>45931</v>
      </c>
      <c r="B1390" s="3" t="str">
        <f>'04_Actual_Headcount'!B79</f>
        <v>D06</v>
      </c>
      <c r="C1390" s="3" t="s">
        <v>28</v>
      </c>
      <c r="D1390" s="11">
        <f>'04_Actual_Headcount'!C79</f>
        <v>700</v>
      </c>
      <c r="E1390" s="9">
        <f>'04_Actual_Headcount'!D79</f>
        <v>65000</v>
      </c>
      <c r="F1390" s="9">
        <f>E1390*(1+_xlfn.XLOOKUP("Customer Operations",'01_Assumptions'!$A$23:$A$30,'01_Assumptions'!$B$23:$B$30))</f>
        <v>68250</v>
      </c>
    </row>
    <row r="1391" spans="1:6">
      <c r="A1391" s="5">
        <f>'04_Actual_Headcount'!A80</f>
        <v>45931</v>
      </c>
      <c r="B1391" s="3" t="str">
        <f>'04_Actual_Headcount'!B80</f>
        <v>D07</v>
      </c>
      <c r="C1391" s="3" t="s">
        <v>29</v>
      </c>
      <c r="D1391" s="11">
        <f>'04_Actual_Headcount'!C80</f>
        <v>150</v>
      </c>
      <c r="E1391" s="9">
        <f>'04_Actual_Headcount'!D80</f>
        <v>70000</v>
      </c>
      <c r="F1391" s="9">
        <f>E1391*(1+_xlfn.XLOOKUP("HR",'01_Assumptions'!$A$23:$A$30,'01_Assumptions'!$B$23:$B$30))</f>
        <v>72800</v>
      </c>
    </row>
    <row r="1392" spans="1:6">
      <c r="A1392" s="5">
        <f>'04_Actual_Headcount'!A81</f>
        <v>45931</v>
      </c>
      <c r="B1392" s="3" t="str">
        <f>'04_Actual_Headcount'!B81</f>
        <v>D08</v>
      </c>
      <c r="C1392" s="3" t="s">
        <v>30</v>
      </c>
      <c r="D1392" s="11">
        <f>'04_Actual_Headcount'!C81</f>
        <v>200</v>
      </c>
      <c r="E1392" s="9">
        <f>'04_Actual_Headcount'!D81</f>
        <v>55000</v>
      </c>
      <c r="F1392" s="9">
        <f>E1392*(1+_xlfn.XLOOKUP("Facilities",'01_Assumptions'!$A$23:$A$30,'01_Assumptions'!$B$23:$B$30))</f>
        <v>56100</v>
      </c>
    </row>
    <row r="1393" spans="1:6">
      <c r="A1393" s="5">
        <f>'04_Actual_Headcount'!A82</f>
        <v>45962</v>
      </c>
      <c r="B1393" s="3" t="str">
        <f>'04_Actual_Headcount'!B82</f>
        <v>D01</v>
      </c>
      <c r="C1393" s="3" t="s">
        <v>23</v>
      </c>
      <c r="D1393" s="11">
        <f>'04_Actual_Headcount'!C82</f>
        <v>700</v>
      </c>
      <c r="E1393" s="9">
        <f>'04_Actual_Headcount'!D82</f>
        <v>70000</v>
      </c>
      <c r="F1393" s="9">
        <f>E1393*(1+_xlfn.XLOOKUP("Sales",'01_Assumptions'!$A$23:$A$30,'01_Assumptions'!$B$23:$B$30))</f>
        <v>73500</v>
      </c>
    </row>
    <row r="1394" spans="1:6">
      <c r="A1394" s="5">
        <f>'04_Actual_Headcount'!A83</f>
        <v>45962</v>
      </c>
      <c r="B1394" s="3" t="str">
        <f>'04_Actual_Headcount'!B83</f>
        <v>D02</v>
      </c>
      <c r="C1394" s="3" t="s">
        <v>24</v>
      </c>
      <c r="D1394" s="11">
        <f>'04_Actual_Headcount'!C83</f>
        <v>450</v>
      </c>
      <c r="E1394" s="9">
        <f>'04_Actual_Headcount'!D83</f>
        <v>75000</v>
      </c>
      <c r="F1394" s="9">
        <f>E1394*(1+_xlfn.XLOOKUP("Marketing",'01_Assumptions'!$A$23:$A$30,'01_Assumptions'!$B$23:$B$30))</f>
        <v>79500</v>
      </c>
    </row>
    <row r="1395" spans="1:6">
      <c r="A1395" s="5">
        <f>'04_Actual_Headcount'!A84</f>
        <v>45962</v>
      </c>
      <c r="B1395" s="3" t="str">
        <f>'04_Actual_Headcount'!B84</f>
        <v>D03</v>
      </c>
      <c r="C1395" s="3" t="s">
        <v>25</v>
      </c>
      <c r="D1395" s="11">
        <f>'04_Actual_Headcount'!C84</f>
        <v>1100</v>
      </c>
      <c r="E1395" s="9">
        <f>'04_Actual_Headcount'!D84</f>
        <v>95000</v>
      </c>
      <c r="F1395" s="9">
        <f>E1395*(1+_xlfn.XLOOKUP("R&amp;D",'01_Assumptions'!$A$23:$A$30,'01_Assumptions'!$B$23:$B$30))</f>
        <v>102600</v>
      </c>
    </row>
    <row r="1396" spans="1:6">
      <c r="A1396" s="5">
        <f>'04_Actual_Headcount'!A85</f>
        <v>45962</v>
      </c>
      <c r="B1396" s="3" t="str">
        <f>'04_Actual_Headcount'!B85</f>
        <v>D04</v>
      </c>
      <c r="C1396" s="3" t="s">
        <v>26</v>
      </c>
      <c r="D1396" s="11">
        <f>'04_Actual_Headcount'!C85</f>
        <v>400</v>
      </c>
      <c r="E1396" s="9">
        <f>'04_Actual_Headcount'!D85</f>
        <v>85000</v>
      </c>
      <c r="F1396" s="9">
        <f>E1396*(1+_xlfn.XLOOKUP("G&amp;A",'01_Assumptions'!$A$23:$A$30,'01_Assumptions'!$B$23:$B$30))</f>
        <v>87550</v>
      </c>
    </row>
    <row r="1397" spans="1:6">
      <c r="A1397" s="5">
        <f>'04_Actual_Headcount'!A86</f>
        <v>45962</v>
      </c>
      <c r="B1397" s="3" t="str">
        <f>'04_Actual_Headcount'!B86</f>
        <v>D05</v>
      </c>
      <c r="C1397" s="3" t="s">
        <v>27</v>
      </c>
      <c r="D1397" s="11">
        <f>'04_Actual_Headcount'!C86</f>
        <v>350</v>
      </c>
      <c r="E1397" s="9">
        <f>'04_Actual_Headcount'!D86</f>
        <v>90000</v>
      </c>
      <c r="F1397" s="9">
        <f>E1397*(1+_xlfn.XLOOKUP("IT",'01_Assumptions'!$A$23:$A$30,'01_Assumptions'!$B$23:$B$30))</f>
        <v>96300</v>
      </c>
    </row>
    <row r="1398" spans="1:6">
      <c r="A1398" s="5">
        <f>'04_Actual_Headcount'!A87</f>
        <v>45962</v>
      </c>
      <c r="B1398" s="3" t="str">
        <f>'04_Actual_Headcount'!B87</f>
        <v>D06</v>
      </c>
      <c r="C1398" s="3" t="s">
        <v>28</v>
      </c>
      <c r="D1398" s="11">
        <f>'04_Actual_Headcount'!C87</f>
        <v>700</v>
      </c>
      <c r="E1398" s="9">
        <f>'04_Actual_Headcount'!D87</f>
        <v>65000</v>
      </c>
      <c r="F1398" s="9">
        <f>E1398*(1+_xlfn.XLOOKUP("Customer Operations",'01_Assumptions'!$A$23:$A$30,'01_Assumptions'!$B$23:$B$30))</f>
        <v>68250</v>
      </c>
    </row>
    <row r="1399" spans="1:6">
      <c r="A1399" s="5">
        <f>'04_Actual_Headcount'!A88</f>
        <v>45962</v>
      </c>
      <c r="B1399" s="3" t="str">
        <f>'04_Actual_Headcount'!B88</f>
        <v>D07</v>
      </c>
      <c r="C1399" s="3" t="s">
        <v>29</v>
      </c>
      <c r="D1399" s="11">
        <f>'04_Actual_Headcount'!C88</f>
        <v>150</v>
      </c>
      <c r="E1399" s="9">
        <f>'04_Actual_Headcount'!D88</f>
        <v>70000</v>
      </c>
      <c r="F1399" s="9">
        <f>E1399*(1+_xlfn.XLOOKUP("HR",'01_Assumptions'!$A$23:$A$30,'01_Assumptions'!$B$23:$B$30))</f>
        <v>72800</v>
      </c>
    </row>
    <row r="1400" spans="1:6">
      <c r="A1400" s="5">
        <f>'04_Actual_Headcount'!A89</f>
        <v>45962</v>
      </c>
      <c r="B1400" s="3" t="str">
        <f>'04_Actual_Headcount'!B89</f>
        <v>D08</v>
      </c>
      <c r="C1400" s="3" t="s">
        <v>30</v>
      </c>
      <c r="D1400" s="11">
        <f>'04_Actual_Headcount'!C89</f>
        <v>200</v>
      </c>
      <c r="E1400" s="9">
        <f>'04_Actual_Headcount'!D89</f>
        <v>55000</v>
      </c>
      <c r="F1400" s="9">
        <f>E1400*(1+_xlfn.XLOOKUP("Facilities",'01_Assumptions'!$A$23:$A$30,'01_Assumptions'!$B$23:$B$30))</f>
        <v>56100</v>
      </c>
    </row>
    <row r="1401" spans="1:6">
      <c r="A1401" s="5">
        <f>'04_Actual_Headcount'!A90</f>
        <v>45992</v>
      </c>
      <c r="B1401" s="3" t="str">
        <f>'04_Actual_Headcount'!B90</f>
        <v>D01</v>
      </c>
      <c r="C1401" s="3" t="s">
        <v>23</v>
      </c>
      <c r="D1401" s="11">
        <f>'04_Actual_Headcount'!C90</f>
        <v>700</v>
      </c>
      <c r="E1401" s="9">
        <f>'04_Actual_Headcount'!D90</f>
        <v>70000</v>
      </c>
      <c r="F1401" s="9">
        <f>E1401*(1+_xlfn.XLOOKUP("Sales",'01_Assumptions'!$A$23:$A$30,'01_Assumptions'!$B$23:$B$30))</f>
        <v>73500</v>
      </c>
    </row>
    <row r="1402" spans="1:6">
      <c r="A1402" s="5">
        <f>'04_Actual_Headcount'!A91</f>
        <v>45992</v>
      </c>
      <c r="B1402" s="3" t="str">
        <f>'04_Actual_Headcount'!B91</f>
        <v>D02</v>
      </c>
      <c r="C1402" s="3" t="s">
        <v>24</v>
      </c>
      <c r="D1402" s="11">
        <f>'04_Actual_Headcount'!C91</f>
        <v>450</v>
      </c>
      <c r="E1402" s="9">
        <f>'04_Actual_Headcount'!D91</f>
        <v>75000</v>
      </c>
      <c r="F1402" s="9">
        <f>E1402*(1+_xlfn.XLOOKUP("Marketing",'01_Assumptions'!$A$23:$A$30,'01_Assumptions'!$B$23:$B$30))</f>
        <v>79500</v>
      </c>
    </row>
    <row r="1403" spans="1:6">
      <c r="A1403" s="5">
        <f>'04_Actual_Headcount'!A92</f>
        <v>45992</v>
      </c>
      <c r="B1403" s="3" t="str">
        <f>'04_Actual_Headcount'!B92</f>
        <v>D03</v>
      </c>
      <c r="C1403" s="3" t="s">
        <v>25</v>
      </c>
      <c r="D1403" s="11">
        <f>'04_Actual_Headcount'!C92</f>
        <v>1100</v>
      </c>
      <c r="E1403" s="9">
        <f>'04_Actual_Headcount'!D92</f>
        <v>95000</v>
      </c>
      <c r="F1403" s="9">
        <f>E1403*(1+_xlfn.XLOOKUP("R&amp;D",'01_Assumptions'!$A$23:$A$30,'01_Assumptions'!$B$23:$B$30))</f>
        <v>102600</v>
      </c>
    </row>
    <row r="1404" spans="1:6">
      <c r="A1404" s="5">
        <f>'04_Actual_Headcount'!A93</f>
        <v>45992</v>
      </c>
      <c r="B1404" s="3" t="str">
        <f>'04_Actual_Headcount'!B93</f>
        <v>D04</v>
      </c>
      <c r="C1404" s="3" t="s">
        <v>26</v>
      </c>
      <c r="D1404" s="11">
        <f>'04_Actual_Headcount'!C93</f>
        <v>400</v>
      </c>
      <c r="E1404" s="9">
        <f>'04_Actual_Headcount'!D93</f>
        <v>85000</v>
      </c>
      <c r="F1404" s="9">
        <f>E1404*(1+_xlfn.XLOOKUP("G&amp;A",'01_Assumptions'!$A$23:$A$30,'01_Assumptions'!$B$23:$B$30))</f>
        <v>87550</v>
      </c>
    </row>
    <row r="1405" spans="1:6">
      <c r="A1405" s="5">
        <f>'04_Actual_Headcount'!A94</f>
        <v>45992</v>
      </c>
      <c r="B1405" s="3" t="str">
        <f>'04_Actual_Headcount'!B94</f>
        <v>D05</v>
      </c>
      <c r="C1405" s="3" t="s">
        <v>27</v>
      </c>
      <c r="D1405" s="11">
        <f>'04_Actual_Headcount'!C94</f>
        <v>350</v>
      </c>
      <c r="E1405" s="9">
        <f>'04_Actual_Headcount'!D94</f>
        <v>90000</v>
      </c>
      <c r="F1405" s="9">
        <f>E1405*(1+_xlfn.XLOOKUP("IT",'01_Assumptions'!$A$23:$A$30,'01_Assumptions'!$B$23:$B$30))</f>
        <v>96300</v>
      </c>
    </row>
    <row r="1406" spans="1:6">
      <c r="A1406" s="5">
        <f>'04_Actual_Headcount'!A95</f>
        <v>45992</v>
      </c>
      <c r="B1406" s="3" t="str">
        <f>'04_Actual_Headcount'!B95</f>
        <v>D06</v>
      </c>
      <c r="C1406" s="3" t="s">
        <v>28</v>
      </c>
      <c r="D1406" s="11">
        <f>'04_Actual_Headcount'!C95</f>
        <v>700</v>
      </c>
      <c r="E1406" s="9">
        <f>'04_Actual_Headcount'!D95</f>
        <v>65000</v>
      </c>
      <c r="F1406" s="9">
        <f>E1406*(1+_xlfn.XLOOKUP("Customer Operations",'01_Assumptions'!$A$23:$A$30,'01_Assumptions'!$B$23:$B$30))</f>
        <v>68250</v>
      </c>
    </row>
    <row r="1407" spans="1:6">
      <c r="A1407" s="5">
        <f>'04_Actual_Headcount'!A96</f>
        <v>45992</v>
      </c>
      <c r="B1407" s="3" t="str">
        <f>'04_Actual_Headcount'!B96</f>
        <v>D07</v>
      </c>
      <c r="C1407" s="3" t="s">
        <v>29</v>
      </c>
      <c r="D1407" s="11">
        <f>'04_Actual_Headcount'!C96</f>
        <v>150</v>
      </c>
      <c r="E1407" s="9">
        <f>'04_Actual_Headcount'!D96</f>
        <v>70000</v>
      </c>
      <c r="F1407" s="9">
        <f>E1407*(1+_xlfn.XLOOKUP("HR",'01_Assumptions'!$A$23:$A$30,'01_Assumptions'!$B$23:$B$30))</f>
        <v>72800</v>
      </c>
    </row>
    <row r="1408" spans="1:6">
      <c r="A1408" s="5">
        <f>'04_Actual_Headcount'!A97</f>
        <v>45992</v>
      </c>
      <c r="B1408" s="3" t="str">
        <f>'04_Actual_Headcount'!B97</f>
        <v>D08</v>
      </c>
      <c r="C1408" s="3" t="s">
        <v>30</v>
      </c>
      <c r="D1408" s="11">
        <f>'04_Actual_Headcount'!C97</f>
        <v>200</v>
      </c>
      <c r="E1408" s="9">
        <f>'04_Actual_Headcount'!D97</f>
        <v>55000</v>
      </c>
      <c r="F1408" s="9">
        <f>E1408*(1+_xlfn.XLOOKUP("Facilities",'01_Assumptions'!$A$23:$A$30,'01_Assumptions'!$B$23:$B$30))</f>
        <v>56100</v>
      </c>
    </row>
    <row r="1409" spans="1:6">
      <c r="A1409" s="5">
        <f>'04_Actual_Headcount'!A98</f>
        <v>46023</v>
      </c>
      <c r="B1409" s="3" t="str">
        <f>'04_Actual_Headcount'!B98</f>
        <v>D01</v>
      </c>
      <c r="C1409" s="3" t="s">
        <v>23</v>
      </c>
      <c r="D1409" s="11">
        <f>'04_Actual_Headcount'!C98</f>
        <v>700</v>
      </c>
      <c r="E1409" s="9">
        <f>'04_Actual_Headcount'!D98</f>
        <v>70000</v>
      </c>
      <c r="F1409" s="9">
        <f>E1409*(1+_xlfn.XLOOKUP("Sales",'01_Assumptions'!$A$23:$A$30,'01_Assumptions'!$B$23:$B$30))</f>
        <v>73500</v>
      </c>
    </row>
    <row r="1410" spans="1:6">
      <c r="A1410" s="5">
        <f>'04_Actual_Headcount'!A99</f>
        <v>46023</v>
      </c>
      <c r="B1410" s="3" t="str">
        <f>'04_Actual_Headcount'!B99</f>
        <v>D02</v>
      </c>
      <c r="C1410" s="3" t="s">
        <v>24</v>
      </c>
      <c r="D1410" s="11">
        <f>'04_Actual_Headcount'!C99</f>
        <v>450</v>
      </c>
      <c r="E1410" s="9">
        <f>'04_Actual_Headcount'!D99</f>
        <v>75000</v>
      </c>
      <c r="F1410" s="9">
        <f>E1410*(1+_xlfn.XLOOKUP("Marketing",'01_Assumptions'!$A$23:$A$30,'01_Assumptions'!$B$23:$B$30))</f>
        <v>79500</v>
      </c>
    </row>
    <row r="1411" spans="1:6">
      <c r="A1411" s="5">
        <f>'04_Actual_Headcount'!A100</f>
        <v>46023</v>
      </c>
      <c r="B1411" s="3" t="str">
        <f>'04_Actual_Headcount'!B100</f>
        <v>D03</v>
      </c>
      <c r="C1411" s="3" t="s">
        <v>25</v>
      </c>
      <c r="D1411" s="11">
        <f>'04_Actual_Headcount'!C100</f>
        <v>1100</v>
      </c>
      <c r="E1411" s="9">
        <f>'04_Actual_Headcount'!D100</f>
        <v>95000</v>
      </c>
      <c r="F1411" s="9">
        <f>E1411*(1+_xlfn.XLOOKUP("R&amp;D",'01_Assumptions'!$A$23:$A$30,'01_Assumptions'!$B$23:$B$30))</f>
        <v>102600</v>
      </c>
    </row>
    <row r="1412" spans="1:6">
      <c r="A1412" s="5">
        <f>'04_Actual_Headcount'!A101</f>
        <v>46023</v>
      </c>
      <c r="B1412" s="3" t="str">
        <f>'04_Actual_Headcount'!B101</f>
        <v>D04</v>
      </c>
      <c r="C1412" s="3" t="s">
        <v>26</v>
      </c>
      <c r="D1412" s="11">
        <f>'04_Actual_Headcount'!C101</f>
        <v>400</v>
      </c>
      <c r="E1412" s="9">
        <f>'04_Actual_Headcount'!D101</f>
        <v>85000</v>
      </c>
      <c r="F1412" s="9">
        <f>E1412*(1+_xlfn.XLOOKUP("G&amp;A",'01_Assumptions'!$A$23:$A$30,'01_Assumptions'!$B$23:$B$30))</f>
        <v>87550</v>
      </c>
    </row>
    <row r="1413" spans="1:6">
      <c r="A1413" s="5">
        <f>'04_Actual_Headcount'!A102</f>
        <v>46023</v>
      </c>
      <c r="B1413" s="3" t="str">
        <f>'04_Actual_Headcount'!B102</f>
        <v>D05</v>
      </c>
      <c r="C1413" s="3" t="s">
        <v>27</v>
      </c>
      <c r="D1413" s="11">
        <f>'04_Actual_Headcount'!C102</f>
        <v>350</v>
      </c>
      <c r="E1413" s="9">
        <f>'04_Actual_Headcount'!D102</f>
        <v>90000</v>
      </c>
      <c r="F1413" s="9">
        <f>E1413*(1+_xlfn.XLOOKUP("IT",'01_Assumptions'!$A$23:$A$30,'01_Assumptions'!$B$23:$B$30))</f>
        <v>96300</v>
      </c>
    </row>
    <row r="1414" spans="1:6">
      <c r="A1414" s="5">
        <f>'04_Actual_Headcount'!A103</f>
        <v>46023</v>
      </c>
      <c r="B1414" s="3" t="str">
        <f>'04_Actual_Headcount'!B103</f>
        <v>D06</v>
      </c>
      <c r="C1414" s="3" t="s">
        <v>28</v>
      </c>
      <c r="D1414" s="11">
        <f>'04_Actual_Headcount'!C103</f>
        <v>700</v>
      </c>
      <c r="E1414" s="9">
        <f>'04_Actual_Headcount'!D103</f>
        <v>65000</v>
      </c>
      <c r="F1414" s="9">
        <f>E1414*(1+_xlfn.XLOOKUP("Customer Operations",'01_Assumptions'!$A$23:$A$30,'01_Assumptions'!$B$23:$B$30))</f>
        <v>68250</v>
      </c>
    </row>
    <row r="1415" spans="1:6">
      <c r="A1415" s="5">
        <f>'04_Actual_Headcount'!A104</f>
        <v>46023</v>
      </c>
      <c r="B1415" s="3" t="str">
        <f>'04_Actual_Headcount'!B104</f>
        <v>D07</v>
      </c>
      <c r="C1415" s="3" t="s">
        <v>29</v>
      </c>
      <c r="D1415" s="11">
        <f>'04_Actual_Headcount'!C104</f>
        <v>150</v>
      </c>
      <c r="E1415" s="9">
        <f>'04_Actual_Headcount'!D104</f>
        <v>70000</v>
      </c>
      <c r="F1415" s="9">
        <f>E1415*(1+_xlfn.XLOOKUP("HR",'01_Assumptions'!$A$23:$A$30,'01_Assumptions'!$B$23:$B$30))</f>
        <v>72800</v>
      </c>
    </row>
    <row r="1416" spans="1:6">
      <c r="A1416" s="5">
        <f>'04_Actual_Headcount'!A105</f>
        <v>46023</v>
      </c>
      <c r="B1416" s="3" t="str">
        <f>'04_Actual_Headcount'!B105</f>
        <v>D08</v>
      </c>
      <c r="C1416" s="3" t="s">
        <v>30</v>
      </c>
      <c r="D1416" s="11">
        <f>'04_Actual_Headcount'!C105</f>
        <v>200</v>
      </c>
      <c r="E1416" s="9">
        <f>'04_Actual_Headcount'!D105</f>
        <v>55000</v>
      </c>
      <c r="F1416" s="9">
        <f>E1416*(1+_xlfn.XLOOKUP("Facilities",'01_Assumptions'!$A$23:$A$30,'01_Assumptions'!$B$23:$B$30))</f>
        <v>56100</v>
      </c>
    </row>
    <row r="1417" spans="1:6">
      <c r="A1417" s="5">
        <f>'04_Actual_Headcount'!A106</f>
        <v>46054</v>
      </c>
      <c r="B1417" s="3" t="str">
        <f>'04_Actual_Headcount'!B106</f>
        <v>D01</v>
      </c>
      <c r="C1417" s="3" t="s">
        <v>23</v>
      </c>
      <c r="D1417" s="11">
        <f>'04_Actual_Headcount'!C106</f>
        <v>700</v>
      </c>
      <c r="E1417" s="9">
        <f>'04_Actual_Headcount'!D106</f>
        <v>70000</v>
      </c>
      <c r="F1417" s="9">
        <f>E1417*(1+_xlfn.XLOOKUP("Sales",'01_Assumptions'!$A$23:$A$30,'01_Assumptions'!$B$23:$B$30))</f>
        <v>73500</v>
      </c>
    </row>
    <row r="1418" spans="1:6">
      <c r="A1418" s="5">
        <f>'04_Actual_Headcount'!A107</f>
        <v>46054</v>
      </c>
      <c r="B1418" s="3" t="str">
        <f>'04_Actual_Headcount'!B107</f>
        <v>D02</v>
      </c>
      <c r="C1418" s="3" t="s">
        <v>24</v>
      </c>
      <c r="D1418" s="11">
        <f>'04_Actual_Headcount'!C107</f>
        <v>450</v>
      </c>
      <c r="E1418" s="9">
        <f>'04_Actual_Headcount'!D107</f>
        <v>75000</v>
      </c>
      <c r="F1418" s="9">
        <f>E1418*(1+_xlfn.XLOOKUP("Marketing",'01_Assumptions'!$A$23:$A$30,'01_Assumptions'!$B$23:$B$30))</f>
        <v>79500</v>
      </c>
    </row>
    <row r="1419" spans="1:6">
      <c r="A1419" s="5">
        <f>'04_Actual_Headcount'!A108</f>
        <v>46054</v>
      </c>
      <c r="B1419" s="3" t="str">
        <f>'04_Actual_Headcount'!B108</f>
        <v>D03</v>
      </c>
      <c r="C1419" s="3" t="s">
        <v>25</v>
      </c>
      <c r="D1419" s="11">
        <f>'04_Actual_Headcount'!C108</f>
        <v>1100</v>
      </c>
      <c r="E1419" s="9">
        <f>'04_Actual_Headcount'!D108</f>
        <v>95000</v>
      </c>
      <c r="F1419" s="9">
        <f>E1419*(1+_xlfn.XLOOKUP("R&amp;D",'01_Assumptions'!$A$23:$A$30,'01_Assumptions'!$B$23:$B$30))</f>
        <v>102600</v>
      </c>
    </row>
    <row r="1420" spans="1:6">
      <c r="A1420" s="5">
        <f>'04_Actual_Headcount'!A109</f>
        <v>46054</v>
      </c>
      <c r="B1420" s="3" t="str">
        <f>'04_Actual_Headcount'!B109</f>
        <v>D04</v>
      </c>
      <c r="C1420" s="3" t="s">
        <v>26</v>
      </c>
      <c r="D1420" s="11">
        <f>'04_Actual_Headcount'!C109</f>
        <v>400</v>
      </c>
      <c r="E1420" s="9">
        <f>'04_Actual_Headcount'!D109</f>
        <v>85000</v>
      </c>
      <c r="F1420" s="9">
        <f>E1420*(1+_xlfn.XLOOKUP("G&amp;A",'01_Assumptions'!$A$23:$A$30,'01_Assumptions'!$B$23:$B$30))</f>
        <v>87550</v>
      </c>
    </row>
    <row r="1421" spans="1:6">
      <c r="A1421" s="5">
        <f>'04_Actual_Headcount'!A110</f>
        <v>46054</v>
      </c>
      <c r="B1421" s="3" t="str">
        <f>'04_Actual_Headcount'!B110</f>
        <v>D05</v>
      </c>
      <c r="C1421" s="3" t="s">
        <v>27</v>
      </c>
      <c r="D1421" s="11">
        <f>'04_Actual_Headcount'!C110</f>
        <v>350</v>
      </c>
      <c r="E1421" s="9">
        <f>'04_Actual_Headcount'!D110</f>
        <v>90000</v>
      </c>
      <c r="F1421" s="9">
        <f>E1421*(1+_xlfn.XLOOKUP("IT",'01_Assumptions'!$A$23:$A$30,'01_Assumptions'!$B$23:$B$30))</f>
        <v>96300</v>
      </c>
    </row>
    <row r="1422" spans="1:6">
      <c r="A1422" s="5">
        <f>'04_Actual_Headcount'!A111</f>
        <v>46054</v>
      </c>
      <c r="B1422" s="3" t="str">
        <f>'04_Actual_Headcount'!B111</f>
        <v>D06</v>
      </c>
      <c r="C1422" s="3" t="s">
        <v>28</v>
      </c>
      <c r="D1422" s="11">
        <f>'04_Actual_Headcount'!C111</f>
        <v>700</v>
      </c>
      <c r="E1422" s="9">
        <f>'04_Actual_Headcount'!D111</f>
        <v>65000</v>
      </c>
      <c r="F1422" s="9">
        <f>E1422*(1+_xlfn.XLOOKUP("Customer Operations",'01_Assumptions'!$A$23:$A$30,'01_Assumptions'!$B$23:$B$30))</f>
        <v>68250</v>
      </c>
    </row>
    <row r="1423" spans="1:6">
      <c r="A1423" s="5">
        <f>'04_Actual_Headcount'!A112</f>
        <v>46054</v>
      </c>
      <c r="B1423" s="3" t="str">
        <f>'04_Actual_Headcount'!B112</f>
        <v>D07</v>
      </c>
      <c r="C1423" s="3" t="s">
        <v>29</v>
      </c>
      <c r="D1423" s="11">
        <f>'04_Actual_Headcount'!C112</f>
        <v>150</v>
      </c>
      <c r="E1423" s="9">
        <f>'04_Actual_Headcount'!D112</f>
        <v>70000</v>
      </c>
      <c r="F1423" s="9">
        <f>E1423*(1+_xlfn.XLOOKUP("HR",'01_Assumptions'!$A$23:$A$30,'01_Assumptions'!$B$23:$B$30))</f>
        <v>72800</v>
      </c>
    </row>
    <row r="1424" spans="1:6">
      <c r="A1424" s="5">
        <f>'04_Actual_Headcount'!A113</f>
        <v>46054</v>
      </c>
      <c r="B1424" s="3" t="str">
        <f>'04_Actual_Headcount'!B113</f>
        <v>D08</v>
      </c>
      <c r="C1424" s="3" t="s">
        <v>30</v>
      </c>
      <c r="D1424" s="11">
        <f>'04_Actual_Headcount'!C113</f>
        <v>200</v>
      </c>
      <c r="E1424" s="9">
        <f>'04_Actual_Headcount'!D113</f>
        <v>55000</v>
      </c>
      <c r="F1424" s="9">
        <f>E1424*(1+_xlfn.XLOOKUP("Facilities",'01_Assumptions'!$A$23:$A$30,'01_Assumptions'!$B$23:$B$30))</f>
        <v>56100</v>
      </c>
    </row>
    <row r="1425" spans="1:6">
      <c r="A1425" s="5">
        <f>'04_Actual_Headcount'!A114</f>
        <v>46082</v>
      </c>
      <c r="B1425" s="3" t="str">
        <f>'04_Actual_Headcount'!B114</f>
        <v>D01</v>
      </c>
      <c r="C1425" s="3" t="s">
        <v>23</v>
      </c>
      <c r="D1425" s="11">
        <f>'04_Actual_Headcount'!C114</f>
        <v>700</v>
      </c>
      <c r="E1425" s="9">
        <f>'04_Actual_Headcount'!D114</f>
        <v>70000</v>
      </c>
      <c r="F1425" s="9">
        <f>E1425*(1+_xlfn.XLOOKUP("Sales",'01_Assumptions'!$A$23:$A$30,'01_Assumptions'!$B$23:$B$30))</f>
        <v>73500</v>
      </c>
    </row>
    <row r="1426" spans="1:6">
      <c r="A1426" s="5">
        <f>'04_Actual_Headcount'!A115</f>
        <v>46082</v>
      </c>
      <c r="B1426" s="3" t="str">
        <f>'04_Actual_Headcount'!B115</f>
        <v>D02</v>
      </c>
      <c r="C1426" s="3" t="s">
        <v>24</v>
      </c>
      <c r="D1426" s="11">
        <f>'04_Actual_Headcount'!C115</f>
        <v>450</v>
      </c>
      <c r="E1426" s="9">
        <f>'04_Actual_Headcount'!D115</f>
        <v>75000</v>
      </c>
      <c r="F1426" s="9">
        <f>E1426*(1+_xlfn.XLOOKUP("Marketing",'01_Assumptions'!$A$23:$A$30,'01_Assumptions'!$B$23:$B$30))</f>
        <v>79500</v>
      </c>
    </row>
    <row r="1427" spans="1:6">
      <c r="A1427" s="5">
        <f>'04_Actual_Headcount'!A116</f>
        <v>46082</v>
      </c>
      <c r="B1427" s="3" t="str">
        <f>'04_Actual_Headcount'!B116</f>
        <v>D03</v>
      </c>
      <c r="C1427" s="3" t="s">
        <v>25</v>
      </c>
      <c r="D1427" s="11">
        <f>'04_Actual_Headcount'!C116</f>
        <v>1100</v>
      </c>
      <c r="E1427" s="9">
        <f>'04_Actual_Headcount'!D116</f>
        <v>95000</v>
      </c>
      <c r="F1427" s="9">
        <f>E1427*(1+_xlfn.XLOOKUP("R&amp;D",'01_Assumptions'!$A$23:$A$30,'01_Assumptions'!$B$23:$B$30))</f>
        <v>102600</v>
      </c>
    </row>
    <row r="1428" spans="1:6">
      <c r="A1428" s="5">
        <f>'04_Actual_Headcount'!A117</f>
        <v>46082</v>
      </c>
      <c r="B1428" s="3" t="str">
        <f>'04_Actual_Headcount'!B117</f>
        <v>D04</v>
      </c>
      <c r="C1428" s="3" t="s">
        <v>26</v>
      </c>
      <c r="D1428" s="11">
        <f>'04_Actual_Headcount'!C117</f>
        <v>400</v>
      </c>
      <c r="E1428" s="9">
        <f>'04_Actual_Headcount'!D117</f>
        <v>85000</v>
      </c>
      <c r="F1428" s="9">
        <f>E1428*(1+_xlfn.XLOOKUP("G&amp;A",'01_Assumptions'!$A$23:$A$30,'01_Assumptions'!$B$23:$B$30))</f>
        <v>87550</v>
      </c>
    </row>
    <row r="1429" spans="1:6">
      <c r="A1429" s="5">
        <f>'04_Actual_Headcount'!A118</f>
        <v>46082</v>
      </c>
      <c r="B1429" s="3" t="str">
        <f>'04_Actual_Headcount'!B118</f>
        <v>D05</v>
      </c>
      <c r="C1429" s="3" t="s">
        <v>27</v>
      </c>
      <c r="D1429" s="11">
        <f>'04_Actual_Headcount'!C118</f>
        <v>350</v>
      </c>
      <c r="E1429" s="9">
        <f>'04_Actual_Headcount'!D118</f>
        <v>90000</v>
      </c>
      <c r="F1429" s="9">
        <f>E1429*(1+_xlfn.XLOOKUP("IT",'01_Assumptions'!$A$23:$A$30,'01_Assumptions'!$B$23:$B$30))</f>
        <v>96300</v>
      </c>
    </row>
    <row r="1430" spans="1:6">
      <c r="A1430" s="5">
        <f>'04_Actual_Headcount'!A119</f>
        <v>46082</v>
      </c>
      <c r="B1430" s="3" t="str">
        <f>'04_Actual_Headcount'!B119</f>
        <v>D06</v>
      </c>
      <c r="C1430" s="3" t="s">
        <v>28</v>
      </c>
      <c r="D1430" s="11">
        <f>'04_Actual_Headcount'!C119</f>
        <v>700</v>
      </c>
      <c r="E1430" s="9">
        <f>'04_Actual_Headcount'!D119</f>
        <v>65000</v>
      </c>
      <c r="F1430" s="9">
        <f>E1430*(1+_xlfn.XLOOKUP("Customer Operations",'01_Assumptions'!$A$23:$A$30,'01_Assumptions'!$B$23:$B$30))</f>
        <v>68250</v>
      </c>
    </row>
    <row r="1431" spans="1:6">
      <c r="A1431" s="5">
        <f>'04_Actual_Headcount'!A120</f>
        <v>46082</v>
      </c>
      <c r="B1431" s="3" t="str">
        <f>'04_Actual_Headcount'!B120</f>
        <v>D07</v>
      </c>
      <c r="C1431" s="3" t="s">
        <v>29</v>
      </c>
      <c r="D1431" s="11">
        <f>'04_Actual_Headcount'!C120</f>
        <v>150</v>
      </c>
      <c r="E1431" s="9">
        <f>'04_Actual_Headcount'!D120</f>
        <v>70000</v>
      </c>
      <c r="F1431" s="9">
        <f>E1431*(1+_xlfn.XLOOKUP("HR",'01_Assumptions'!$A$23:$A$30,'01_Assumptions'!$B$23:$B$30))</f>
        <v>72800</v>
      </c>
    </row>
    <row r="1432" spans="1:6">
      <c r="A1432" s="5">
        <f>'04_Actual_Headcount'!A121</f>
        <v>46082</v>
      </c>
      <c r="B1432" s="3" t="str">
        <f>'04_Actual_Headcount'!B121</f>
        <v>D08</v>
      </c>
      <c r="C1432" s="3" t="s">
        <v>30</v>
      </c>
      <c r="D1432" s="11">
        <f>'04_Actual_Headcount'!C121</f>
        <v>200</v>
      </c>
      <c r="E1432" s="9">
        <f>'04_Actual_Headcount'!D121</f>
        <v>55000</v>
      </c>
      <c r="F1432" s="9">
        <f>E1432*(1+_xlfn.XLOOKUP("Facilities",'01_Assumptions'!$A$23:$A$30,'01_Assumptions'!$B$23:$B$30))</f>
        <v>56100</v>
      </c>
    </row>
    <row r="1433" spans="1:6">
      <c r="A1433" s="5">
        <f>'04_Actual_Headcount'!A122</f>
        <v>46113</v>
      </c>
      <c r="B1433" s="3" t="str">
        <f>'04_Actual_Headcount'!B122</f>
        <v>D01</v>
      </c>
      <c r="C1433" s="3" t="s">
        <v>23</v>
      </c>
      <c r="D1433" s="11">
        <f>'04_Actual_Headcount'!C122</f>
        <v>700</v>
      </c>
      <c r="E1433" s="9">
        <f>'04_Actual_Headcount'!D122</f>
        <v>70000</v>
      </c>
      <c r="F1433" s="9">
        <f>E1433*(1+_xlfn.XLOOKUP("Sales",'01_Assumptions'!$A$23:$A$30,'01_Assumptions'!$B$23:$B$30))</f>
        <v>73500</v>
      </c>
    </row>
    <row r="1434" spans="1:6">
      <c r="A1434" s="5">
        <f>'04_Actual_Headcount'!A123</f>
        <v>46113</v>
      </c>
      <c r="B1434" s="3" t="str">
        <f>'04_Actual_Headcount'!B123</f>
        <v>D02</v>
      </c>
      <c r="C1434" s="3" t="s">
        <v>24</v>
      </c>
      <c r="D1434" s="11">
        <f>'04_Actual_Headcount'!C123</f>
        <v>450</v>
      </c>
      <c r="E1434" s="9">
        <f>'04_Actual_Headcount'!D123</f>
        <v>75000</v>
      </c>
      <c r="F1434" s="9">
        <f>E1434*(1+_xlfn.XLOOKUP("Marketing",'01_Assumptions'!$A$23:$A$30,'01_Assumptions'!$B$23:$B$30))</f>
        <v>79500</v>
      </c>
    </row>
    <row r="1435" spans="1:6">
      <c r="A1435" s="5">
        <f>'04_Actual_Headcount'!A124</f>
        <v>46113</v>
      </c>
      <c r="B1435" s="3" t="str">
        <f>'04_Actual_Headcount'!B124</f>
        <v>D03</v>
      </c>
      <c r="C1435" s="3" t="s">
        <v>25</v>
      </c>
      <c r="D1435" s="11">
        <f>'04_Actual_Headcount'!C124</f>
        <v>1100</v>
      </c>
      <c r="E1435" s="9">
        <f>'04_Actual_Headcount'!D124</f>
        <v>95000</v>
      </c>
      <c r="F1435" s="9">
        <f>E1435*(1+_xlfn.XLOOKUP("R&amp;D",'01_Assumptions'!$A$23:$A$30,'01_Assumptions'!$B$23:$B$30))</f>
        <v>102600</v>
      </c>
    </row>
    <row r="1436" spans="1:6">
      <c r="A1436" s="5">
        <f>'04_Actual_Headcount'!A125</f>
        <v>46113</v>
      </c>
      <c r="B1436" s="3" t="str">
        <f>'04_Actual_Headcount'!B125</f>
        <v>D04</v>
      </c>
      <c r="C1436" s="3" t="s">
        <v>26</v>
      </c>
      <c r="D1436" s="11">
        <f>'04_Actual_Headcount'!C125</f>
        <v>400</v>
      </c>
      <c r="E1436" s="9">
        <f>'04_Actual_Headcount'!D125</f>
        <v>85000</v>
      </c>
      <c r="F1436" s="9">
        <f>E1436*(1+_xlfn.XLOOKUP("G&amp;A",'01_Assumptions'!$A$23:$A$30,'01_Assumptions'!$B$23:$B$30))</f>
        <v>87550</v>
      </c>
    </row>
    <row r="1437" spans="1:6">
      <c r="A1437" s="5">
        <f>'04_Actual_Headcount'!A126</f>
        <v>46113</v>
      </c>
      <c r="B1437" s="3" t="str">
        <f>'04_Actual_Headcount'!B126</f>
        <v>D05</v>
      </c>
      <c r="C1437" s="3" t="s">
        <v>27</v>
      </c>
      <c r="D1437" s="11">
        <f>'04_Actual_Headcount'!C126</f>
        <v>350</v>
      </c>
      <c r="E1437" s="9">
        <f>'04_Actual_Headcount'!D126</f>
        <v>90000</v>
      </c>
      <c r="F1437" s="9">
        <f>E1437*(1+_xlfn.XLOOKUP("IT",'01_Assumptions'!$A$23:$A$30,'01_Assumptions'!$B$23:$B$30))</f>
        <v>96300</v>
      </c>
    </row>
    <row r="1438" spans="1:6">
      <c r="A1438" s="5">
        <f>'04_Actual_Headcount'!A127</f>
        <v>46113</v>
      </c>
      <c r="B1438" s="3" t="str">
        <f>'04_Actual_Headcount'!B127</f>
        <v>D06</v>
      </c>
      <c r="C1438" s="3" t="s">
        <v>28</v>
      </c>
      <c r="D1438" s="11">
        <f>'04_Actual_Headcount'!C127</f>
        <v>700</v>
      </c>
      <c r="E1438" s="9">
        <f>'04_Actual_Headcount'!D127</f>
        <v>65000</v>
      </c>
      <c r="F1438" s="9">
        <f>E1438*(1+_xlfn.XLOOKUP("Customer Operations",'01_Assumptions'!$A$23:$A$30,'01_Assumptions'!$B$23:$B$30))</f>
        <v>68250</v>
      </c>
    </row>
    <row r="1439" spans="1:6">
      <c r="A1439" s="5">
        <f>'04_Actual_Headcount'!A128</f>
        <v>46113</v>
      </c>
      <c r="B1439" s="3" t="str">
        <f>'04_Actual_Headcount'!B128</f>
        <v>D07</v>
      </c>
      <c r="C1439" s="3" t="s">
        <v>29</v>
      </c>
      <c r="D1439" s="11">
        <f>'04_Actual_Headcount'!C128</f>
        <v>150</v>
      </c>
      <c r="E1439" s="9">
        <f>'04_Actual_Headcount'!D128</f>
        <v>70000</v>
      </c>
      <c r="F1439" s="9">
        <f>E1439*(1+_xlfn.XLOOKUP("HR",'01_Assumptions'!$A$23:$A$30,'01_Assumptions'!$B$23:$B$30))</f>
        <v>72800</v>
      </c>
    </row>
    <row r="1440" spans="1:6">
      <c r="A1440" s="5">
        <f>'04_Actual_Headcount'!A129</f>
        <v>46113</v>
      </c>
      <c r="B1440" s="3" t="str">
        <f>'04_Actual_Headcount'!B129</f>
        <v>D08</v>
      </c>
      <c r="C1440" s="3" t="s">
        <v>30</v>
      </c>
      <c r="D1440" s="11">
        <f>'04_Actual_Headcount'!C129</f>
        <v>200</v>
      </c>
      <c r="E1440" s="9">
        <f>'04_Actual_Headcount'!D129</f>
        <v>55000</v>
      </c>
      <c r="F1440" s="9">
        <f>E1440*(1+_xlfn.XLOOKUP("Facilities",'01_Assumptions'!$A$23:$A$30,'01_Assumptions'!$B$23:$B$30))</f>
        <v>56100</v>
      </c>
    </row>
    <row r="1441" spans="1:6">
      <c r="A1441" s="5">
        <f>'04_Actual_Headcount'!A130</f>
        <v>46143</v>
      </c>
      <c r="B1441" s="3" t="str">
        <f>'04_Actual_Headcount'!B130</f>
        <v>D01</v>
      </c>
      <c r="C1441" s="3" t="s">
        <v>23</v>
      </c>
      <c r="D1441" s="11">
        <f>'04_Actual_Headcount'!C130</f>
        <v>700</v>
      </c>
      <c r="E1441" s="9">
        <f>'04_Actual_Headcount'!D130</f>
        <v>70000</v>
      </c>
      <c r="F1441" s="9">
        <f>E1441*(1+_xlfn.XLOOKUP("Sales",'01_Assumptions'!$A$23:$A$30,'01_Assumptions'!$B$23:$B$30))</f>
        <v>73500</v>
      </c>
    </row>
    <row r="1442" spans="1:6">
      <c r="A1442" s="5">
        <f>'04_Actual_Headcount'!A131</f>
        <v>46143</v>
      </c>
      <c r="B1442" s="3" t="str">
        <f>'04_Actual_Headcount'!B131</f>
        <v>D02</v>
      </c>
      <c r="C1442" s="3" t="s">
        <v>24</v>
      </c>
      <c r="D1442" s="11">
        <f>'04_Actual_Headcount'!C131</f>
        <v>450</v>
      </c>
      <c r="E1442" s="9">
        <f>'04_Actual_Headcount'!D131</f>
        <v>75000</v>
      </c>
      <c r="F1442" s="9">
        <f>E1442*(1+_xlfn.XLOOKUP("Marketing",'01_Assumptions'!$A$23:$A$30,'01_Assumptions'!$B$23:$B$30))</f>
        <v>79500</v>
      </c>
    </row>
    <row r="1443" spans="1:6">
      <c r="A1443" s="5">
        <f>'04_Actual_Headcount'!A132</f>
        <v>46143</v>
      </c>
      <c r="B1443" s="3" t="str">
        <f>'04_Actual_Headcount'!B132</f>
        <v>D03</v>
      </c>
      <c r="C1443" s="3" t="s">
        <v>25</v>
      </c>
      <c r="D1443" s="11">
        <f>'04_Actual_Headcount'!C132</f>
        <v>1100</v>
      </c>
      <c r="E1443" s="9">
        <f>'04_Actual_Headcount'!D132</f>
        <v>95000</v>
      </c>
      <c r="F1443" s="9">
        <f>E1443*(1+_xlfn.XLOOKUP("R&amp;D",'01_Assumptions'!$A$23:$A$30,'01_Assumptions'!$B$23:$B$30))</f>
        <v>102600</v>
      </c>
    </row>
    <row r="1444" spans="1:6">
      <c r="A1444" s="5">
        <f>'04_Actual_Headcount'!A133</f>
        <v>46143</v>
      </c>
      <c r="B1444" s="3" t="str">
        <f>'04_Actual_Headcount'!B133</f>
        <v>D04</v>
      </c>
      <c r="C1444" s="3" t="s">
        <v>26</v>
      </c>
      <c r="D1444" s="11">
        <f>'04_Actual_Headcount'!C133</f>
        <v>400</v>
      </c>
      <c r="E1444" s="9">
        <f>'04_Actual_Headcount'!D133</f>
        <v>85000</v>
      </c>
      <c r="F1444" s="9">
        <f>E1444*(1+_xlfn.XLOOKUP("G&amp;A",'01_Assumptions'!$A$23:$A$30,'01_Assumptions'!$B$23:$B$30))</f>
        <v>87550</v>
      </c>
    </row>
    <row r="1445" spans="1:6">
      <c r="A1445" s="5">
        <f>'04_Actual_Headcount'!A134</f>
        <v>46143</v>
      </c>
      <c r="B1445" s="3" t="str">
        <f>'04_Actual_Headcount'!B134</f>
        <v>D05</v>
      </c>
      <c r="C1445" s="3" t="s">
        <v>27</v>
      </c>
      <c r="D1445" s="11">
        <f>'04_Actual_Headcount'!C134</f>
        <v>350</v>
      </c>
      <c r="E1445" s="9">
        <f>'04_Actual_Headcount'!D134</f>
        <v>90000</v>
      </c>
      <c r="F1445" s="9">
        <f>E1445*(1+_xlfn.XLOOKUP("IT",'01_Assumptions'!$A$23:$A$30,'01_Assumptions'!$B$23:$B$30))</f>
        <v>96300</v>
      </c>
    </row>
    <row r="1446" spans="1:6">
      <c r="A1446" s="5">
        <f>'04_Actual_Headcount'!A135</f>
        <v>46143</v>
      </c>
      <c r="B1446" s="3" t="str">
        <f>'04_Actual_Headcount'!B135</f>
        <v>D06</v>
      </c>
      <c r="C1446" s="3" t="s">
        <v>28</v>
      </c>
      <c r="D1446" s="11">
        <f>'04_Actual_Headcount'!C135</f>
        <v>700</v>
      </c>
      <c r="E1446" s="9">
        <f>'04_Actual_Headcount'!D135</f>
        <v>65000</v>
      </c>
      <c r="F1446" s="9">
        <f>E1446*(1+_xlfn.XLOOKUP("Customer Operations",'01_Assumptions'!$A$23:$A$30,'01_Assumptions'!$B$23:$B$30))</f>
        <v>68250</v>
      </c>
    </row>
    <row r="1447" spans="1:6">
      <c r="A1447" s="5">
        <f>'04_Actual_Headcount'!A136</f>
        <v>46143</v>
      </c>
      <c r="B1447" s="3" t="str">
        <f>'04_Actual_Headcount'!B136</f>
        <v>D07</v>
      </c>
      <c r="C1447" s="3" t="s">
        <v>29</v>
      </c>
      <c r="D1447" s="11">
        <f>'04_Actual_Headcount'!C136</f>
        <v>150</v>
      </c>
      <c r="E1447" s="9">
        <f>'04_Actual_Headcount'!D136</f>
        <v>70000</v>
      </c>
      <c r="F1447" s="9">
        <f>E1447*(1+_xlfn.XLOOKUP("HR",'01_Assumptions'!$A$23:$A$30,'01_Assumptions'!$B$23:$B$30))</f>
        <v>72800</v>
      </c>
    </row>
    <row r="1448" spans="1:6">
      <c r="A1448" s="5">
        <f>'04_Actual_Headcount'!A137</f>
        <v>46143</v>
      </c>
      <c r="B1448" s="3" t="str">
        <f>'04_Actual_Headcount'!B137</f>
        <v>D08</v>
      </c>
      <c r="C1448" s="3" t="s">
        <v>30</v>
      </c>
      <c r="D1448" s="11">
        <f>'04_Actual_Headcount'!C137</f>
        <v>200</v>
      </c>
      <c r="E1448" s="9">
        <f>'04_Actual_Headcount'!D137</f>
        <v>55000</v>
      </c>
      <c r="F1448" s="9">
        <f>E1448*(1+_xlfn.XLOOKUP("Facilities",'01_Assumptions'!$A$23:$A$30,'01_Assumptions'!$B$23:$B$30))</f>
        <v>56100</v>
      </c>
    </row>
    <row r="1449" spans="1:6">
      <c r="A1449" s="5">
        <f>'04_Actual_Headcount'!A138</f>
        <v>46174</v>
      </c>
      <c r="B1449" s="3" t="str">
        <f>'04_Actual_Headcount'!B138</f>
        <v>D01</v>
      </c>
      <c r="C1449" s="3" t="s">
        <v>23</v>
      </c>
      <c r="D1449" s="11">
        <f>'04_Actual_Headcount'!C138</f>
        <v>700</v>
      </c>
      <c r="E1449" s="9">
        <f>'04_Actual_Headcount'!D138</f>
        <v>70000</v>
      </c>
      <c r="F1449" s="9">
        <f>E1449*(1+_xlfn.XLOOKUP("Sales",'01_Assumptions'!$A$23:$A$30,'01_Assumptions'!$B$23:$B$30))</f>
        <v>73500</v>
      </c>
    </row>
    <row r="1450" spans="1:6">
      <c r="A1450" s="5">
        <f>'04_Actual_Headcount'!A139</f>
        <v>46174</v>
      </c>
      <c r="B1450" s="3" t="str">
        <f>'04_Actual_Headcount'!B139</f>
        <v>D02</v>
      </c>
      <c r="C1450" s="3" t="s">
        <v>24</v>
      </c>
      <c r="D1450" s="11">
        <f>'04_Actual_Headcount'!C139</f>
        <v>450</v>
      </c>
      <c r="E1450" s="9">
        <f>'04_Actual_Headcount'!D139</f>
        <v>75000</v>
      </c>
      <c r="F1450" s="9">
        <f>E1450*(1+_xlfn.XLOOKUP("Marketing",'01_Assumptions'!$A$23:$A$30,'01_Assumptions'!$B$23:$B$30))</f>
        <v>79500</v>
      </c>
    </row>
    <row r="1451" spans="1:6">
      <c r="A1451" s="5">
        <f>'04_Actual_Headcount'!A140</f>
        <v>46174</v>
      </c>
      <c r="B1451" s="3" t="str">
        <f>'04_Actual_Headcount'!B140</f>
        <v>D03</v>
      </c>
      <c r="C1451" s="3" t="s">
        <v>25</v>
      </c>
      <c r="D1451" s="11">
        <f>'04_Actual_Headcount'!C140</f>
        <v>1100</v>
      </c>
      <c r="E1451" s="9">
        <f>'04_Actual_Headcount'!D140</f>
        <v>95000</v>
      </c>
      <c r="F1451" s="9">
        <f>E1451*(1+_xlfn.XLOOKUP("R&amp;D",'01_Assumptions'!$A$23:$A$30,'01_Assumptions'!$B$23:$B$30))</f>
        <v>102600</v>
      </c>
    </row>
    <row r="1452" spans="1:6">
      <c r="A1452" s="5">
        <f>'04_Actual_Headcount'!A141</f>
        <v>46174</v>
      </c>
      <c r="B1452" s="3" t="str">
        <f>'04_Actual_Headcount'!B141</f>
        <v>D04</v>
      </c>
      <c r="C1452" s="3" t="s">
        <v>26</v>
      </c>
      <c r="D1452" s="11">
        <f>'04_Actual_Headcount'!C141</f>
        <v>400</v>
      </c>
      <c r="E1452" s="9">
        <f>'04_Actual_Headcount'!D141</f>
        <v>85000</v>
      </c>
      <c r="F1452" s="9">
        <f>E1452*(1+_xlfn.XLOOKUP("G&amp;A",'01_Assumptions'!$A$23:$A$30,'01_Assumptions'!$B$23:$B$30))</f>
        <v>87550</v>
      </c>
    </row>
    <row r="1453" spans="1:6">
      <c r="A1453" s="5">
        <f>'04_Actual_Headcount'!A142</f>
        <v>46174</v>
      </c>
      <c r="B1453" s="3" t="str">
        <f>'04_Actual_Headcount'!B142</f>
        <v>D05</v>
      </c>
      <c r="C1453" s="3" t="s">
        <v>27</v>
      </c>
      <c r="D1453" s="11">
        <f>'04_Actual_Headcount'!C142</f>
        <v>350</v>
      </c>
      <c r="E1453" s="9">
        <f>'04_Actual_Headcount'!D142</f>
        <v>90000</v>
      </c>
      <c r="F1453" s="9">
        <f>E1453*(1+_xlfn.XLOOKUP("IT",'01_Assumptions'!$A$23:$A$30,'01_Assumptions'!$B$23:$B$30))</f>
        <v>96300</v>
      </c>
    </row>
    <row r="1454" spans="1:6">
      <c r="A1454" s="5">
        <f>'04_Actual_Headcount'!A143</f>
        <v>46174</v>
      </c>
      <c r="B1454" s="3" t="str">
        <f>'04_Actual_Headcount'!B143</f>
        <v>D06</v>
      </c>
      <c r="C1454" s="3" t="s">
        <v>28</v>
      </c>
      <c r="D1454" s="11">
        <f>'04_Actual_Headcount'!C143</f>
        <v>700</v>
      </c>
      <c r="E1454" s="9">
        <f>'04_Actual_Headcount'!D143</f>
        <v>65000</v>
      </c>
      <c r="F1454" s="9">
        <f>E1454*(1+_xlfn.XLOOKUP("Customer Operations",'01_Assumptions'!$A$23:$A$30,'01_Assumptions'!$B$23:$B$30))</f>
        <v>68250</v>
      </c>
    </row>
    <row r="1455" spans="1:6">
      <c r="A1455" s="5">
        <f>'04_Actual_Headcount'!A144</f>
        <v>46174</v>
      </c>
      <c r="B1455" s="3" t="str">
        <f>'04_Actual_Headcount'!B144</f>
        <v>D07</v>
      </c>
      <c r="C1455" s="3" t="s">
        <v>29</v>
      </c>
      <c r="D1455" s="11">
        <f>'04_Actual_Headcount'!C144</f>
        <v>150</v>
      </c>
      <c r="E1455" s="9">
        <f>'04_Actual_Headcount'!D144</f>
        <v>70000</v>
      </c>
      <c r="F1455" s="9">
        <f>E1455*(1+_xlfn.XLOOKUP("HR",'01_Assumptions'!$A$23:$A$30,'01_Assumptions'!$B$23:$B$30))</f>
        <v>72800</v>
      </c>
    </row>
    <row r="1456" spans="1:6">
      <c r="A1456" s="5">
        <f>'04_Actual_Headcount'!A145</f>
        <v>46174</v>
      </c>
      <c r="B1456" s="3" t="str">
        <f>'04_Actual_Headcount'!B145</f>
        <v>D08</v>
      </c>
      <c r="C1456" s="3" t="s">
        <v>30</v>
      </c>
      <c r="D1456" s="11">
        <f>'04_Actual_Headcount'!C145</f>
        <v>200</v>
      </c>
      <c r="E1456" s="9">
        <f>'04_Actual_Headcount'!D145</f>
        <v>55000</v>
      </c>
      <c r="F1456" s="9">
        <f>E1456*(1+_xlfn.XLOOKUP("Facilities",'01_Assumptions'!$A$23:$A$30,'01_Assumptions'!$B$23:$B$30))</f>
        <v>56100</v>
      </c>
    </row>
    <row r="1457" spans="1:2">
      <c r="A1457" s="5"/>
    </row>
    <row r="1458" spans="1:2">
      <c r="A1458" s="17" t="s">
        <v>105</v>
      </c>
      <c r="B1458" s="9">
        <f>SUM(F1313:F1456)</f>
        <v>11458800</v>
      </c>
    </row>
    <row r="1459" spans="1:2">
      <c r="A1459" s="5"/>
    </row>
    <row r="1460" spans="1:2">
      <c r="A1460" s="5"/>
    </row>
    <row r="1461" spans="1:2">
      <c r="A1461" s="5"/>
    </row>
    <row r="1462" spans="1:2">
      <c r="A1462" s="5"/>
    </row>
    <row r="1463" spans="1:2">
      <c r="A1463" s="5"/>
    </row>
    <row r="1464" spans="1:2">
      <c r="A1464" s="5"/>
    </row>
    <row r="1465" spans="1:2">
      <c r="A1465" s="5"/>
    </row>
    <row r="1466" spans="1:2">
      <c r="A1466" s="5"/>
    </row>
    <row r="1467" spans="1:2">
      <c r="A1467" s="5"/>
    </row>
    <row r="1468" spans="1:2">
      <c r="A1468" s="5"/>
    </row>
    <row r="1469" spans="1:2">
      <c r="A1469" s="5"/>
    </row>
    <row r="1470" spans="1:2">
      <c r="A1470" s="5"/>
    </row>
    <row r="1471" spans="1:2">
      <c r="A1471" s="5"/>
    </row>
    <row r="1472" spans="1:2">
      <c r="A1472" s="5"/>
    </row>
    <row r="1473" spans="1:1">
      <c r="A1473" s="5"/>
    </row>
    <row r="1474" spans="1:1">
      <c r="A1474" s="5"/>
    </row>
    <row r="1475" spans="1:1">
      <c r="A1475" s="5"/>
    </row>
    <row r="1476" spans="1:1">
      <c r="A1476" s="5"/>
    </row>
    <row r="1477" spans="1:1">
      <c r="A1477" s="5"/>
    </row>
    <row r="1478" spans="1:1">
      <c r="A1478" s="5"/>
    </row>
    <row r="1479" spans="1:1">
      <c r="A1479" s="5"/>
    </row>
    <row r="1480" spans="1:1">
      <c r="A1480" s="5"/>
    </row>
    <row r="1481" spans="1:1">
      <c r="A1481" s="5"/>
    </row>
    <row r="1482" spans="1:1">
      <c r="A1482" s="5"/>
    </row>
    <row r="1483" spans="1:1">
      <c r="A1483" s="5"/>
    </row>
    <row r="1484" spans="1:1">
      <c r="A1484" s="5"/>
    </row>
    <row r="1485" spans="1:1">
      <c r="A1485" s="5"/>
    </row>
    <row r="1486" spans="1:1">
      <c r="A1486" s="5"/>
    </row>
    <row r="1487" spans="1:1">
      <c r="A1487" s="5"/>
    </row>
    <row r="1488" spans="1:1">
      <c r="A1488" s="5"/>
    </row>
    <row r="1489" spans="1:1">
      <c r="A1489" s="5"/>
    </row>
    <row r="1490" spans="1:1">
      <c r="A1490" s="5"/>
    </row>
    <row r="1491" spans="1:1">
      <c r="A1491" s="5"/>
    </row>
    <row r="1492" spans="1:1">
      <c r="A1492" s="5"/>
    </row>
    <row r="1493" spans="1:1">
      <c r="A1493" s="5"/>
    </row>
    <row r="1494" spans="1:1">
      <c r="A1494" s="5"/>
    </row>
    <row r="1495" spans="1:1">
      <c r="A1495" s="5"/>
    </row>
    <row r="1496" spans="1:1">
      <c r="A1496" s="5"/>
    </row>
    <row r="1497" spans="1:1">
      <c r="A1497" s="5"/>
    </row>
    <row r="1498" spans="1:1">
      <c r="A1498" s="5"/>
    </row>
    <row r="1499" spans="1:1">
      <c r="A1499" s="5"/>
    </row>
    <row r="1500" spans="1:1">
      <c r="A1500" s="5"/>
    </row>
    <row r="1501" spans="1:1">
      <c r="A1501" s="5"/>
    </row>
    <row r="1502" spans="1:1">
      <c r="A1502" s="5"/>
    </row>
    <row r="1503" spans="1:1">
      <c r="A1503" s="5"/>
    </row>
    <row r="1504" spans="1:1">
      <c r="A1504" s="5"/>
    </row>
    <row r="1505" spans="1:1">
      <c r="A1505" s="5"/>
    </row>
    <row r="1506" spans="1:1">
      <c r="A1506" s="5"/>
    </row>
    <row r="1507" spans="1:1">
      <c r="A1507" s="5"/>
    </row>
    <row r="1508" spans="1:1">
      <c r="A1508" s="5"/>
    </row>
    <row r="1509" spans="1:1">
      <c r="A1509" s="5"/>
    </row>
    <row r="1510" spans="1:1">
      <c r="A1510" s="5"/>
    </row>
    <row r="1511" spans="1:1">
      <c r="A1511" s="5"/>
    </row>
    <row r="1512" spans="1:1">
      <c r="A1512" s="5"/>
    </row>
    <row r="1513" spans="1:1">
      <c r="A1513" s="5"/>
    </row>
    <row r="1514" spans="1:1">
      <c r="A1514" s="5"/>
    </row>
    <row r="1515" spans="1:1">
      <c r="A1515" s="5"/>
    </row>
    <row r="1516" spans="1:1">
      <c r="A1516" s="5"/>
    </row>
    <row r="1517" spans="1:1">
      <c r="A1517" s="5"/>
    </row>
    <row r="1518" spans="1:1">
      <c r="A1518" s="5"/>
    </row>
    <row r="1519" spans="1:1">
      <c r="A1519" s="5"/>
    </row>
    <row r="1520" spans="1:1">
      <c r="A1520" s="5"/>
    </row>
    <row r="1521" spans="1:1">
      <c r="A1521" s="5"/>
    </row>
    <row r="1522" spans="1:1">
      <c r="A1522" s="5"/>
    </row>
    <row r="1523" spans="1:1">
      <c r="A1523" s="5"/>
    </row>
    <row r="1524" spans="1:1">
      <c r="A1524" s="5"/>
    </row>
    <row r="1525" spans="1:1">
      <c r="A1525" s="5"/>
    </row>
    <row r="1526" spans="1:1">
      <c r="A1526" s="5"/>
    </row>
    <row r="1527" spans="1:1">
      <c r="A1527" s="5"/>
    </row>
    <row r="1528" spans="1:1">
      <c r="A1528" s="5"/>
    </row>
    <row r="1529" spans="1:1">
      <c r="A1529" s="5"/>
    </row>
    <row r="1530" spans="1:1">
      <c r="A1530" s="5"/>
    </row>
    <row r="1531" spans="1:1">
      <c r="A1531" s="5"/>
    </row>
    <row r="1532" spans="1:1">
      <c r="A1532" s="5"/>
    </row>
    <row r="1533" spans="1:1">
      <c r="A1533" s="5"/>
    </row>
    <row r="1534" spans="1:1">
      <c r="A1534" s="5"/>
    </row>
    <row r="1535" spans="1:1">
      <c r="A1535" s="5"/>
    </row>
    <row r="1536" spans="1:1">
      <c r="A1536" s="5"/>
    </row>
    <row r="1537" spans="1:1">
      <c r="A1537" s="5"/>
    </row>
    <row r="1538" spans="1:1">
      <c r="A1538" s="5"/>
    </row>
    <row r="1539" spans="1:1">
      <c r="A1539" s="5"/>
    </row>
    <row r="1540" spans="1:1">
      <c r="A1540" s="5"/>
    </row>
    <row r="1541" spans="1:1">
      <c r="A1541" s="5"/>
    </row>
    <row r="1542" spans="1:1">
      <c r="A1542" s="5"/>
    </row>
    <row r="1543" spans="1:1">
      <c r="A1543" s="5"/>
    </row>
    <row r="1544" spans="1:1">
      <c r="A1544" s="5"/>
    </row>
    <row r="1545" spans="1:1">
      <c r="A1545" s="5"/>
    </row>
    <row r="1546" spans="1:1">
      <c r="A1546" s="5"/>
    </row>
    <row r="1547" spans="1:1">
      <c r="A1547" s="5"/>
    </row>
    <row r="1548" spans="1:1">
      <c r="A1548" s="5"/>
    </row>
    <row r="1549" spans="1:1">
      <c r="A1549" s="5"/>
    </row>
    <row r="1550" spans="1:1">
      <c r="A1550" s="5"/>
    </row>
    <row r="1551" spans="1:1">
      <c r="A1551" s="5"/>
    </row>
    <row r="1552" spans="1:1">
      <c r="A1552" s="5"/>
    </row>
    <row r="1553" spans="1:1">
      <c r="A1553" s="5"/>
    </row>
    <row r="1554" spans="1:1">
      <c r="A1554" s="5"/>
    </row>
    <row r="1555" spans="1:1">
      <c r="A1555" s="5"/>
    </row>
    <row r="1556" spans="1:1">
      <c r="A1556" s="5"/>
    </row>
    <row r="1557" spans="1:1">
      <c r="A1557" s="5"/>
    </row>
    <row r="1558" spans="1:1">
      <c r="A1558" s="5"/>
    </row>
    <row r="1559" spans="1:1">
      <c r="A1559" s="5"/>
    </row>
    <row r="1560" spans="1:1">
      <c r="A1560" s="5"/>
    </row>
    <row r="1561" spans="1:1">
      <c r="A1561" s="5"/>
    </row>
    <row r="1562" spans="1:1">
      <c r="A1562" s="5"/>
    </row>
    <row r="1563" spans="1:1">
      <c r="A1563" s="5"/>
    </row>
    <row r="1564" spans="1:1">
      <c r="A1564" s="5"/>
    </row>
    <row r="1565" spans="1:1">
      <c r="A1565" s="5"/>
    </row>
    <row r="1566" spans="1:1">
      <c r="A1566" s="5"/>
    </row>
    <row r="1567" spans="1:1">
      <c r="A1567" s="5"/>
    </row>
    <row r="1568" spans="1:1">
      <c r="A1568" s="5"/>
    </row>
    <row r="1569" spans="1:1">
      <c r="A1569" s="5"/>
    </row>
    <row r="1570" spans="1:1">
      <c r="A1570" s="5"/>
    </row>
    <row r="1571" spans="1:1">
      <c r="A1571" s="5"/>
    </row>
    <row r="1572" spans="1:1">
      <c r="A1572" s="5"/>
    </row>
    <row r="1573" spans="1:1">
      <c r="A1573" s="5"/>
    </row>
    <row r="1574" spans="1:1">
      <c r="A1574" s="5"/>
    </row>
    <row r="1575" spans="1:1">
      <c r="A1575" s="5"/>
    </row>
    <row r="1576" spans="1:1">
      <c r="A1576" s="5"/>
    </row>
    <row r="1577" spans="1:1">
      <c r="A1577" s="5"/>
    </row>
    <row r="1578" spans="1:1">
      <c r="A1578" s="5"/>
    </row>
    <row r="1579" spans="1:1">
      <c r="A1579" s="5"/>
    </row>
    <row r="1580" spans="1:1">
      <c r="A1580" s="5"/>
    </row>
    <row r="1581" spans="1:1">
      <c r="A1581" s="5"/>
    </row>
    <row r="1582" spans="1:1">
      <c r="A1582" s="5"/>
    </row>
    <row r="1583" spans="1:1">
      <c r="A1583" s="5"/>
    </row>
    <row r="1584" spans="1:1">
      <c r="A1584" s="5"/>
    </row>
    <row r="1585" spans="1:1">
      <c r="A1585" s="5"/>
    </row>
    <row r="1586" spans="1:1">
      <c r="A1586" s="5"/>
    </row>
    <row r="1587" spans="1:1">
      <c r="A1587" s="5"/>
    </row>
    <row r="1588" spans="1:1">
      <c r="A1588" s="5"/>
    </row>
    <row r="1589" spans="1:1">
      <c r="A1589" s="5"/>
    </row>
    <row r="1590" spans="1:1">
      <c r="A1590" s="5"/>
    </row>
    <row r="1591" spans="1:1">
      <c r="A1591" s="5"/>
    </row>
    <row r="1592" spans="1:1">
      <c r="A1592" s="5"/>
    </row>
    <row r="1593" spans="1:1">
      <c r="A1593" s="5"/>
    </row>
    <row r="1594" spans="1:1">
      <c r="A1594" s="5"/>
    </row>
    <row r="1595" spans="1:1">
      <c r="A1595" s="5"/>
    </row>
    <row r="1596" spans="1:1">
      <c r="A1596" s="5"/>
    </row>
    <row r="1597" spans="1:1">
      <c r="A1597" s="5"/>
    </row>
    <row r="1598" spans="1:1">
      <c r="A1598" s="5"/>
    </row>
    <row r="1599" spans="1:1">
      <c r="A1599" s="5"/>
    </row>
    <row r="1600" spans="1:1">
      <c r="A1600" s="5"/>
    </row>
    <row r="1601" spans="1:1">
      <c r="A1601" s="5"/>
    </row>
    <row r="1602" spans="1:1">
      <c r="A1602" s="5"/>
    </row>
    <row r="1603" spans="1:1">
      <c r="A1603" s="5"/>
    </row>
    <row r="1604" spans="1:1">
      <c r="A1604" s="5"/>
    </row>
    <row r="1605" spans="1:1">
      <c r="A1605" s="5"/>
    </row>
    <row r="1606" spans="1:1">
      <c r="A1606" s="5"/>
    </row>
    <row r="1607" spans="1:1">
      <c r="A1607" s="5"/>
    </row>
    <row r="1608" spans="1:1">
      <c r="A1608" s="5"/>
    </row>
    <row r="1609" spans="1:1">
      <c r="A1609" s="5"/>
    </row>
    <row r="1610" spans="1:1">
      <c r="A1610" s="5"/>
    </row>
    <row r="1611" spans="1:1">
      <c r="A1611" s="5"/>
    </row>
    <row r="1612" spans="1:1">
      <c r="A1612" s="5"/>
    </row>
    <row r="1613" spans="1:1">
      <c r="A1613" s="5"/>
    </row>
    <row r="1614" spans="1:1">
      <c r="A1614" s="5"/>
    </row>
    <row r="1615" spans="1:1">
      <c r="A1615" s="5"/>
    </row>
    <row r="1616" spans="1:1">
      <c r="A1616" s="5"/>
    </row>
    <row r="1617" spans="1:1">
      <c r="A1617" s="5"/>
    </row>
    <row r="1618" spans="1:1">
      <c r="A1618" s="5"/>
    </row>
    <row r="1619" spans="1:1">
      <c r="A1619" s="5"/>
    </row>
    <row r="1620" spans="1:1">
      <c r="A1620" s="5"/>
    </row>
    <row r="1621" spans="1:1">
      <c r="A1621" s="5"/>
    </row>
    <row r="1622" spans="1:1">
      <c r="A1622" s="5"/>
    </row>
    <row r="1623" spans="1:1">
      <c r="A1623" s="5"/>
    </row>
    <row r="1624" spans="1:1">
      <c r="A1624" s="5"/>
    </row>
    <row r="1625" spans="1:1">
      <c r="A1625" s="5"/>
    </row>
    <row r="1626" spans="1:1">
      <c r="A1626" s="5"/>
    </row>
    <row r="1627" spans="1:1">
      <c r="A1627" s="5"/>
    </row>
    <row r="1628" spans="1:1">
      <c r="A1628" s="5"/>
    </row>
    <row r="1629" spans="1:1">
      <c r="A1629" s="5"/>
    </row>
    <row r="1630" spans="1:1">
      <c r="A1630" s="5"/>
    </row>
    <row r="1631" spans="1:1">
      <c r="A1631" s="5"/>
    </row>
    <row r="1632" spans="1:1">
      <c r="A1632" s="5"/>
    </row>
    <row r="1633" spans="1:1">
      <c r="A1633" s="5"/>
    </row>
    <row r="1634" spans="1:1">
      <c r="A1634" s="5"/>
    </row>
    <row r="1635" spans="1:1">
      <c r="A1635" s="5"/>
    </row>
    <row r="1636" spans="1:1">
      <c r="A1636" s="5"/>
    </row>
    <row r="1637" spans="1:1">
      <c r="A1637" s="5"/>
    </row>
    <row r="1638" spans="1:1">
      <c r="A1638" s="5"/>
    </row>
    <row r="1639" spans="1:1">
      <c r="A1639" s="5"/>
    </row>
    <row r="1640" spans="1:1">
      <c r="A1640" s="5"/>
    </row>
    <row r="1641" spans="1:1">
      <c r="A1641" s="5"/>
    </row>
    <row r="1642" spans="1:1">
      <c r="A1642" s="5"/>
    </row>
    <row r="1643" spans="1:1">
      <c r="A1643" s="5"/>
    </row>
    <row r="1644" spans="1:1">
      <c r="A1644" s="5"/>
    </row>
    <row r="1645" spans="1:1">
      <c r="A1645" s="5"/>
    </row>
    <row r="1646" spans="1:1">
      <c r="A1646" s="5"/>
    </row>
    <row r="1647" spans="1:1">
      <c r="A1647" s="5"/>
    </row>
    <row r="1648" spans="1:1">
      <c r="A1648" s="5"/>
    </row>
    <row r="1649" spans="1:1">
      <c r="A1649" s="5"/>
    </row>
    <row r="1650" spans="1:1">
      <c r="A1650" s="5"/>
    </row>
    <row r="1651" spans="1:1">
      <c r="A1651" s="5"/>
    </row>
    <row r="1652" spans="1:1">
      <c r="A1652" s="5"/>
    </row>
    <row r="1653" spans="1:1">
      <c r="A1653" s="5"/>
    </row>
    <row r="1654" spans="1:1">
      <c r="A1654" s="5"/>
    </row>
    <row r="1655" spans="1:1">
      <c r="A1655" s="5"/>
    </row>
    <row r="1656" spans="1:1">
      <c r="A1656" s="5"/>
    </row>
    <row r="1657" spans="1:1">
      <c r="A1657" s="5"/>
    </row>
    <row r="1658" spans="1:1">
      <c r="A1658" s="5"/>
    </row>
    <row r="1659" spans="1:1">
      <c r="A1659" s="5"/>
    </row>
    <row r="1660" spans="1:1">
      <c r="A1660" s="5"/>
    </row>
    <row r="1661" spans="1:1">
      <c r="A1661" s="5"/>
    </row>
    <row r="1662" spans="1:1">
      <c r="A1662" s="5"/>
    </row>
    <row r="1663" spans="1:1">
      <c r="A1663" s="5"/>
    </row>
    <row r="1664" spans="1:1">
      <c r="A1664" s="5"/>
    </row>
    <row r="1665" spans="1:1">
      <c r="A1665" s="5"/>
    </row>
    <row r="1666" spans="1:1">
      <c r="A1666" s="5"/>
    </row>
    <row r="1667" spans="1:1">
      <c r="A1667" s="5"/>
    </row>
    <row r="1668" spans="1:1">
      <c r="A1668" s="5"/>
    </row>
    <row r="1669" spans="1:1">
      <c r="A1669" s="5"/>
    </row>
    <row r="1670" spans="1:1">
      <c r="A1670" s="5"/>
    </row>
    <row r="1671" spans="1:1">
      <c r="A1671" s="5"/>
    </row>
    <row r="1672" spans="1:1">
      <c r="A1672" s="5"/>
    </row>
    <row r="1673" spans="1:1">
      <c r="A1673" s="5"/>
    </row>
    <row r="1674" spans="1:1">
      <c r="A1674" s="5"/>
    </row>
    <row r="1675" spans="1:1">
      <c r="A1675" s="5"/>
    </row>
    <row r="1676" spans="1:1">
      <c r="A1676" s="5"/>
    </row>
    <row r="1677" spans="1:1">
      <c r="A1677" s="5"/>
    </row>
    <row r="1678" spans="1:1">
      <c r="A1678" s="5"/>
    </row>
    <row r="1679" spans="1:1">
      <c r="A1679" s="5"/>
    </row>
    <row r="1680" spans="1:1">
      <c r="A1680" s="5"/>
    </row>
    <row r="1681" spans="1:1">
      <c r="A1681" s="5"/>
    </row>
    <row r="1682" spans="1:1">
      <c r="A1682" s="5"/>
    </row>
    <row r="1683" spans="1:1">
      <c r="A1683" s="5"/>
    </row>
    <row r="1684" spans="1:1">
      <c r="A1684" s="5"/>
    </row>
    <row r="1685" spans="1:1">
      <c r="A1685" s="5"/>
    </row>
    <row r="1686" spans="1:1">
      <c r="A1686" s="5"/>
    </row>
    <row r="1687" spans="1:1">
      <c r="A1687" s="5"/>
    </row>
    <row r="1688" spans="1:1">
      <c r="A1688" s="5"/>
    </row>
    <row r="1689" spans="1:1">
      <c r="A1689" s="5"/>
    </row>
    <row r="1690" spans="1:1">
      <c r="A1690" s="5"/>
    </row>
    <row r="1691" spans="1:1">
      <c r="A1691" s="5"/>
    </row>
    <row r="1692" spans="1:1">
      <c r="A1692" s="5"/>
    </row>
    <row r="1693" spans="1:1">
      <c r="A1693" s="5"/>
    </row>
    <row r="1694" spans="1:1">
      <c r="A1694" s="5"/>
    </row>
    <row r="1695" spans="1:1">
      <c r="A1695" s="5"/>
    </row>
    <row r="1696" spans="1:1">
      <c r="A1696" s="5"/>
    </row>
    <row r="1697" spans="1:1">
      <c r="A1697" s="5"/>
    </row>
    <row r="1698" spans="1:1">
      <c r="A1698" s="5"/>
    </row>
    <row r="1699" spans="1:1">
      <c r="A1699" s="5"/>
    </row>
    <row r="1700" spans="1:1">
      <c r="A1700" s="5"/>
    </row>
    <row r="1701" spans="1:1">
      <c r="A1701" s="5"/>
    </row>
    <row r="1702" spans="1:1">
      <c r="A1702" s="5"/>
    </row>
    <row r="1703" spans="1:1">
      <c r="A1703" s="5"/>
    </row>
    <row r="1704" spans="1:1">
      <c r="A1704" s="5"/>
    </row>
    <row r="1705" spans="1:1">
      <c r="A1705" s="5"/>
    </row>
    <row r="1706" spans="1:1">
      <c r="A1706" s="5"/>
    </row>
    <row r="1707" spans="1:1">
      <c r="A1707" s="5"/>
    </row>
    <row r="1708" spans="1:1">
      <c r="A1708" s="5"/>
    </row>
    <row r="1709" spans="1:1">
      <c r="A1709" s="5"/>
    </row>
    <row r="1710" spans="1:1">
      <c r="A1710" s="5"/>
    </row>
    <row r="1711" spans="1:1">
      <c r="A1711" s="5"/>
    </row>
    <row r="1712" spans="1:1">
      <c r="A1712" s="5"/>
    </row>
    <row r="1713" spans="1:1">
      <c r="A1713" s="5"/>
    </row>
    <row r="1714" spans="1:1">
      <c r="A1714" s="5"/>
    </row>
    <row r="1715" spans="1:1">
      <c r="A1715" s="5"/>
    </row>
    <row r="1716" spans="1:1">
      <c r="A1716" s="5"/>
    </row>
    <row r="1717" spans="1:1">
      <c r="A1717" s="5"/>
    </row>
    <row r="1718" spans="1:1">
      <c r="A1718" s="5"/>
    </row>
    <row r="1719" spans="1:1">
      <c r="A1719" s="5"/>
    </row>
    <row r="1720" spans="1:1">
      <c r="A1720" s="5"/>
    </row>
    <row r="1721" spans="1:1">
      <c r="A1721" s="5"/>
    </row>
    <row r="1722" spans="1:1">
      <c r="A1722" s="5"/>
    </row>
    <row r="1723" spans="1:1">
      <c r="A1723" s="5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7" width="21.42578125" customWidth="1"/>
  </cols>
  <sheetData>
    <row r="1" spans="1:6">
      <c r="A1" s="2" t="s">
        <v>106</v>
      </c>
    </row>
    <row r="3" spans="1:6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</row>
    <row r="4" spans="1:6">
      <c r="A4" t="s">
        <v>46</v>
      </c>
      <c r="B4" s="9">
        <f>'05_Budget'!B723</f>
        <v>37477708123.32003</v>
      </c>
      <c r="C4" s="9">
        <f>'02_Actual_Revenue'!B723</f>
        <v>34530245600</v>
      </c>
      <c r="D4" s="9">
        <f>(B4-C4)*(C4/B4)</f>
        <v>2715657117.8830214</v>
      </c>
      <c r="E4" s="9">
        <f>C4+D4</f>
        <v>37245902717.883018</v>
      </c>
      <c r="F4" s="9">
        <f>E4-B4</f>
        <v>-231805405.43701172</v>
      </c>
    </row>
    <row r="5" spans="1:6">
      <c r="A5" t="s">
        <v>47</v>
      </c>
      <c r="B5" s="9">
        <f>'05_Budget'!B724</f>
        <v>20421870937.588207</v>
      </c>
      <c r="C5" s="9">
        <f>'02_Actual_Revenue'!B724</f>
        <v>18854968848.499996</v>
      </c>
      <c r="D5" s="9">
        <f>(B5-C5)*(C5/B5)</f>
        <v>1446678914.4196246</v>
      </c>
      <c r="E5" s="9">
        <f>C5+D5</f>
        <v>20301647762.919621</v>
      </c>
      <c r="F5" s="9">
        <f>E5-B5</f>
        <v>-120223174.66858673</v>
      </c>
    </row>
    <row r="6" spans="1:6">
      <c r="A6" t="s">
        <v>113</v>
      </c>
      <c r="B6" s="9">
        <f>'05_Budget'!B725</f>
        <v>17055837185.731823</v>
      </c>
      <c r="C6" s="9">
        <f>'02_Actual_Revenue'!B725</f>
        <v>15675276751.500004</v>
      </c>
      <c r="D6" s="9">
        <f>D4-D5</f>
        <v>1268978203.4633968</v>
      </c>
      <c r="E6" s="9">
        <f>E4-E5</f>
        <v>16944254954.963398</v>
      </c>
      <c r="F6" s="9">
        <f>F4-F5</f>
        <v>-111582230.76842499</v>
      </c>
    </row>
    <row r="7" spans="1:6">
      <c r="A7" t="s">
        <v>114</v>
      </c>
      <c r="B7" s="13">
        <f>'05_Budget'!B726</f>
        <v>0.45509285492084411</v>
      </c>
      <c r="C7" s="13">
        <f>'02_Actual_Revenue'!B726</f>
        <v>0.45395787024173395</v>
      </c>
      <c r="D7" s="13">
        <f>D6/D4</f>
        <v>0.46728218931137494</v>
      </c>
      <c r="E7" s="13">
        <f>E6/E4</f>
        <v>0.45492936721944149</v>
      </c>
      <c r="F7" s="13">
        <f>E7-B7</f>
        <v>-1.6348770140262037E-4</v>
      </c>
    </row>
    <row r="8" spans="1:6">
      <c r="A8" t="s">
        <v>115</v>
      </c>
      <c r="B8" s="9">
        <f>'05_Budget'!B1308</f>
        <v>7624080000</v>
      </c>
      <c r="C8" s="9">
        <f>'03_Actual_Opex'!B579</f>
        <v>7128000000</v>
      </c>
      <c r="D8" s="9">
        <f>(B8-C8)*(C8/B8)</f>
        <v>463801303.23921049</v>
      </c>
      <c r="E8" s="9">
        <f>C8+D8</f>
        <v>7591801303.2392101</v>
      </c>
      <c r="F8" s="9">
        <f>E8-B8</f>
        <v>-32278696.760789871</v>
      </c>
    </row>
    <row r="9" spans="1:6">
      <c r="A9" t="s">
        <v>116</v>
      </c>
      <c r="B9" s="9">
        <f>B6-B8</f>
        <v>9431757185.731823</v>
      </c>
      <c r="C9" s="9">
        <f>C6-C8</f>
        <v>8547276751.5000038</v>
      </c>
      <c r="D9" s="9">
        <f>D6-D8</f>
        <v>805176900.2241863</v>
      </c>
      <c r="E9" s="9">
        <f>E6-E8</f>
        <v>9352453651.7241879</v>
      </c>
      <c r="F9" s="9">
        <f>F6-F8</f>
        <v>-79303534.007635117</v>
      </c>
    </row>
    <row r="10" spans="1:6">
      <c r="A10" t="s">
        <v>117</v>
      </c>
      <c r="B10" s="13">
        <f>B9/B4</f>
        <v>0.2516631261094387</v>
      </c>
      <c r="C10" s="13">
        <f>C9/C4</f>
        <v>0.24753014648410157</v>
      </c>
      <c r="D10" s="13">
        <f>D9/D4</f>
        <v>0.29649431620876293</v>
      </c>
      <c r="E10" s="13">
        <f>E9/E4</f>
        <v>0.25110020080769202</v>
      </c>
      <c r="F10" s="13">
        <f>E10-B10</f>
        <v>-5.629253017466751E-4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6" width="21.42578125" customWidth="1"/>
  </cols>
  <sheetData>
    <row r="1" spans="1:2">
      <c r="A1" s="2" t="s">
        <v>118</v>
      </c>
    </row>
    <row r="3" spans="1:2">
      <c r="A3" s="2" t="s">
        <v>107</v>
      </c>
      <c r="B3" s="2" t="s">
        <v>119</v>
      </c>
    </row>
    <row r="4" spans="1:2">
      <c r="A4" t="s">
        <v>46</v>
      </c>
      <c r="B4" s="9">
        <f>'05_Budget'!B723</f>
        <v>37477708123.32003</v>
      </c>
    </row>
    <row r="5" spans="1:2">
      <c r="A5" t="s">
        <v>47</v>
      </c>
      <c r="B5" s="9">
        <f>'05_Budget'!B724</f>
        <v>20421870937.588207</v>
      </c>
    </row>
    <row r="6" spans="1:2">
      <c r="A6" t="s">
        <v>113</v>
      </c>
      <c r="B6" s="9">
        <f>'05_Budget'!B725</f>
        <v>17055837185.731823</v>
      </c>
    </row>
    <row r="7" spans="1:2">
      <c r="A7" t="s">
        <v>114</v>
      </c>
      <c r="B7" s="13">
        <f>'05_Budget'!B726</f>
        <v>0.45509285492084411</v>
      </c>
    </row>
    <row r="8" spans="1:2">
      <c r="A8" t="s">
        <v>120</v>
      </c>
      <c r="B8" s="9">
        <f>'05_Budget'!B1308</f>
        <v>7624080000</v>
      </c>
    </row>
    <row r="9" spans="1:2">
      <c r="A9" t="s">
        <v>116</v>
      </c>
      <c r="B9" s="9">
        <f>B6-B8</f>
        <v>9431757185.731823</v>
      </c>
    </row>
    <row r="10" spans="1:2">
      <c r="A10" t="s">
        <v>117</v>
      </c>
      <c r="B10" s="13">
        <f>B9/B4</f>
        <v>0.2516631261094387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cols>
    <col min="1" max="2" width="21.42578125" customWidth="1"/>
    <col min="3" max="4" width="21.42578125" style="9" customWidth="1"/>
    <col min="5" max="5" width="21.42578125" customWidth="1"/>
    <col min="6" max="6" width="21.42578125" style="14" customWidth="1"/>
    <col min="7" max="8" width="21.42578125" customWidth="1"/>
  </cols>
  <sheetData>
    <row r="1" spans="1:8">
      <c r="A1" s="6" t="s">
        <v>86</v>
      </c>
      <c r="B1" s="6" t="s">
        <v>121</v>
      </c>
      <c r="C1" s="8" t="s">
        <v>122</v>
      </c>
      <c r="D1" s="8" t="s">
        <v>108</v>
      </c>
      <c r="E1" s="6" t="s">
        <v>123</v>
      </c>
      <c r="F1" s="12" t="s">
        <v>124</v>
      </c>
      <c r="G1" s="6" t="s">
        <v>125</v>
      </c>
      <c r="H1" s="2" t="s">
        <v>126</v>
      </c>
    </row>
    <row r="2" spans="1:8">
      <c r="A2" s="18">
        <v>45658</v>
      </c>
      <c r="B2" s="3" t="s">
        <v>46</v>
      </c>
      <c r="C2" s="9">
        <f>SUM('02_Actual_Revenue'!F2:F41)</f>
        <v>1774738880</v>
      </c>
      <c r="D2" s="9">
        <f>SUM('05_Budget'!G2:G41)</f>
        <v>1926228573.9360001</v>
      </c>
      <c r="E2" s="9">
        <f>C2-D2</f>
        <v>-151489693.93600011</v>
      </c>
      <c r="F2" s="13">
        <f>IFERROR(E2/D2, 0)</f>
        <v>-7.8645751592424165E-2</v>
      </c>
      <c r="G2" s="3" t="str">
        <f>IF(OR(B2="COGS", B2="Operating Expenses"), IF(E2&lt;=0, "Favorable", "Unfavorable"), IF(E2&gt;=0, "Favorable", "Unfavorable"))</f>
        <v>Unfavorable</v>
      </c>
      <c r="H2" t="str">
        <f>IF(OR(ABS(F2)&gt;=0.05, ABS(E2)&gt;=5000000), "Material", "Not Material")</f>
        <v>Material</v>
      </c>
    </row>
    <row r="3" spans="1:8">
      <c r="A3" s="18">
        <v>45658</v>
      </c>
      <c r="B3" s="3" t="s">
        <v>47</v>
      </c>
      <c r="C3" s="9">
        <f>SUM('02_Actual_Revenue'!G2:G41)</f>
        <v>969082197.80000007</v>
      </c>
      <c r="D3" s="9">
        <f>SUM('05_Budget'!H2:H41)</f>
        <v>1049615712.99336</v>
      </c>
      <c r="E3" s="9">
        <f t="shared" ref="E3:E4" si="0">C3-D3</f>
        <v>-80533515.193359971</v>
      </c>
      <c r="F3" s="13">
        <f t="shared" ref="F3:F66" si="1">IFERROR(E3/D3, 0)</f>
        <v>-7.6726666909062782E-2</v>
      </c>
      <c r="G3" s="3" t="str">
        <f t="shared" ref="G3:G66" si="2">IF(OR(B3="COGS", B3="Operating Expenses"), IF(E3&lt;=0, "Favorable", "Unfavorable"), IF(E3&gt;=0, "Favorable", "Unfavorable"))</f>
        <v>Favorable</v>
      </c>
      <c r="H3" t="str">
        <f t="shared" ref="H3:H66" si="3">IF(OR(ABS(F3)&gt;=0.05, ABS(E3)&gt;=5000000), "Material", "Not Material")</f>
        <v>Material</v>
      </c>
    </row>
    <row r="4" spans="1:8">
      <c r="A4" s="18">
        <v>45658</v>
      </c>
      <c r="B4" s="3" t="s">
        <v>113</v>
      </c>
      <c r="C4" s="9">
        <f>C2-C3</f>
        <v>805656682.19999993</v>
      </c>
      <c r="D4" s="9">
        <f>D2-D3</f>
        <v>876612860.94264007</v>
      </c>
      <c r="E4" s="9">
        <f t="shared" si="0"/>
        <v>-70956178.742640138</v>
      </c>
      <c r="F4" s="13">
        <f t="shared" si="1"/>
        <v>-8.0943574871054802E-2</v>
      </c>
      <c r="G4" s="3" t="str">
        <f t="shared" si="2"/>
        <v>Unfavorable</v>
      </c>
      <c r="H4" t="str">
        <f t="shared" si="3"/>
        <v>Material</v>
      </c>
    </row>
    <row r="5" spans="1:8">
      <c r="A5" s="18">
        <v>45658</v>
      </c>
      <c r="B5" s="3" t="s">
        <v>120</v>
      </c>
      <c r="C5" s="9">
        <f>SUM('03_Actual_Opex'!E2:E33)</f>
        <v>396000000</v>
      </c>
      <c r="D5" s="9">
        <f>SUM('05_Budget'!F731:F762)</f>
        <v>423560000</v>
      </c>
      <c r="E5" s="9">
        <f>C5-D5</f>
        <v>-27560000</v>
      </c>
      <c r="F5" s="13">
        <f t="shared" si="1"/>
        <v>-6.5067522901123803E-2</v>
      </c>
      <c r="G5" s="3" t="str">
        <f t="shared" si="2"/>
        <v>Favorable</v>
      </c>
      <c r="H5" t="str">
        <f t="shared" si="3"/>
        <v>Material</v>
      </c>
    </row>
    <row r="6" spans="1:8">
      <c r="A6" s="18">
        <v>45658</v>
      </c>
      <c r="B6" s="3" t="s">
        <v>116</v>
      </c>
      <c r="C6" s="9">
        <f>C4-C5</f>
        <v>409656682.19999993</v>
      </c>
      <c r="D6" s="9">
        <f>D4-D5</f>
        <v>453052860.94264007</v>
      </c>
      <c r="E6" s="9">
        <f>C6-D6</f>
        <v>-43396178.742640138</v>
      </c>
      <c r="F6" s="13">
        <f t="shared" si="1"/>
        <v>-9.578612670571883E-2</v>
      </c>
      <c r="G6" s="3" t="str">
        <f t="shared" si="2"/>
        <v>Unfavorable</v>
      </c>
      <c r="H6" t="str">
        <f t="shared" si="3"/>
        <v>Material</v>
      </c>
    </row>
    <row r="7" spans="1:8">
      <c r="A7" s="18">
        <v>45689</v>
      </c>
      <c r="B7" s="3" t="s">
        <v>46</v>
      </c>
      <c r="C7" s="9">
        <f>SUM('02_Actual_Revenue'!F42:F81)</f>
        <v>1736157600</v>
      </c>
      <c r="D7" s="9">
        <f>SUM('05_Budget'!G42:G81)</f>
        <v>1884354039.7199996</v>
      </c>
      <c r="E7" s="9">
        <f t="shared" ref="E7:E70" si="4">C7-D7</f>
        <v>-148196439.71999955</v>
      </c>
      <c r="F7" s="13">
        <f t="shared" si="1"/>
        <v>-7.8645751592423888E-2</v>
      </c>
      <c r="G7" s="3" t="str">
        <f t="shared" si="2"/>
        <v>Unfavorable</v>
      </c>
      <c r="H7" t="str">
        <f t="shared" si="3"/>
        <v>Material</v>
      </c>
    </row>
    <row r="8" spans="1:8">
      <c r="A8" s="18">
        <v>45689</v>
      </c>
      <c r="B8" s="3" t="s">
        <v>47</v>
      </c>
      <c r="C8" s="9">
        <f>SUM('02_Actual_Revenue'!G42:G81)</f>
        <v>948015193.5</v>
      </c>
      <c r="D8" s="9">
        <f>SUM('05_Budget'!H42:H81)</f>
        <v>1026797980.1021998</v>
      </c>
      <c r="E8" s="9">
        <f t="shared" si="4"/>
        <v>-78782786.602199793</v>
      </c>
      <c r="F8" s="13">
        <f t="shared" si="1"/>
        <v>-7.6726666909062616E-2</v>
      </c>
      <c r="G8" s="3" t="str">
        <f t="shared" si="2"/>
        <v>Favorable</v>
      </c>
      <c r="H8" t="str">
        <f t="shared" si="3"/>
        <v>Material</v>
      </c>
    </row>
    <row r="9" spans="1:8">
      <c r="A9" s="18">
        <v>45689</v>
      </c>
      <c r="B9" s="3" t="s">
        <v>113</v>
      </c>
      <c r="C9" s="9">
        <f>C7-C8</f>
        <v>788142406.5</v>
      </c>
      <c r="D9" s="9">
        <f>D7-D8</f>
        <v>857556059.61779976</v>
      </c>
      <c r="E9" s="9">
        <f t="shared" si="4"/>
        <v>-69413653.117799759</v>
      </c>
      <c r="F9" s="13">
        <f t="shared" si="1"/>
        <v>-8.0943574871054386E-2</v>
      </c>
      <c r="G9" s="3" t="str">
        <f t="shared" si="2"/>
        <v>Unfavorable</v>
      </c>
      <c r="H9" t="str">
        <f t="shared" si="3"/>
        <v>Material</v>
      </c>
    </row>
    <row r="10" spans="1:8">
      <c r="A10" s="18">
        <v>45689</v>
      </c>
      <c r="B10" s="3" t="s">
        <v>120</v>
      </c>
      <c r="C10" s="9">
        <f>SUM('03_Actual_Opex'!E34:E65)</f>
        <v>396000000</v>
      </c>
      <c r="D10" s="9">
        <f>SUM('05_Budget'!F763:F794)</f>
        <v>423560000</v>
      </c>
      <c r="E10" s="9">
        <f t="shared" si="4"/>
        <v>-27560000</v>
      </c>
      <c r="F10" s="13">
        <f t="shared" si="1"/>
        <v>-6.5067522901123803E-2</v>
      </c>
      <c r="G10" s="3" t="str">
        <f t="shared" si="2"/>
        <v>Favorable</v>
      </c>
      <c r="H10" t="str">
        <f t="shared" si="3"/>
        <v>Material</v>
      </c>
    </row>
    <row r="11" spans="1:8">
      <c r="A11" s="18">
        <v>45689</v>
      </c>
      <c r="B11" s="3" t="s">
        <v>116</v>
      </c>
      <c r="C11" s="9">
        <f>C9-C10</f>
        <v>392142406.5</v>
      </c>
      <c r="D11" s="9">
        <f>D9-D10</f>
        <v>433996059.61779976</v>
      </c>
      <c r="E11" s="9">
        <f t="shared" si="4"/>
        <v>-41853653.117799759</v>
      </c>
      <c r="F11" s="13">
        <f t="shared" si="1"/>
        <v>-9.643786433143732E-2</v>
      </c>
      <c r="G11" s="3" t="str">
        <f t="shared" si="2"/>
        <v>Unfavorable</v>
      </c>
      <c r="H11" t="str">
        <f t="shared" si="3"/>
        <v>Material</v>
      </c>
    </row>
    <row r="12" spans="1:8">
      <c r="A12" s="18">
        <v>45717</v>
      </c>
      <c r="B12" s="3" t="s">
        <v>46</v>
      </c>
      <c r="C12" s="9">
        <f>SUM('02_Actual_Revenue'!F82:F121)</f>
        <v>1851901440</v>
      </c>
      <c r="D12" s="9">
        <f>SUM('05_Budget'!G82:G121)</f>
        <v>2009977642.368</v>
      </c>
      <c r="E12" s="9">
        <f t="shared" si="4"/>
        <v>-158076202.36800003</v>
      </c>
      <c r="F12" s="13">
        <f t="shared" si="1"/>
        <v>-7.8645751592424123E-2</v>
      </c>
      <c r="G12" s="3" t="str">
        <f t="shared" si="2"/>
        <v>Unfavorable</v>
      </c>
      <c r="H12" t="str">
        <f t="shared" si="3"/>
        <v>Material</v>
      </c>
    </row>
    <row r="13" spans="1:8">
      <c r="A13" s="18">
        <v>45717</v>
      </c>
      <c r="B13" s="3" t="s">
        <v>47</v>
      </c>
      <c r="C13" s="9">
        <f>SUM('02_Actual_Revenue'!G82:G121)</f>
        <v>1011216206.4</v>
      </c>
      <c r="D13" s="9">
        <f>SUM('05_Budget'!H82:H121)</f>
        <v>1095251178.7756808</v>
      </c>
      <c r="E13" s="9">
        <f t="shared" si="4"/>
        <v>-84034972.375680804</v>
      </c>
      <c r="F13" s="13">
        <f t="shared" si="1"/>
        <v>-7.672666690906349E-2</v>
      </c>
      <c r="G13" s="3" t="str">
        <f t="shared" si="2"/>
        <v>Favorable</v>
      </c>
      <c r="H13" t="str">
        <f t="shared" si="3"/>
        <v>Material</v>
      </c>
    </row>
    <row r="14" spans="1:8">
      <c r="A14" s="18">
        <v>45717</v>
      </c>
      <c r="B14" s="3" t="s">
        <v>113</v>
      </c>
      <c r="C14" s="9">
        <f>C12-C13</f>
        <v>840685233.60000002</v>
      </c>
      <c r="D14" s="9">
        <f>D12-D13</f>
        <v>914726463.59231925</v>
      </c>
      <c r="E14" s="9">
        <f t="shared" si="4"/>
        <v>-74041229.992319226</v>
      </c>
      <c r="F14" s="13">
        <f t="shared" si="1"/>
        <v>-8.0943574871053872E-2</v>
      </c>
      <c r="G14" s="3" t="str">
        <f t="shared" si="2"/>
        <v>Unfavorable</v>
      </c>
      <c r="H14" t="str">
        <f t="shared" si="3"/>
        <v>Material</v>
      </c>
    </row>
    <row r="15" spans="1:8">
      <c r="A15" s="18">
        <v>45717</v>
      </c>
      <c r="B15" s="3" t="s">
        <v>120</v>
      </c>
      <c r="C15" s="9">
        <f>SUM('03_Actual_Opex'!E66:E97)</f>
        <v>396000000</v>
      </c>
      <c r="D15" s="9">
        <f>SUM('05_Budget'!F795:F826)</f>
        <v>423560000</v>
      </c>
      <c r="E15" s="9">
        <f t="shared" si="4"/>
        <v>-27560000</v>
      </c>
      <c r="F15" s="13">
        <f t="shared" si="1"/>
        <v>-6.5067522901123803E-2</v>
      </c>
      <c r="G15" s="3" t="str">
        <f t="shared" si="2"/>
        <v>Favorable</v>
      </c>
      <c r="H15" t="str">
        <f t="shared" si="3"/>
        <v>Material</v>
      </c>
    </row>
    <row r="16" spans="1:8">
      <c r="A16" s="18">
        <v>45717</v>
      </c>
      <c r="B16" s="3" t="s">
        <v>116</v>
      </c>
      <c r="C16" s="9">
        <f>C14-C15</f>
        <v>444685233.60000002</v>
      </c>
      <c r="D16" s="9">
        <f>D14-D15</f>
        <v>491166463.59231925</v>
      </c>
      <c r="E16" s="9">
        <f t="shared" si="4"/>
        <v>-46481229.992319226</v>
      </c>
      <c r="F16" s="13">
        <f t="shared" si="1"/>
        <v>-9.4634372331454289E-2</v>
      </c>
      <c r="G16" s="3" t="str">
        <f t="shared" si="2"/>
        <v>Unfavorable</v>
      </c>
      <c r="H16" t="str">
        <f t="shared" si="3"/>
        <v>Material</v>
      </c>
    </row>
    <row r="17" spans="1:8">
      <c r="A17" s="18">
        <v>45748</v>
      </c>
      <c r="B17" s="3" t="s">
        <v>46</v>
      </c>
      <c r="C17" s="9">
        <f>SUM('02_Actual_Revenue'!F122:F161)</f>
        <v>1832610800</v>
      </c>
      <c r="D17" s="9">
        <f>SUM('05_Budget'!G122:G161)</f>
        <v>1989040375.2600002</v>
      </c>
      <c r="E17" s="9">
        <f t="shared" si="4"/>
        <v>-156429575.26000023</v>
      </c>
      <c r="F17" s="13">
        <f t="shared" si="1"/>
        <v>-7.8645751592424221E-2</v>
      </c>
      <c r="G17" s="3" t="str">
        <f t="shared" si="2"/>
        <v>Unfavorable</v>
      </c>
      <c r="H17" t="str">
        <f t="shared" si="3"/>
        <v>Material</v>
      </c>
    </row>
    <row r="18" spans="1:8">
      <c r="A18" s="18">
        <v>45748</v>
      </c>
      <c r="B18" s="3" t="s">
        <v>47</v>
      </c>
      <c r="C18" s="9">
        <f>SUM('02_Actual_Revenue'!G122:G161)</f>
        <v>1000682704.25</v>
      </c>
      <c r="D18" s="9">
        <f>SUM('05_Budget'!H122:H161)</f>
        <v>1083842312.3300998</v>
      </c>
      <c r="E18" s="9">
        <f t="shared" si="4"/>
        <v>-83159608.080099821</v>
      </c>
      <c r="F18" s="13">
        <f t="shared" si="1"/>
        <v>-7.6726666909062657E-2</v>
      </c>
      <c r="G18" s="3" t="str">
        <f t="shared" si="2"/>
        <v>Favorable</v>
      </c>
      <c r="H18" t="str">
        <f t="shared" si="3"/>
        <v>Material</v>
      </c>
    </row>
    <row r="19" spans="1:8">
      <c r="A19" s="18">
        <v>45748</v>
      </c>
      <c r="B19" s="3" t="s">
        <v>113</v>
      </c>
      <c r="C19" s="9">
        <f>C17-C18</f>
        <v>831928095.75</v>
      </c>
      <c r="D19" s="9">
        <f>D17-D18</f>
        <v>905198062.92990041</v>
      </c>
      <c r="E19" s="9">
        <f t="shared" si="4"/>
        <v>-73269967.179900408</v>
      </c>
      <c r="F19" s="13">
        <f t="shared" si="1"/>
        <v>-8.0943574871055066E-2</v>
      </c>
      <c r="G19" s="3" t="str">
        <f t="shared" si="2"/>
        <v>Unfavorable</v>
      </c>
      <c r="H19" t="str">
        <f t="shared" si="3"/>
        <v>Material</v>
      </c>
    </row>
    <row r="20" spans="1:8">
      <c r="A20" s="18">
        <v>45748</v>
      </c>
      <c r="B20" s="3" t="s">
        <v>120</v>
      </c>
      <c r="C20" s="9">
        <f>SUM('03_Actual_Opex'!E98:E129)</f>
        <v>396000000</v>
      </c>
      <c r="D20" s="9">
        <f>SUM('05_Budget'!F827:F858)</f>
        <v>423560000</v>
      </c>
      <c r="E20" s="9">
        <f t="shared" si="4"/>
        <v>-27560000</v>
      </c>
      <c r="F20" s="13">
        <f t="shared" si="1"/>
        <v>-6.5067522901123803E-2</v>
      </c>
      <c r="G20" s="3" t="str">
        <f t="shared" si="2"/>
        <v>Favorable</v>
      </c>
      <c r="H20" t="str">
        <f t="shared" si="3"/>
        <v>Material</v>
      </c>
    </row>
    <row r="21" spans="1:8">
      <c r="A21" s="18">
        <v>45748</v>
      </c>
      <c r="B21" s="3" t="s">
        <v>116</v>
      </c>
      <c r="C21" s="9">
        <f>C19-C20</f>
        <v>435928095.75</v>
      </c>
      <c r="D21" s="9">
        <f>D19-D20</f>
        <v>481638062.92990041</v>
      </c>
      <c r="E21" s="9">
        <f t="shared" si="4"/>
        <v>-45709967.179900408</v>
      </c>
      <c r="F21" s="13">
        <f t="shared" si="1"/>
        <v>-9.4905221779685689E-2</v>
      </c>
      <c r="G21" s="3" t="str">
        <f t="shared" si="2"/>
        <v>Unfavorable</v>
      </c>
      <c r="H21" t="str">
        <f t="shared" si="3"/>
        <v>Material</v>
      </c>
    </row>
    <row r="22" spans="1:8">
      <c r="A22" s="18">
        <v>45778</v>
      </c>
      <c r="B22" s="3" t="s">
        <v>46</v>
      </c>
      <c r="C22" s="9">
        <f>SUM('02_Actual_Revenue'!F162:F201)</f>
        <v>1929064000</v>
      </c>
      <c r="D22" s="9">
        <f>SUM('05_Budget'!G162:G201)</f>
        <v>2093726710.8</v>
      </c>
      <c r="E22" s="9">
        <f t="shared" si="4"/>
        <v>-164662710.79999995</v>
      </c>
      <c r="F22" s="13">
        <f t="shared" si="1"/>
        <v>-7.8645751592424096E-2</v>
      </c>
      <c r="G22" s="3" t="str">
        <f t="shared" si="2"/>
        <v>Unfavorable</v>
      </c>
      <c r="H22" t="str">
        <f t="shared" si="3"/>
        <v>Material</v>
      </c>
    </row>
    <row r="23" spans="1:8">
      <c r="A23" s="18">
        <v>45778</v>
      </c>
      <c r="B23" s="3" t="s">
        <v>47</v>
      </c>
      <c r="C23" s="9">
        <f>SUM('02_Actual_Revenue'!G162:G201)</f>
        <v>1053350215</v>
      </c>
      <c r="D23" s="9">
        <f>SUM('05_Budget'!H162:H201)</f>
        <v>1140886644.5580001</v>
      </c>
      <c r="E23" s="9">
        <f t="shared" si="4"/>
        <v>-87536429.558000088</v>
      </c>
      <c r="F23" s="13">
        <f t="shared" si="1"/>
        <v>-7.6726666909062879E-2</v>
      </c>
      <c r="G23" s="3" t="str">
        <f t="shared" si="2"/>
        <v>Favorable</v>
      </c>
      <c r="H23" t="str">
        <f t="shared" si="3"/>
        <v>Material</v>
      </c>
    </row>
    <row r="24" spans="1:8">
      <c r="A24" s="18">
        <v>45778</v>
      </c>
      <c r="B24" s="3" t="s">
        <v>113</v>
      </c>
      <c r="C24" s="9">
        <f>C22-C23</f>
        <v>875713785</v>
      </c>
      <c r="D24" s="9">
        <f>D22-D23</f>
        <v>952840066.24199986</v>
      </c>
      <c r="E24" s="9">
        <f t="shared" si="4"/>
        <v>-77126281.241999865</v>
      </c>
      <c r="F24" s="13">
        <f t="shared" si="1"/>
        <v>-8.0943574871054524E-2</v>
      </c>
      <c r="G24" s="3" t="str">
        <f t="shared" si="2"/>
        <v>Unfavorable</v>
      </c>
      <c r="H24" t="str">
        <f t="shared" si="3"/>
        <v>Material</v>
      </c>
    </row>
    <row r="25" spans="1:8">
      <c r="A25" s="18">
        <v>45778</v>
      </c>
      <c r="B25" s="3" t="s">
        <v>120</v>
      </c>
      <c r="C25" s="9">
        <f>SUM('03_Actual_Opex'!E130:E161)</f>
        <v>396000000</v>
      </c>
      <c r="D25" s="9">
        <f>SUM('05_Budget'!F859:F890)</f>
        <v>423560000</v>
      </c>
      <c r="E25" s="9">
        <f t="shared" si="4"/>
        <v>-27560000</v>
      </c>
      <c r="F25" s="13">
        <f t="shared" si="1"/>
        <v>-6.5067522901123803E-2</v>
      </c>
      <c r="G25" s="3" t="str">
        <f t="shared" si="2"/>
        <v>Favorable</v>
      </c>
      <c r="H25" t="str">
        <f t="shared" si="3"/>
        <v>Material</v>
      </c>
    </row>
    <row r="26" spans="1:8">
      <c r="A26" s="18">
        <v>45778</v>
      </c>
      <c r="B26" s="3" t="s">
        <v>116</v>
      </c>
      <c r="C26" s="9">
        <f>C24-C25</f>
        <v>479713785</v>
      </c>
      <c r="D26" s="9">
        <f>D24-D25</f>
        <v>529280066.24199986</v>
      </c>
      <c r="E26" s="9">
        <f t="shared" si="4"/>
        <v>-49566281.241999865</v>
      </c>
      <c r="F26" s="13">
        <f t="shared" si="1"/>
        <v>-9.3648494253582834E-2</v>
      </c>
      <c r="G26" s="3" t="str">
        <f t="shared" si="2"/>
        <v>Unfavorable</v>
      </c>
      <c r="H26" t="str">
        <f t="shared" si="3"/>
        <v>Material</v>
      </c>
    </row>
    <row r="27" spans="1:8">
      <c r="A27" s="18">
        <v>45809</v>
      </c>
      <c r="B27" s="3" t="s">
        <v>46</v>
      </c>
      <c r="C27" s="9">
        <f>SUM('02_Actual_Revenue'!F202:F241)</f>
        <v>1967645280</v>
      </c>
      <c r="D27" s="9">
        <f>SUM('05_Budget'!G202:G241)</f>
        <v>2135601245.0160005</v>
      </c>
      <c r="E27" s="9">
        <f t="shared" si="4"/>
        <v>-167955965.01600051</v>
      </c>
      <c r="F27" s="13">
        <f t="shared" si="1"/>
        <v>-7.8645751592424332E-2</v>
      </c>
      <c r="G27" s="3" t="str">
        <f t="shared" si="2"/>
        <v>Unfavorable</v>
      </c>
      <c r="H27" t="str">
        <f t="shared" si="3"/>
        <v>Material</v>
      </c>
    </row>
    <row r="28" spans="1:8">
      <c r="A28" s="18">
        <v>45809</v>
      </c>
      <c r="B28" s="3" t="s">
        <v>47</v>
      </c>
      <c r="C28" s="9">
        <f>SUM('02_Actual_Revenue'!G202:G241)</f>
        <v>1074417219.3</v>
      </c>
      <c r="D28" s="9">
        <f>SUM('05_Budget'!H202:H241)</f>
        <v>1163704377.4491599</v>
      </c>
      <c r="E28" s="9">
        <f t="shared" si="4"/>
        <v>-89287158.149159908</v>
      </c>
      <c r="F28" s="13">
        <f t="shared" si="1"/>
        <v>-7.6726666909062741E-2</v>
      </c>
      <c r="G28" s="3" t="str">
        <f t="shared" si="2"/>
        <v>Favorable</v>
      </c>
      <c r="H28" t="str">
        <f t="shared" si="3"/>
        <v>Material</v>
      </c>
    </row>
    <row r="29" spans="1:8">
      <c r="A29" s="18">
        <v>45809</v>
      </c>
      <c r="B29" s="3" t="s">
        <v>113</v>
      </c>
      <c r="C29" s="9">
        <f>C27-C28</f>
        <v>893228060.70000005</v>
      </c>
      <c r="D29" s="9">
        <f>D27-D28</f>
        <v>971896867.56684065</v>
      </c>
      <c r="E29" s="9">
        <f t="shared" si="4"/>
        <v>-78668806.866840601</v>
      </c>
      <c r="F29" s="13">
        <f t="shared" si="1"/>
        <v>-8.0943574871055218E-2</v>
      </c>
      <c r="G29" s="3" t="str">
        <f t="shared" si="2"/>
        <v>Unfavorable</v>
      </c>
      <c r="H29" t="str">
        <f t="shared" si="3"/>
        <v>Material</v>
      </c>
    </row>
    <row r="30" spans="1:8">
      <c r="A30" s="18">
        <v>45809</v>
      </c>
      <c r="B30" s="3" t="s">
        <v>120</v>
      </c>
      <c r="C30" s="9">
        <f>SUM('03_Actual_Opex'!E162:E193)</f>
        <v>396000000</v>
      </c>
      <c r="D30" s="9">
        <f>SUM('05_Budget'!F891:F922)</f>
        <v>423560000</v>
      </c>
      <c r="E30" s="9">
        <f t="shared" si="4"/>
        <v>-27560000</v>
      </c>
      <c r="F30" s="13">
        <f t="shared" si="1"/>
        <v>-6.5067522901123803E-2</v>
      </c>
      <c r="G30" s="3" t="str">
        <f t="shared" si="2"/>
        <v>Favorable</v>
      </c>
      <c r="H30" t="str">
        <f t="shared" si="3"/>
        <v>Material</v>
      </c>
    </row>
    <row r="31" spans="1:8">
      <c r="A31" s="18">
        <v>45809</v>
      </c>
      <c r="B31" s="3" t="s">
        <v>116</v>
      </c>
      <c r="C31" s="9">
        <f>C29-C30</f>
        <v>497228060.70000005</v>
      </c>
      <c r="D31" s="9">
        <f>D29-D30</f>
        <v>548336867.56684065</v>
      </c>
      <c r="E31" s="9">
        <f t="shared" si="4"/>
        <v>-51108806.866840601</v>
      </c>
      <c r="F31" s="13">
        <f t="shared" si="1"/>
        <v>-9.3206949759967739E-2</v>
      </c>
      <c r="G31" s="3" t="str">
        <f t="shared" si="2"/>
        <v>Unfavorable</v>
      </c>
      <c r="H31" t="str">
        <f t="shared" si="3"/>
        <v>Material</v>
      </c>
    </row>
    <row r="32" spans="1:8">
      <c r="A32" s="18">
        <v>45839</v>
      </c>
      <c r="B32" s="3" t="s">
        <v>46</v>
      </c>
      <c r="C32" s="9">
        <f>SUM('02_Actual_Revenue'!F242:F281)</f>
        <v>1986935920</v>
      </c>
      <c r="D32" s="9">
        <f>SUM('05_Budget'!G242:G281)</f>
        <v>2156538512.1240001</v>
      </c>
      <c r="E32" s="9">
        <f t="shared" si="4"/>
        <v>-169602592.12400007</v>
      </c>
      <c r="F32" s="13">
        <f t="shared" si="1"/>
        <v>-7.8645751592424137E-2</v>
      </c>
      <c r="G32" s="3" t="str">
        <f t="shared" si="2"/>
        <v>Unfavorable</v>
      </c>
      <c r="H32" t="str">
        <f t="shared" si="3"/>
        <v>Material</v>
      </c>
    </row>
    <row r="33" spans="1:8">
      <c r="A33" s="18">
        <v>45839</v>
      </c>
      <c r="B33" s="3" t="s">
        <v>47</v>
      </c>
      <c r="C33" s="9">
        <f>SUM('02_Actual_Revenue'!G242:G281)</f>
        <v>1084950721.45</v>
      </c>
      <c r="D33" s="9">
        <f>SUM('05_Budget'!H242:H281)</f>
        <v>1175113243.8947399</v>
      </c>
      <c r="E33" s="9">
        <f t="shared" si="4"/>
        <v>-90162522.444739819</v>
      </c>
      <c r="F33" s="13">
        <f t="shared" si="1"/>
        <v>-7.6726666909062657E-2</v>
      </c>
      <c r="G33" s="3" t="str">
        <f t="shared" si="2"/>
        <v>Favorable</v>
      </c>
      <c r="H33" t="str">
        <f t="shared" si="3"/>
        <v>Material</v>
      </c>
    </row>
    <row r="34" spans="1:8">
      <c r="A34" s="18">
        <v>45839</v>
      </c>
      <c r="B34" s="3" t="s">
        <v>113</v>
      </c>
      <c r="C34" s="9">
        <f>C32-C33</f>
        <v>901985198.54999995</v>
      </c>
      <c r="D34" s="9">
        <f>D32-D33</f>
        <v>981425268.22926021</v>
      </c>
      <c r="E34" s="9">
        <f t="shared" si="4"/>
        <v>-79440069.679260254</v>
      </c>
      <c r="F34" s="13">
        <f t="shared" si="1"/>
        <v>-8.0943574871054899E-2</v>
      </c>
      <c r="G34" s="3" t="str">
        <f t="shared" si="2"/>
        <v>Unfavorable</v>
      </c>
      <c r="H34" t="str">
        <f t="shared" si="3"/>
        <v>Material</v>
      </c>
    </row>
    <row r="35" spans="1:8">
      <c r="A35" s="18">
        <v>45839</v>
      </c>
      <c r="B35" s="3" t="s">
        <v>120</v>
      </c>
      <c r="C35" s="9">
        <f>SUM('03_Actual_Opex'!E194:E225)</f>
        <v>396000000</v>
      </c>
      <c r="D35" s="9">
        <f>SUM('05_Budget'!F923:F954)</f>
        <v>423560000</v>
      </c>
      <c r="E35" s="9">
        <f t="shared" si="4"/>
        <v>-27560000</v>
      </c>
      <c r="F35" s="13">
        <f t="shared" si="1"/>
        <v>-6.5067522901123803E-2</v>
      </c>
      <c r="G35" s="3" t="str">
        <f t="shared" si="2"/>
        <v>Favorable</v>
      </c>
      <c r="H35" t="str">
        <f t="shared" si="3"/>
        <v>Material</v>
      </c>
    </row>
    <row r="36" spans="1:8">
      <c r="A36" s="18">
        <v>45839</v>
      </c>
      <c r="B36" s="3" t="s">
        <v>116</v>
      </c>
      <c r="C36" s="9">
        <f>C34-C35</f>
        <v>505985198.54999995</v>
      </c>
      <c r="D36" s="9">
        <f>D34-D35</f>
        <v>557865268.22926021</v>
      </c>
      <c r="E36" s="9">
        <f t="shared" si="4"/>
        <v>-51880069.679260254</v>
      </c>
      <c r="F36" s="13">
        <f t="shared" si="1"/>
        <v>-9.2997489956552784E-2</v>
      </c>
      <c r="G36" s="3" t="str">
        <f t="shared" si="2"/>
        <v>Unfavorable</v>
      </c>
      <c r="H36" t="str">
        <f t="shared" si="3"/>
        <v>Material</v>
      </c>
    </row>
    <row r="37" spans="1:8">
      <c r="A37" s="18">
        <v>45870</v>
      </c>
      <c r="B37" s="3" t="s">
        <v>46</v>
      </c>
      <c r="C37" s="9">
        <f>SUM('02_Actual_Revenue'!F282:F321)</f>
        <v>1967645280</v>
      </c>
      <c r="D37" s="9">
        <f>SUM('05_Budget'!G282:G321)</f>
        <v>2135601245.0160005</v>
      </c>
      <c r="E37" s="9">
        <f t="shared" si="4"/>
        <v>-167955965.01600051</v>
      </c>
      <c r="F37" s="13">
        <f t="shared" si="1"/>
        <v>-7.8645751592424332E-2</v>
      </c>
      <c r="G37" s="3" t="str">
        <f t="shared" si="2"/>
        <v>Unfavorable</v>
      </c>
      <c r="H37" t="str">
        <f t="shared" si="3"/>
        <v>Material</v>
      </c>
    </row>
    <row r="38" spans="1:8">
      <c r="A38" s="18">
        <v>45870</v>
      </c>
      <c r="B38" s="3" t="s">
        <v>47</v>
      </c>
      <c r="C38" s="9">
        <f>SUM('02_Actual_Revenue'!G282:G321)</f>
        <v>1074417219.3</v>
      </c>
      <c r="D38" s="9">
        <f>SUM('05_Budget'!H282:H321)</f>
        <v>1163704377.4491599</v>
      </c>
      <c r="E38" s="9">
        <f t="shared" si="4"/>
        <v>-89287158.149159908</v>
      </c>
      <c r="F38" s="13">
        <f t="shared" si="1"/>
        <v>-7.6726666909062741E-2</v>
      </c>
      <c r="G38" s="3" t="str">
        <f t="shared" si="2"/>
        <v>Favorable</v>
      </c>
      <c r="H38" t="str">
        <f t="shared" si="3"/>
        <v>Material</v>
      </c>
    </row>
    <row r="39" spans="1:8">
      <c r="A39" s="18">
        <v>45870</v>
      </c>
      <c r="B39" s="3" t="s">
        <v>113</v>
      </c>
      <c r="C39" s="9">
        <f>C37-C38</f>
        <v>893228060.70000005</v>
      </c>
      <c r="D39" s="9">
        <f>D37-D38</f>
        <v>971896867.56684065</v>
      </c>
      <c r="E39" s="9">
        <f t="shared" si="4"/>
        <v>-78668806.866840601</v>
      </c>
      <c r="F39" s="13">
        <f t="shared" si="1"/>
        <v>-8.0943574871055218E-2</v>
      </c>
      <c r="G39" s="3" t="str">
        <f t="shared" si="2"/>
        <v>Unfavorable</v>
      </c>
      <c r="H39" t="str">
        <f t="shared" si="3"/>
        <v>Material</v>
      </c>
    </row>
    <row r="40" spans="1:8">
      <c r="A40" s="18">
        <v>45870</v>
      </c>
      <c r="B40" s="3" t="s">
        <v>120</v>
      </c>
      <c r="C40" s="9">
        <f>SUM('03_Actual_Opex'!E226:E257)</f>
        <v>396000000</v>
      </c>
      <c r="D40" s="9">
        <f>SUM('05_Budget'!F955:F986)</f>
        <v>423560000</v>
      </c>
      <c r="E40" s="9">
        <f t="shared" si="4"/>
        <v>-27560000</v>
      </c>
      <c r="F40" s="13">
        <f t="shared" si="1"/>
        <v>-6.5067522901123803E-2</v>
      </c>
      <c r="G40" s="3" t="str">
        <f t="shared" si="2"/>
        <v>Favorable</v>
      </c>
      <c r="H40" t="str">
        <f t="shared" si="3"/>
        <v>Material</v>
      </c>
    </row>
    <row r="41" spans="1:8">
      <c r="A41" s="18">
        <v>45870</v>
      </c>
      <c r="B41" s="3" t="s">
        <v>116</v>
      </c>
      <c r="C41" s="9">
        <f>C39-C40</f>
        <v>497228060.70000005</v>
      </c>
      <c r="D41" s="9">
        <f>D39-D40</f>
        <v>548336867.56684065</v>
      </c>
      <c r="E41" s="9">
        <f t="shared" si="4"/>
        <v>-51108806.866840601</v>
      </c>
      <c r="F41" s="13">
        <f t="shared" si="1"/>
        <v>-9.3206949759967739E-2</v>
      </c>
      <c r="G41" s="3" t="str">
        <f t="shared" si="2"/>
        <v>Unfavorable</v>
      </c>
      <c r="H41" t="str">
        <f t="shared" si="3"/>
        <v>Material</v>
      </c>
    </row>
    <row r="42" spans="1:8">
      <c r="A42" s="18">
        <v>45901</v>
      </c>
      <c r="B42" s="3" t="s">
        <v>46</v>
      </c>
      <c r="C42" s="9">
        <f>SUM('02_Actual_Revenue'!F322:F361)</f>
        <v>1929064000</v>
      </c>
      <c r="D42" s="9">
        <f>SUM('05_Budget'!G322:G361)</f>
        <v>2093726710.8</v>
      </c>
      <c r="E42" s="9">
        <f t="shared" si="4"/>
        <v>-164662710.79999995</v>
      </c>
      <c r="F42" s="13">
        <f t="shared" si="1"/>
        <v>-7.8645751592424096E-2</v>
      </c>
      <c r="G42" s="3" t="str">
        <f t="shared" si="2"/>
        <v>Unfavorable</v>
      </c>
      <c r="H42" t="str">
        <f t="shared" si="3"/>
        <v>Material</v>
      </c>
    </row>
    <row r="43" spans="1:8">
      <c r="A43" s="18">
        <v>45901</v>
      </c>
      <c r="B43" s="3" t="s">
        <v>47</v>
      </c>
      <c r="C43" s="9">
        <f>SUM('02_Actual_Revenue'!G322:G361)</f>
        <v>1053350215</v>
      </c>
      <c r="D43" s="9">
        <f>SUM('05_Budget'!H322:H361)</f>
        <v>1140886644.5580001</v>
      </c>
      <c r="E43" s="9">
        <f t="shared" si="4"/>
        <v>-87536429.558000088</v>
      </c>
      <c r="F43" s="13">
        <f t="shared" si="1"/>
        <v>-7.6726666909062879E-2</v>
      </c>
      <c r="G43" s="3" t="str">
        <f t="shared" si="2"/>
        <v>Favorable</v>
      </c>
      <c r="H43" t="str">
        <f t="shared" si="3"/>
        <v>Material</v>
      </c>
    </row>
    <row r="44" spans="1:8">
      <c r="A44" s="18">
        <v>45901</v>
      </c>
      <c r="B44" s="3" t="s">
        <v>113</v>
      </c>
      <c r="C44" s="9">
        <f>C42-C43</f>
        <v>875713785</v>
      </c>
      <c r="D44" s="9">
        <f>D42-D43</f>
        <v>952840066.24199986</v>
      </c>
      <c r="E44" s="9">
        <f t="shared" si="4"/>
        <v>-77126281.241999865</v>
      </c>
      <c r="F44" s="13">
        <f t="shared" si="1"/>
        <v>-8.0943574871054524E-2</v>
      </c>
      <c r="G44" s="3" t="str">
        <f t="shared" si="2"/>
        <v>Unfavorable</v>
      </c>
      <c r="H44" t="str">
        <f t="shared" si="3"/>
        <v>Material</v>
      </c>
    </row>
    <row r="45" spans="1:8">
      <c r="A45" s="18">
        <v>45901</v>
      </c>
      <c r="B45" s="3" t="s">
        <v>120</v>
      </c>
      <c r="C45" s="9">
        <f>SUM('03_Actual_Opex'!E258:E289)</f>
        <v>396000000</v>
      </c>
      <c r="D45" s="9">
        <f>SUM('05_Budget'!F987:F1018)</f>
        <v>423560000</v>
      </c>
      <c r="E45" s="9">
        <f t="shared" si="4"/>
        <v>-27560000</v>
      </c>
      <c r="F45" s="13">
        <f t="shared" si="1"/>
        <v>-6.5067522901123803E-2</v>
      </c>
      <c r="G45" s="3" t="str">
        <f t="shared" si="2"/>
        <v>Favorable</v>
      </c>
      <c r="H45" t="str">
        <f t="shared" si="3"/>
        <v>Material</v>
      </c>
    </row>
    <row r="46" spans="1:8">
      <c r="A46" s="18">
        <v>45901</v>
      </c>
      <c r="B46" s="3" t="s">
        <v>116</v>
      </c>
      <c r="C46" s="9">
        <f>C44-C45</f>
        <v>479713785</v>
      </c>
      <c r="D46" s="9">
        <f>D44-D45</f>
        <v>529280066.24199986</v>
      </c>
      <c r="E46" s="9">
        <f t="shared" si="4"/>
        <v>-49566281.241999865</v>
      </c>
      <c r="F46" s="13">
        <f t="shared" si="1"/>
        <v>-9.3648494253582834E-2</v>
      </c>
      <c r="G46" s="3" t="str">
        <f t="shared" si="2"/>
        <v>Unfavorable</v>
      </c>
      <c r="H46" t="str">
        <f t="shared" si="3"/>
        <v>Material</v>
      </c>
    </row>
    <row r="47" spans="1:8">
      <c r="A47" s="18">
        <v>45931</v>
      </c>
      <c r="B47" s="3" t="s">
        <v>46</v>
      </c>
      <c r="C47" s="9">
        <f>SUM('02_Actual_Revenue'!F362:F401)</f>
        <v>2025517200</v>
      </c>
      <c r="D47" s="9">
        <f>SUM('05_Budget'!G362:G401)</f>
        <v>2198413046.3399997</v>
      </c>
      <c r="E47" s="9">
        <f t="shared" si="4"/>
        <v>-172895846.33999968</v>
      </c>
      <c r="F47" s="13">
        <f t="shared" si="1"/>
        <v>-7.8645751592423971E-2</v>
      </c>
      <c r="G47" s="3" t="str">
        <f t="shared" si="2"/>
        <v>Unfavorable</v>
      </c>
      <c r="H47" t="str">
        <f t="shared" si="3"/>
        <v>Material</v>
      </c>
    </row>
    <row r="48" spans="1:8">
      <c r="A48" s="18">
        <v>45931</v>
      </c>
      <c r="B48" s="3" t="s">
        <v>47</v>
      </c>
      <c r="C48" s="9">
        <f>SUM('02_Actual_Revenue'!G362:G401)</f>
        <v>1106017725.75</v>
      </c>
      <c r="D48" s="9">
        <f>SUM('05_Budget'!H362:H401)</f>
        <v>1197930976.7859001</v>
      </c>
      <c r="E48" s="9">
        <f t="shared" si="4"/>
        <v>-91913251.035900116</v>
      </c>
      <c r="F48" s="13">
        <f t="shared" si="1"/>
        <v>-7.6726666909062893E-2</v>
      </c>
      <c r="G48" s="3" t="str">
        <f t="shared" si="2"/>
        <v>Favorable</v>
      </c>
      <c r="H48" t="str">
        <f t="shared" si="3"/>
        <v>Material</v>
      </c>
    </row>
    <row r="49" spans="1:8">
      <c r="A49" s="18">
        <v>45931</v>
      </c>
      <c r="B49" s="3" t="s">
        <v>113</v>
      </c>
      <c r="C49" s="9">
        <f>C47-C48</f>
        <v>919499474.25</v>
      </c>
      <c r="D49" s="9">
        <f>D47-D48</f>
        <v>1000482069.5540996</v>
      </c>
      <c r="E49" s="9">
        <f t="shared" si="4"/>
        <v>-80982595.30409956</v>
      </c>
      <c r="F49" s="13">
        <f t="shared" si="1"/>
        <v>-8.0943574871054247E-2</v>
      </c>
      <c r="G49" s="3" t="str">
        <f t="shared" si="2"/>
        <v>Unfavorable</v>
      </c>
      <c r="H49" t="str">
        <f t="shared" si="3"/>
        <v>Material</v>
      </c>
    </row>
    <row r="50" spans="1:8">
      <c r="A50" s="18">
        <v>45931</v>
      </c>
      <c r="B50" s="3" t="s">
        <v>120</v>
      </c>
      <c r="C50" s="9">
        <f>SUM('03_Actual_Opex'!E290:E321)</f>
        <v>396000000</v>
      </c>
      <c r="D50" s="9">
        <f>SUM('05_Budget'!F1019:F1050)</f>
        <v>423560000</v>
      </c>
      <c r="E50" s="9">
        <f t="shared" si="4"/>
        <v>-27560000</v>
      </c>
      <c r="F50" s="13">
        <f t="shared" si="1"/>
        <v>-6.5067522901123803E-2</v>
      </c>
      <c r="G50" s="3" t="str">
        <f t="shared" si="2"/>
        <v>Favorable</v>
      </c>
      <c r="H50" t="str">
        <f t="shared" si="3"/>
        <v>Material</v>
      </c>
    </row>
    <row r="51" spans="1:8">
      <c r="A51" s="18">
        <v>45931</v>
      </c>
      <c r="B51" s="3" t="s">
        <v>116</v>
      </c>
      <c r="C51" s="9">
        <f>C49-C50</f>
        <v>523499474.25</v>
      </c>
      <c r="D51" s="9">
        <f>D49-D50</f>
        <v>576922069.55409956</v>
      </c>
      <c r="E51" s="9">
        <f t="shared" si="4"/>
        <v>-53422595.30409956</v>
      </c>
      <c r="F51" s="13">
        <f t="shared" si="1"/>
        <v>-9.25993268820339E-2</v>
      </c>
      <c r="G51" s="3" t="str">
        <f t="shared" si="2"/>
        <v>Unfavorable</v>
      </c>
      <c r="H51" t="str">
        <f t="shared" si="3"/>
        <v>Material</v>
      </c>
    </row>
    <row r="52" spans="1:8">
      <c r="A52" s="18">
        <v>45962</v>
      </c>
      <c r="B52" s="3" t="s">
        <v>46</v>
      </c>
      <c r="C52" s="9">
        <f>SUM('02_Actual_Revenue'!F402:F441)</f>
        <v>2160551680</v>
      </c>
      <c r="D52" s="9">
        <f>SUM('05_Budget'!G402:G441)</f>
        <v>2344973916.0960007</v>
      </c>
      <c r="E52" s="9">
        <f t="shared" si="4"/>
        <v>-184422236.09600067</v>
      </c>
      <c r="F52" s="13">
        <f t="shared" si="1"/>
        <v>-7.8645751592424373E-2</v>
      </c>
      <c r="G52" s="3" t="str">
        <f t="shared" si="2"/>
        <v>Unfavorable</v>
      </c>
      <c r="H52" t="str">
        <f t="shared" si="3"/>
        <v>Material</v>
      </c>
    </row>
    <row r="53" spans="1:8">
      <c r="A53" s="18">
        <v>45962</v>
      </c>
      <c r="B53" s="3" t="s">
        <v>47</v>
      </c>
      <c r="C53" s="9">
        <f>SUM('02_Actual_Revenue'!G402:G441)</f>
        <v>1179752240.8</v>
      </c>
      <c r="D53" s="9">
        <f>SUM('05_Budget'!H402:H441)</f>
        <v>1277793041.9049599</v>
      </c>
      <c r="E53" s="9">
        <f t="shared" si="4"/>
        <v>-98040801.104959965</v>
      </c>
      <c r="F53" s="13">
        <f t="shared" si="1"/>
        <v>-7.6726666909062782E-2</v>
      </c>
      <c r="G53" s="3" t="str">
        <f t="shared" si="2"/>
        <v>Favorable</v>
      </c>
      <c r="H53" t="str">
        <f t="shared" si="3"/>
        <v>Material</v>
      </c>
    </row>
    <row r="54" spans="1:8">
      <c r="A54" s="18">
        <v>45962</v>
      </c>
      <c r="B54" s="3" t="s">
        <v>113</v>
      </c>
      <c r="C54" s="9">
        <f>C52-C53</f>
        <v>980799439.20000005</v>
      </c>
      <c r="D54" s="9">
        <f>D52-D53</f>
        <v>1067180874.1910408</v>
      </c>
      <c r="E54" s="9">
        <f t="shared" si="4"/>
        <v>-86381434.991040707</v>
      </c>
      <c r="F54" s="13">
        <f t="shared" si="1"/>
        <v>-8.094357487105526E-2</v>
      </c>
      <c r="G54" s="3" t="str">
        <f t="shared" si="2"/>
        <v>Unfavorable</v>
      </c>
      <c r="H54" t="str">
        <f t="shared" si="3"/>
        <v>Material</v>
      </c>
    </row>
    <row r="55" spans="1:8">
      <c r="A55" s="18">
        <v>45962</v>
      </c>
      <c r="B55" s="3" t="s">
        <v>120</v>
      </c>
      <c r="C55" s="9">
        <f>SUM('03_Actual_Opex'!E322:E353)</f>
        <v>396000000</v>
      </c>
      <c r="D55" s="9">
        <f>SUM('05_Budget'!F1051:F1082)</f>
        <v>423560000</v>
      </c>
      <c r="E55" s="9">
        <f t="shared" si="4"/>
        <v>-27560000</v>
      </c>
      <c r="F55" s="13">
        <f t="shared" si="1"/>
        <v>-6.5067522901123803E-2</v>
      </c>
      <c r="G55" s="3" t="str">
        <f t="shared" si="2"/>
        <v>Favorable</v>
      </c>
      <c r="H55" t="str">
        <f t="shared" si="3"/>
        <v>Material</v>
      </c>
    </row>
    <row r="56" spans="1:8">
      <c r="A56" s="18">
        <v>45962</v>
      </c>
      <c r="B56" s="3" t="s">
        <v>116</v>
      </c>
      <c r="C56" s="9">
        <f>C54-C55</f>
        <v>584799439.20000005</v>
      </c>
      <c r="D56" s="9">
        <f>D54-D55</f>
        <v>643620874.19104075</v>
      </c>
      <c r="E56" s="9">
        <f t="shared" si="4"/>
        <v>-58821434.991040707</v>
      </c>
      <c r="F56" s="13">
        <f t="shared" si="1"/>
        <v>-9.1391434538186239E-2</v>
      </c>
      <c r="G56" s="3" t="str">
        <f t="shared" si="2"/>
        <v>Unfavorable</v>
      </c>
      <c r="H56" t="str">
        <f t="shared" si="3"/>
        <v>Material</v>
      </c>
    </row>
    <row r="57" spans="1:8">
      <c r="A57" s="18">
        <v>45992</v>
      </c>
      <c r="B57" s="3" t="s">
        <v>46</v>
      </c>
      <c r="C57" s="9">
        <f>SUM('02_Actual_Revenue'!F442:F481)</f>
        <v>2276295520</v>
      </c>
      <c r="D57" s="9">
        <f>SUM('05_Budget'!G442:G481)</f>
        <v>2470597518.744</v>
      </c>
      <c r="E57" s="9">
        <f t="shared" si="4"/>
        <v>-194301998.74399996</v>
      </c>
      <c r="F57" s="13">
        <f t="shared" si="1"/>
        <v>-7.8645751592424096E-2</v>
      </c>
      <c r="G57" s="3" t="str">
        <f t="shared" si="2"/>
        <v>Unfavorable</v>
      </c>
      <c r="H57" t="str">
        <f t="shared" si="3"/>
        <v>Material</v>
      </c>
    </row>
    <row r="58" spans="1:8">
      <c r="A58" s="18">
        <v>45992</v>
      </c>
      <c r="B58" s="3" t="s">
        <v>47</v>
      </c>
      <c r="C58" s="9">
        <f>SUM('02_Actual_Revenue'!G442:G481)</f>
        <v>1242953253.7</v>
      </c>
      <c r="D58" s="9">
        <f>SUM('05_Budget'!H442:H481)</f>
        <v>1346246240.5784397</v>
      </c>
      <c r="E58" s="9">
        <f t="shared" si="4"/>
        <v>-103292986.87843966</v>
      </c>
      <c r="F58" s="13">
        <f t="shared" si="1"/>
        <v>-7.6726666909062574E-2</v>
      </c>
      <c r="G58" s="3" t="str">
        <f t="shared" si="2"/>
        <v>Favorable</v>
      </c>
      <c r="H58" t="str">
        <f t="shared" si="3"/>
        <v>Material</v>
      </c>
    </row>
    <row r="59" spans="1:8">
      <c r="A59" s="18">
        <v>45992</v>
      </c>
      <c r="B59" s="3" t="s">
        <v>113</v>
      </c>
      <c r="C59" s="9">
        <f>C57-C58</f>
        <v>1033342266.3</v>
      </c>
      <c r="D59" s="9">
        <f>D57-D58</f>
        <v>1124351278.1655602</v>
      </c>
      <c r="E59" s="9">
        <f t="shared" si="4"/>
        <v>-91009011.865560293</v>
      </c>
      <c r="F59" s="13">
        <f t="shared" si="1"/>
        <v>-8.0943574871054899E-2</v>
      </c>
      <c r="G59" s="3" t="str">
        <f t="shared" si="2"/>
        <v>Unfavorable</v>
      </c>
      <c r="H59" t="str">
        <f t="shared" si="3"/>
        <v>Material</v>
      </c>
    </row>
    <row r="60" spans="1:8">
      <c r="A60" s="18">
        <v>45992</v>
      </c>
      <c r="B60" s="3" t="s">
        <v>120</v>
      </c>
      <c r="C60" s="9">
        <f>SUM('03_Actual_Opex'!E354:E385)</f>
        <v>396000000</v>
      </c>
      <c r="D60" s="9">
        <f>SUM('05_Budget'!F1083:F1114)</f>
        <v>423560000</v>
      </c>
      <c r="E60" s="9">
        <f t="shared" si="4"/>
        <v>-27560000</v>
      </c>
      <c r="F60" s="13">
        <f t="shared" si="1"/>
        <v>-6.5067522901123803E-2</v>
      </c>
      <c r="G60" s="3" t="str">
        <f t="shared" si="2"/>
        <v>Favorable</v>
      </c>
      <c r="H60" t="str">
        <f t="shared" si="3"/>
        <v>Material</v>
      </c>
    </row>
    <row r="61" spans="1:8">
      <c r="A61" s="18">
        <v>45992</v>
      </c>
      <c r="B61" s="3" t="s">
        <v>116</v>
      </c>
      <c r="C61" s="9">
        <f>C59-C60</f>
        <v>637342266.29999995</v>
      </c>
      <c r="D61" s="9">
        <f>D59-D60</f>
        <v>700791278.16556025</v>
      </c>
      <c r="E61" s="9">
        <f t="shared" si="4"/>
        <v>-63449011.865560293</v>
      </c>
      <c r="F61" s="13">
        <f t="shared" si="1"/>
        <v>-9.0539100360450861E-2</v>
      </c>
      <c r="G61" s="3" t="str">
        <f t="shared" si="2"/>
        <v>Unfavorable</v>
      </c>
      <c r="H61" t="str">
        <f t="shared" si="3"/>
        <v>Material</v>
      </c>
    </row>
    <row r="62" spans="1:8">
      <c r="A62" s="18">
        <v>46023</v>
      </c>
      <c r="B62" s="3" t="s">
        <v>46</v>
      </c>
      <c r="C62" s="9">
        <f>SUM('02_Actual_Revenue'!F482:F521)</f>
        <v>1774738880</v>
      </c>
      <c r="D62" s="9">
        <f>SUM('05_Budget'!G482:G521)</f>
        <v>1926228573.9360001</v>
      </c>
      <c r="E62" s="9">
        <f t="shared" si="4"/>
        <v>-151489693.93600011</v>
      </c>
      <c r="F62" s="13">
        <f t="shared" si="1"/>
        <v>-7.8645751592424165E-2</v>
      </c>
      <c r="G62" s="3" t="str">
        <f t="shared" si="2"/>
        <v>Unfavorable</v>
      </c>
      <c r="H62" t="str">
        <f t="shared" si="3"/>
        <v>Material</v>
      </c>
    </row>
    <row r="63" spans="1:8">
      <c r="A63" s="18">
        <v>46023</v>
      </c>
      <c r="B63" s="3" t="s">
        <v>47</v>
      </c>
      <c r="C63" s="9">
        <f>SUM('02_Actual_Revenue'!G482:G521)</f>
        <v>969082197.80000007</v>
      </c>
      <c r="D63" s="9">
        <f>SUM('05_Budget'!H482:H521)</f>
        <v>1049615712.99336</v>
      </c>
      <c r="E63" s="9">
        <f t="shared" si="4"/>
        <v>-80533515.193359971</v>
      </c>
      <c r="F63" s="13">
        <f t="shared" si="1"/>
        <v>-7.6726666909062782E-2</v>
      </c>
      <c r="G63" s="3" t="str">
        <f t="shared" si="2"/>
        <v>Favorable</v>
      </c>
      <c r="H63" t="str">
        <f t="shared" si="3"/>
        <v>Material</v>
      </c>
    </row>
    <row r="64" spans="1:8">
      <c r="A64" s="18">
        <v>46023</v>
      </c>
      <c r="B64" s="3" t="s">
        <v>113</v>
      </c>
      <c r="C64" s="9">
        <f>C62-C63</f>
        <v>805656682.19999993</v>
      </c>
      <c r="D64" s="9">
        <f>D62-D63</f>
        <v>876612860.94264007</v>
      </c>
      <c r="E64" s="9">
        <f t="shared" si="4"/>
        <v>-70956178.742640138</v>
      </c>
      <c r="F64" s="13">
        <f t="shared" si="1"/>
        <v>-8.0943574871054802E-2</v>
      </c>
      <c r="G64" s="3" t="str">
        <f t="shared" si="2"/>
        <v>Unfavorable</v>
      </c>
      <c r="H64" t="str">
        <f t="shared" si="3"/>
        <v>Material</v>
      </c>
    </row>
    <row r="65" spans="1:8">
      <c r="A65" s="18">
        <v>46023</v>
      </c>
      <c r="B65" s="3" t="s">
        <v>120</v>
      </c>
      <c r="C65" s="9">
        <f>SUM('03_Actual_Opex'!E386:E417)</f>
        <v>396000000</v>
      </c>
      <c r="D65" s="9">
        <f>SUM('05_Budget'!F1115:F1146)</f>
        <v>423560000</v>
      </c>
      <c r="E65" s="9">
        <f t="shared" si="4"/>
        <v>-27560000</v>
      </c>
      <c r="F65" s="13">
        <f t="shared" si="1"/>
        <v>-6.5067522901123803E-2</v>
      </c>
      <c r="G65" s="3" t="str">
        <f t="shared" si="2"/>
        <v>Favorable</v>
      </c>
      <c r="H65" t="str">
        <f t="shared" si="3"/>
        <v>Material</v>
      </c>
    </row>
    <row r="66" spans="1:8">
      <c r="A66" s="18">
        <v>46023</v>
      </c>
      <c r="B66" s="3" t="s">
        <v>116</v>
      </c>
      <c r="C66" s="9">
        <f>C64-C65</f>
        <v>409656682.19999993</v>
      </c>
      <c r="D66" s="9">
        <f>D64-D65</f>
        <v>453052860.94264007</v>
      </c>
      <c r="E66" s="9">
        <f t="shared" si="4"/>
        <v>-43396178.742640138</v>
      </c>
      <c r="F66" s="13">
        <f t="shared" si="1"/>
        <v>-9.578612670571883E-2</v>
      </c>
      <c r="G66" s="3" t="str">
        <f t="shared" si="2"/>
        <v>Unfavorable</v>
      </c>
      <c r="H66" t="str">
        <f t="shared" si="3"/>
        <v>Material</v>
      </c>
    </row>
    <row r="67" spans="1:8">
      <c r="A67" s="18">
        <v>46054</v>
      </c>
      <c r="B67" s="3" t="s">
        <v>46</v>
      </c>
      <c r="C67" s="9">
        <f>SUM('02_Actual_Revenue'!F522:F561)</f>
        <v>1736157600</v>
      </c>
      <c r="D67" s="9">
        <f>SUM('05_Budget'!G522:G561)</f>
        <v>1884354039.7199996</v>
      </c>
      <c r="E67" s="9">
        <f t="shared" si="4"/>
        <v>-148196439.71999955</v>
      </c>
      <c r="F67" s="13">
        <f t="shared" ref="F67:F91" si="5">IFERROR(E67/D67, 0)</f>
        <v>-7.8645751592423888E-2</v>
      </c>
      <c r="G67" s="3" t="str">
        <f t="shared" ref="G67:G91" si="6">IF(OR(B67="COGS", B67="Operating Expenses"), IF(E67&lt;=0, "Favorable", "Unfavorable"), IF(E67&gt;=0, "Favorable", "Unfavorable"))</f>
        <v>Unfavorable</v>
      </c>
      <c r="H67" t="str">
        <f t="shared" ref="H67:H91" si="7">IF(OR(ABS(F67)&gt;=0.05, ABS(E67)&gt;=5000000), "Material", "Not Material")</f>
        <v>Material</v>
      </c>
    </row>
    <row r="68" spans="1:8">
      <c r="A68" s="18">
        <v>46054</v>
      </c>
      <c r="B68" s="3" t="s">
        <v>47</v>
      </c>
      <c r="C68" s="9">
        <f>SUM('02_Actual_Revenue'!G522:G561)</f>
        <v>948015193.5</v>
      </c>
      <c r="D68" s="9">
        <f>SUM('05_Budget'!H522:H561)</f>
        <v>1026797980.1021998</v>
      </c>
      <c r="E68" s="9">
        <f t="shared" si="4"/>
        <v>-78782786.602199793</v>
      </c>
      <c r="F68" s="13">
        <f t="shared" si="5"/>
        <v>-7.6726666909062616E-2</v>
      </c>
      <c r="G68" s="3" t="str">
        <f t="shared" si="6"/>
        <v>Favorable</v>
      </c>
      <c r="H68" t="str">
        <f t="shared" si="7"/>
        <v>Material</v>
      </c>
    </row>
    <row r="69" spans="1:8">
      <c r="A69" s="18">
        <v>46054</v>
      </c>
      <c r="B69" s="3" t="s">
        <v>113</v>
      </c>
      <c r="C69" s="9">
        <f>C67-C68</f>
        <v>788142406.5</v>
      </c>
      <c r="D69" s="9">
        <f>D67-D68</f>
        <v>857556059.61779976</v>
      </c>
      <c r="E69" s="9">
        <f t="shared" si="4"/>
        <v>-69413653.117799759</v>
      </c>
      <c r="F69" s="13">
        <f t="shared" si="5"/>
        <v>-8.0943574871054386E-2</v>
      </c>
      <c r="G69" s="3" t="str">
        <f t="shared" si="6"/>
        <v>Unfavorable</v>
      </c>
      <c r="H69" t="str">
        <f t="shared" si="7"/>
        <v>Material</v>
      </c>
    </row>
    <row r="70" spans="1:8">
      <c r="A70" s="18">
        <v>46054</v>
      </c>
      <c r="B70" s="3" t="s">
        <v>120</v>
      </c>
      <c r="C70" s="9">
        <f>SUM('03_Actual_Opex'!E418:E449)</f>
        <v>396000000</v>
      </c>
      <c r="D70" s="9">
        <f>SUM('05_Budget'!F1147:F1178)</f>
        <v>423560000</v>
      </c>
      <c r="E70" s="9">
        <f t="shared" si="4"/>
        <v>-27560000</v>
      </c>
      <c r="F70" s="13">
        <f t="shared" si="5"/>
        <v>-6.5067522901123803E-2</v>
      </c>
      <c r="G70" s="3" t="str">
        <f t="shared" si="6"/>
        <v>Favorable</v>
      </c>
      <c r="H70" t="str">
        <f t="shared" si="7"/>
        <v>Material</v>
      </c>
    </row>
    <row r="71" spans="1:8">
      <c r="A71" s="18">
        <v>46054</v>
      </c>
      <c r="B71" s="3" t="s">
        <v>116</v>
      </c>
      <c r="C71" s="9">
        <f>C69-C70</f>
        <v>392142406.5</v>
      </c>
      <c r="D71" s="9">
        <f>D69-D70</f>
        <v>433996059.61779976</v>
      </c>
      <c r="E71" s="9">
        <f t="shared" ref="E71:E91" si="8">C71-D71</f>
        <v>-41853653.117799759</v>
      </c>
      <c r="F71" s="13">
        <f t="shared" si="5"/>
        <v>-9.643786433143732E-2</v>
      </c>
      <c r="G71" s="3" t="str">
        <f t="shared" si="6"/>
        <v>Unfavorable</v>
      </c>
      <c r="H71" t="str">
        <f t="shared" si="7"/>
        <v>Material</v>
      </c>
    </row>
    <row r="72" spans="1:8">
      <c r="A72" s="18">
        <v>46082</v>
      </c>
      <c r="B72" s="3" t="s">
        <v>46</v>
      </c>
      <c r="C72" s="9">
        <f>SUM('02_Actual_Revenue'!F562:F601)</f>
        <v>1851901440</v>
      </c>
      <c r="D72" s="9">
        <f>SUM('05_Budget'!G562:G601)</f>
        <v>2009977642.368</v>
      </c>
      <c r="E72" s="9">
        <f t="shared" si="8"/>
        <v>-158076202.36800003</v>
      </c>
      <c r="F72" s="13">
        <f t="shared" si="5"/>
        <v>-7.8645751592424123E-2</v>
      </c>
      <c r="G72" s="3" t="str">
        <f t="shared" si="6"/>
        <v>Unfavorable</v>
      </c>
      <c r="H72" t="str">
        <f t="shared" si="7"/>
        <v>Material</v>
      </c>
    </row>
    <row r="73" spans="1:8">
      <c r="A73" s="18">
        <v>46082</v>
      </c>
      <c r="B73" s="3" t="s">
        <v>47</v>
      </c>
      <c r="C73" s="9">
        <f>SUM('02_Actual_Revenue'!G562:G601)</f>
        <v>1011216206.4</v>
      </c>
      <c r="D73" s="9">
        <f>SUM('05_Budget'!H562:H601)</f>
        <v>1095251178.7756808</v>
      </c>
      <c r="E73" s="9">
        <f t="shared" si="8"/>
        <v>-84034972.375680804</v>
      </c>
      <c r="F73" s="13">
        <f t="shared" si="5"/>
        <v>-7.672666690906349E-2</v>
      </c>
      <c r="G73" s="3" t="str">
        <f t="shared" si="6"/>
        <v>Favorable</v>
      </c>
      <c r="H73" t="str">
        <f t="shared" si="7"/>
        <v>Material</v>
      </c>
    </row>
    <row r="74" spans="1:8">
      <c r="A74" s="18">
        <v>46082</v>
      </c>
      <c r="B74" s="3" t="s">
        <v>113</v>
      </c>
      <c r="C74" s="9">
        <f>C72-C73</f>
        <v>840685233.60000002</v>
      </c>
      <c r="D74" s="9">
        <f>D72-D73</f>
        <v>914726463.59231925</v>
      </c>
      <c r="E74" s="9">
        <f t="shared" si="8"/>
        <v>-74041229.992319226</v>
      </c>
      <c r="F74" s="13">
        <f t="shared" si="5"/>
        <v>-8.0943574871053872E-2</v>
      </c>
      <c r="G74" s="3" t="str">
        <f t="shared" si="6"/>
        <v>Unfavorable</v>
      </c>
      <c r="H74" t="str">
        <f t="shared" si="7"/>
        <v>Material</v>
      </c>
    </row>
    <row r="75" spans="1:8">
      <c r="A75" s="18">
        <v>46082</v>
      </c>
      <c r="B75" s="3" t="s">
        <v>120</v>
      </c>
      <c r="C75" s="9">
        <f>SUM('03_Actual_Opex'!E450:E481)</f>
        <v>396000000</v>
      </c>
      <c r="D75" s="9">
        <f>SUM('05_Budget'!F1179:F1210)</f>
        <v>423560000</v>
      </c>
      <c r="E75" s="9">
        <f t="shared" si="8"/>
        <v>-27560000</v>
      </c>
      <c r="F75" s="13">
        <f t="shared" si="5"/>
        <v>-6.5067522901123803E-2</v>
      </c>
      <c r="G75" s="3" t="str">
        <f t="shared" si="6"/>
        <v>Favorable</v>
      </c>
      <c r="H75" t="str">
        <f t="shared" si="7"/>
        <v>Material</v>
      </c>
    </row>
    <row r="76" spans="1:8">
      <c r="A76" s="18">
        <v>46082</v>
      </c>
      <c r="B76" s="3" t="s">
        <v>116</v>
      </c>
      <c r="C76" s="9">
        <f>C74-C75</f>
        <v>444685233.60000002</v>
      </c>
      <c r="D76" s="9">
        <f>D74-D75</f>
        <v>491166463.59231925</v>
      </c>
      <c r="E76" s="9">
        <f t="shared" si="8"/>
        <v>-46481229.992319226</v>
      </c>
      <c r="F76" s="13">
        <f t="shared" si="5"/>
        <v>-9.4634372331454289E-2</v>
      </c>
      <c r="G76" s="3" t="str">
        <f t="shared" si="6"/>
        <v>Unfavorable</v>
      </c>
      <c r="H76" t="str">
        <f t="shared" si="7"/>
        <v>Material</v>
      </c>
    </row>
    <row r="77" spans="1:8">
      <c r="A77" s="18">
        <v>46113</v>
      </c>
      <c r="B77" s="3" t="s">
        <v>46</v>
      </c>
      <c r="C77" s="9">
        <f>SUM('02_Actual_Revenue'!F602:F641)</f>
        <v>1832610800</v>
      </c>
      <c r="D77" s="9">
        <f>SUM('05_Budget'!G602:G641)</f>
        <v>1989040375.2600002</v>
      </c>
      <c r="E77" s="9">
        <f t="shared" si="8"/>
        <v>-156429575.26000023</v>
      </c>
      <c r="F77" s="13">
        <f t="shared" si="5"/>
        <v>-7.8645751592424221E-2</v>
      </c>
      <c r="G77" s="3" t="str">
        <f t="shared" si="6"/>
        <v>Unfavorable</v>
      </c>
      <c r="H77" t="str">
        <f t="shared" si="7"/>
        <v>Material</v>
      </c>
    </row>
    <row r="78" spans="1:8">
      <c r="A78" s="18">
        <v>46113</v>
      </c>
      <c r="B78" s="3" t="s">
        <v>47</v>
      </c>
      <c r="C78" s="9">
        <f>SUM('02_Actual_Revenue'!G602:G641)</f>
        <v>1000682704.25</v>
      </c>
      <c r="D78" s="9">
        <f>SUM('05_Budget'!H602:H641)</f>
        <v>1083842312.3300998</v>
      </c>
      <c r="E78" s="9">
        <f t="shared" si="8"/>
        <v>-83159608.080099821</v>
      </c>
      <c r="F78" s="13">
        <f t="shared" si="5"/>
        <v>-7.6726666909062657E-2</v>
      </c>
      <c r="G78" s="3" t="str">
        <f t="shared" si="6"/>
        <v>Favorable</v>
      </c>
      <c r="H78" t="str">
        <f t="shared" si="7"/>
        <v>Material</v>
      </c>
    </row>
    <row r="79" spans="1:8">
      <c r="A79" s="18">
        <v>46113</v>
      </c>
      <c r="B79" s="3" t="s">
        <v>113</v>
      </c>
      <c r="C79" s="9">
        <f>C77-C78</f>
        <v>831928095.75</v>
      </c>
      <c r="D79" s="9">
        <f>D77-D78</f>
        <v>905198062.92990041</v>
      </c>
      <c r="E79" s="9">
        <f t="shared" si="8"/>
        <v>-73269967.179900408</v>
      </c>
      <c r="F79" s="13">
        <f t="shared" si="5"/>
        <v>-8.0943574871055066E-2</v>
      </c>
      <c r="G79" s="3" t="str">
        <f t="shared" si="6"/>
        <v>Unfavorable</v>
      </c>
      <c r="H79" t="str">
        <f t="shared" si="7"/>
        <v>Material</v>
      </c>
    </row>
    <row r="80" spans="1:8">
      <c r="A80" s="18">
        <v>46113</v>
      </c>
      <c r="B80" s="3" t="s">
        <v>120</v>
      </c>
      <c r="C80" s="9">
        <f>SUM('03_Actual_Opex'!E482:E513)</f>
        <v>396000000</v>
      </c>
      <c r="D80" s="9">
        <f>SUM('05_Budget'!F1211:F1242)</f>
        <v>423560000</v>
      </c>
      <c r="E80" s="9">
        <f t="shared" si="8"/>
        <v>-27560000</v>
      </c>
      <c r="F80" s="13">
        <f t="shared" si="5"/>
        <v>-6.5067522901123803E-2</v>
      </c>
      <c r="G80" s="3" t="str">
        <f t="shared" si="6"/>
        <v>Favorable</v>
      </c>
      <c r="H80" t="str">
        <f t="shared" si="7"/>
        <v>Material</v>
      </c>
    </row>
    <row r="81" spans="1:8">
      <c r="A81" s="18">
        <v>46113</v>
      </c>
      <c r="B81" s="3" t="s">
        <v>116</v>
      </c>
      <c r="C81" s="9">
        <f>C79-C80</f>
        <v>435928095.75</v>
      </c>
      <c r="D81" s="9">
        <f>D79-D80</f>
        <v>481638062.92990041</v>
      </c>
      <c r="E81" s="9">
        <f t="shared" si="8"/>
        <v>-45709967.179900408</v>
      </c>
      <c r="F81" s="13">
        <f t="shared" si="5"/>
        <v>-9.4905221779685689E-2</v>
      </c>
      <c r="G81" s="3" t="str">
        <f t="shared" si="6"/>
        <v>Unfavorable</v>
      </c>
      <c r="H81" t="str">
        <f t="shared" si="7"/>
        <v>Material</v>
      </c>
    </row>
    <row r="82" spans="1:8">
      <c r="A82" s="18">
        <v>46143</v>
      </c>
      <c r="B82" s="3" t="s">
        <v>46</v>
      </c>
      <c r="C82" s="9">
        <f>SUM('02_Actual_Revenue'!F642:F681)</f>
        <v>1929064000</v>
      </c>
      <c r="D82" s="9">
        <f>SUM('05_Budget'!G642:G681)</f>
        <v>2093726710.8</v>
      </c>
      <c r="E82" s="9">
        <f t="shared" si="8"/>
        <v>-164662710.79999995</v>
      </c>
      <c r="F82" s="13">
        <f t="shared" si="5"/>
        <v>-7.8645751592424096E-2</v>
      </c>
      <c r="G82" s="3" t="str">
        <f t="shared" si="6"/>
        <v>Unfavorable</v>
      </c>
      <c r="H82" t="str">
        <f t="shared" si="7"/>
        <v>Material</v>
      </c>
    </row>
    <row r="83" spans="1:8">
      <c r="A83" s="18">
        <v>46143</v>
      </c>
      <c r="B83" s="3" t="s">
        <v>47</v>
      </c>
      <c r="C83" s="9">
        <f>SUM('02_Actual_Revenue'!G642:G681)</f>
        <v>1053350215</v>
      </c>
      <c r="D83" s="9">
        <f>SUM('05_Budget'!H642:H681)</f>
        <v>1140886644.5580001</v>
      </c>
      <c r="E83" s="9">
        <f t="shared" si="8"/>
        <v>-87536429.558000088</v>
      </c>
      <c r="F83" s="13">
        <f t="shared" si="5"/>
        <v>-7.6726666909062879E-2</v>
      </c>
      <c r="G83" s="3" t="str">
        <f t="shared" si="6"/>
        <v>Favorable</v>
      </c>
      <c r="H83" t="str">
        <f t="shared" si="7"/>
        <v>Material</v>
      </c>
    </row>
    <row r="84" spans="1:8">
      <c r="A84" s="18">
        <v>46143</v>
      </c>
      <c r="B84" s="3" t="s">
        <v>113</v>
      </c>
      <c r="C84" s="9">
        <f>C82-C83</f>
        <v>875713785</v>
      </c>
      <c r="D84" s="9">
        <f>D82-D83</f>
        <v>952840066.24199986</v>
      </c>
      <c r="E84" s="9">
        <f t="shared" si="8"/>
        <v>-77126281.241999865</v>
      </c>
      <c r="F84" s="13">
        <f t="shared" si="5"/>
        <v>-8.0943574871054524E-2</v>
      </c>
      <c r="G84" s="3" t="str">
        <f t="shared" si="6"/>
        <v>Unfavorable</v>
      </c>
      <c r="H84" t="str">
        <f t="shared" si="7"/>
        <v>Material</v>
      </c>
    </row>
    <row r="85" spans="1:8">
      <c r="A85" s="18">
        <v>46143</v>
      </c>
      <c r="B85" s="3" t="s">
        <v>120</v>
      </c>
      <c r="C85" s="9">
        <f>SUM('03_Actual_Opex'!E514:E545)</f>
        <v>396000000</v>
      </c>
      <c r="D85" s="9">
        <f>SUM('05_Budget'!F1243:F1274)</f>
        <v>423560000</v>
      </c>
      <c r="E85" s="9">
        <f t="shared" si="8"/>
        <v>-27560000</v>
      </c>
      <c r="F85" s="13">
        <f t="shared" si="5"/>
        <v>-6.5067522901123803E-2</v>
      </c>
      <c r="G85" s="3" t="str">
        <f t="shared" si="6"/>
        <v>Favorable</v>
      </c>
      <c r="H85" t="str">
        <f t="shared" si="7"/>
        <v>Material</v>
      </c>
    </row>
    <row r="86" spans="1:8">
      <c r="A86" s="18">
        <v>46143</v>
      </c>
      <c r="B86" s="3" t="s">
        <v>116</v>
      </c>
      <c r="C86" s="9">
        <f>C84-C85</f>
        <v>479713785</v>
      </c>
      <c r="D86" s="9">
        <f>D84-D85</f>
        <v>529280066.24199986</v>
      </c>
      <c r="E86" s="9">
        <f t="shared" si="8"/>
        <v>-49566281.241999865</v>
      </c>
      <c r="F86" s="13">
        <f t="shared" si="5"/>
        <v>-9.3648494253582834E-2</v>
      </c>
      <c r="G86" s="3" t="str">
        <f t="shared" si="6"/>
        <v>Unfavorable</v>
      </c>
      <c r="H86" t="str">
        <f t="shared" si="7"/>
        <v>Material</v>
      </c>
    </row>
    <row r="87" spans="1:8">
      <c r="A87" s="18">
        <v>46174</v>
      </c>
      <c r="B87" s="3" t="s">
        <v>46</v>
      </c>
      <c r="C87" s="9">
        <f>SUM('02_Actual_Revenue'!F682:F721)</f>
        <v>1967645280</v>
      </c>
      <c r="D87" s="9">
        <f>SUM('05_Budget'!G682:G721)</f>
        <v>2135601245.0160005</v>
      </c>
      <c r="E87" s="9">
        <f t="shared" si="8"/>
        <v>-167955965.01600051</v>
      </c>
      <c r="F87" s="13">
        <f t="shared" si="5"/>
        <v>-7.8645751592424332E-2</v>
      </c>
      <c r="G87" s="3" t="str">
        <f t="shared" si="6"/>
        <v>Unfavorable</v>
      </c>
      <c r="H87" t="str">
        <f t="shared" si="7"/>
        <v>Material</v>
      </c>
    </row>
    <row r="88" spans="1:8">
      <c r="A88" s="18">
        <v>46174</v>
      </c>
      <c r="B88" s="3" t="s">
        <v>47</v>
      </c>
      <c r="C88" s="9">
        <f>SUM('02_Actual_Revenue'!G682:G721)</f>
        <v>1074417219.3</v>
      </c>
      <c r="D88" s="9">
        <f>SUM('05_Budget'!H682:H721)</f>
        <v>1163704377.4491599</v>
      </c>
      <c r="E88" s="9">
        <f t="shared" si="8"/>
        <v>-89287158.149159908</v>
      </c>
      <c r="F88" s="13">
        <f t="shared" si="5"/>
        <v>-7.6726666909062741E-2</v>
      </c>
      <c r="G88" s="3" t="str">
        <f t="shared" si="6"/>
        <v>Favorable</v>
      </c>
      <c r="H88" t="str">
        <f t="shared" si="7"/>
        <v>Material</v>
      </c>
    </row>
    <row r="89" spans="1:8">
      <c r="A89" s="18">
        <v>46174</v>
      </c>
      <c r="B89" s="3" t="s">
        <v>113</v>
      </c>
      <c r="C89" s="9">
        <f>C87-C88</f>
        <v>893228060.70000005</v>
      </c>
      <c r="D89" s="9">
        <f>D87-D88</f>
        <v>971896867.56684065</v>
      </c>
      <c r="E89" s="9">
        <f t="shared" si="8"/>
        <v>-78668806.866840601</v>
      </c>
      <c r="F89" s="13">
        <f t="shared" si="5"/>
        <v>-8.0943574871055218E-2</v>
      </c>
      <c r="G89" s="3" t="str">
        <f t="shared" si="6"/>
        <v>Unfavorable</v>
      </c>
      <c r="H89" t="str">
        <f t="shared" si="7"/>
        <v>Material</v>
      </c>
    </row>
    <row r="90" spans="1:8">
      <c r="A90" s="18">
        <v>46174</v>
      </c>
      <c r="B90" s="3" t="s">
        <v>120</v>
      </c>
      <c r="C90" s="9">
        <f>SUM('03_Actual_Opex'!E546:E577)</f>
        <v>396000000</v>
      </c>
      <c r="D90" s="9">
        <f>SUM('05_Budget'!F1275:F1306)</f>
        <v>423560000</v>
      </c>
      <c r="E90" s="9">
        <f t="shared" si="8"/>
        <v>-27560000</v>
      </c>
      <c r="F90" s="13">
        <f t="shared" si="5"/>
        <v>-6.5067522901123803E-2</v>
      </c>
      <c r="G90" s="3" t="str">
        <f t="shared" si="6"/>
        <v>Favorable</v>
      </c>
      <c r="H90" t="str">
        <f t="shared" si="7"/>
        <v>Material</v>
      </c>
    </row>
    <row r="91" spans="1:8">
      <c r="A91" s="18">
        <v>46174</v>
      </c>
      <c r="B91" s="3" t="s">
        <v>116</v>
      </c>
      <c r="C91" s="9">
        <f>C89-C90</f>
        <v>497228060.70000005</v>
      </c>
      <c r="D91" s="9">
        <f>D89-D90</f>
        <v>548336867.56684065</v>
      </c>
      <c r="E91" s="9">
        <f t="shared" si="8"/>
        <v>-51108806.866840601</v>
      </c>
      <c r="F91" s="13">
        <f t="shared" si="5"/>
        <v>-9.3206949759967739E-2</v>
      </c>
      <c r="G91" s="3" t="str">
        <f t="shared" si="6"/>
        <v>Unfavorable</v>
      </c>
      <c r="H91" t="str">
        <f t="shared" si="7"/>
        <v>Material</v>
      </c>
    </row>
  </sheetData>
  <conditionalFormatting sqref="G2:G91">
    <cfRule type="containsText" dxfId="53" priority="2" operator="containsText" text="Favorable">
      <formula>NOT(ISERROR(SEARCH("Favorable",G2)))</formula>
    </cfRule>
  </conditionalFormatting>
  <conditionalFormatting sqref="G2:G91">
    <cfRule type="containsText" dxfId="52" priority="1" operator="containsText" text="Unfavorable">
      <formula>NOT(ISERROR(SEARCH("Unfavorable",G2)))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21.42578125" customWidth="1"/>
  </cols>
  <sheetData>
    <row r="1" spans="1:4">
      <c r="A1" s="6" t="s">
        <v>107</v>
      </c>
      <c r="B1" s="6" t="s">
        <v>36</v>
      </c>
      <c r="C1" s="6" t="s">
        <v>38</v>
      </c>
      <c r="D1" s="6" t="s">
        <v>39</v>
      </c>
    </row>
    <row r="2" spans="1:4">
      <c r="A2" s="3" t="s">
        <v>46</v>
      </c>
      <c r="B2" s="9">
        <f>C2*(1-0.03)</f>
        <v>36353376879.62043</v>
      </c>
      <c r="C2" s="9">
        <f>'07_PnL'!B4</f>
        <v>37477708123.32003</v>
      </c>
      <c r="D2" s="9">
        <f>C2*(1+0.03)</f>
        <v>38602039367.01963</v>
      </c>
    </row>
    <row r="3" spans="1:4">
      <c r="A3" s="3" t="s">
        <v>113</v>
      </c>
      <c r="B3" s="9">
        <f t="shared" ref="B3:B5" si="0">C3*(1-0.03)</f>
        <v>16544162070.159868</v>
      </c>
      <c r="C3" s="9">
        <f>'07_PnL'!B6</f>
        <v>17055837185.731823</v>
      </c>
      <c r="D3" s="9">
        <f>C3*(1+0.03)</f>
        <v>17567512301.30378</v>
      </c>
    </row>
    <row r="4" spans="1:4">
      <c r="A4" s="3" t="s">
        <v>114</v>
      </c>
      <c r="B4" s="13">
        <f>B3/B2</f>
        <v>0.45509285492084411</v>
      </c>
      <c r="C4" s="13">
        <f>'07_PnL'!B7</f>
        <v>0.45509285492084411</v>
      </c>
      <c r="D4" s="13">
        <f>D3/D2</f>
        <v>0.45509285492084417</v>
      </c>
    </row>
    <row r="5" spans="1:4">
      <c r="A5" s="3" t="s">
        <v>116</v>
      </c>
      <c r="B5" s="9">
        <f t="shared" si="0"/>
        <v>9148804470.1598682</v>
      </c>
      <c r="C5" s="9">
        <f>'07_PnL'!B9</f>
        <v>9431757185.731823</v>
      </c>
      <c r="D5" s="9">
        <f>C5*(1+0.03)</f>
        <v>9714709901.3037777</v>
      </c>
    </row>
    <row r="6" spans="1:4">
      <c r="A6" s="3" t="s">
        <v>117</v>
      </c>
      <c r="B6" s="13">
        <f>B5/B2</f>
        <v>0.2516631261094387</v>
      </c>
      <c r="C6" s="13">
        <f>'07_PnL'!B10</f>
        <v>0.2516631261094387</v>
      </c>
      <c r="D6" s="13">
        <f>D5/D2</f>
        <v>0.2516631261094387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22.42578125" bestFit="1" customWidth="1"/>
    <col min="2" max="2" width="21.42578125" customWidth="1"/>
  </cols>
  <sheetData>
    <row r="1" spans="1:2">
      <c r="A1" s="2" t="s">
        <v>127</v>
      </c>
    </row>
    <row r="3" spans="1:2">
      <c r="A3" s="2" t="s">
        <v>107</v>
      </c>
      <c r="B3" s="8" t="s">
        <v>128</v>
      </c>
    </row>
    <row r="4" spans="1:2">
      <c r="A4" t="s">
        <v>46</v>
      </c>
      <c r="B4" s="9">
        <f>'02_Actual_Revenue'!B723</f>
        <v>34530245600</v>
      </c>
    </row>
    <row r="5" spans="1:2">
      <c r="A5" t="s">
        <v>129</v>
      </c>
      <c r="B5" s="9">
        <f>'02_Actual_Revenue'!B723-'05_Budget'!B723</f>
        <v>-2947462523.3200302</v>
      </c>
    </row>
    <row r="6" spans="1:2">
      <c r="A6" t="s">
        <v>114</v>
      </c>
      <c r="B6" s="13">
        <f>'02_Actual_Revenue'!B726</f>
        <v>0.45395787024173395</v>
      </c>
    </row>
    <row r="7" spans="1:2">
      <c r="A7" t="s">
        <v>116</v>
      </c>
      <c r="B7" s="9">
        <f>'02_Actual_Revenue'!B725-'03_Actual_Opex'!B579</f>
        <v>8547276751.5000038</v>
      </c>
    </row>
    <row r="8" spans="1:2">
      <c r="A8" t="s">
        <v>130</v>
      </c>
      <c r="B8" s="9">
        <f>B7-'07_PnL'!B9</f>
        <v>-884480434.23181915</v>
      </c>
    </row>
    <row r="9" spans="1:2">
      <c r="A9" t="s">
        <v>111</v>
      </c>
      <c r="B9" s="9">
        <f>'06_Forecast'!E4</f>
        <v>37245902717.883018</v>
      </c>
    </row>
    <row r="10" spans="1:2">
      <c r="A10" t="s">
        <v>131</v>
      </c>
      <c r="B10" s="9">
        <f>B9-'05_Budget'!B723</f>
        <v>-231805405.43701172</v>
      </c>
    </row>
    <row r="11" spans="1:2">
      <c r="A11" t="s">
        <v>84</v>
      </c>
      <c r="B11" s="7">
        <f>SUM('04_Actual_Headcount'!C138:C145)</f>
        <v>4050</v>
      </c>
    </row>
    <row r="13" spans="1:2">
      <c r="A13" s="19" t="s">
        <v>132</v>
      </c>
    </row>
    <row r="14" spans="1:2">
      <c r="A14" s="27"/>
    </row>
    <row r="15" spans="1:2">
      <c r="A15" s="20" t="s">
        <v>133</v>
      </c>
    </row>
    <row r="16" spans="1:2">
      <c r="A16" s="20" t="s">
        <v>134</v>
      </c>
    </row>
    <row r="17" spans="1:1">
      <c r="A17" s="20" t="s">
        <v>135</v>
      </c>
    </row>
    <row r="19" spans="1:1">
      <c r="A19" s="19" t="s">
        <v>136</v>
      </c>
    </row>
    <row r="20" spans="1:1">
      <c r="A20" s="27"/>
    </row>
    <row r="21" spans="1:1">
      <c r="A21" s="20" t="s">
        <v>137</v>
      </c>
    </row>
    <row r="22" spans="1:1">
      <c r="A22" s="20" t="s">
        <v>138</v>
      </c>
    </row>
    <row r="23" spans="1:1">
      <c r="A23" s="20" t="s">
        <v>139</v>
      </c>
    </row>
    <row r="25" spans="1:1">
      <c r="A25" s="19" t="s">
        <v>140</v>
      </c>
    </row>
    <row r="26" spans="1:1">
      <c r="A26" s="27"/>
    </row>
    <row r="27" spans="1:1">
      <c r="A27" s="20" t="s">
        <v>141</v>
      </c>
    </row>
    <row r="28" spans="1:1">
      <c r="A28" s="20" t="s">
        <v>142</v>
      </c>
    </row>
    <row r="29" spans="1:1">
      <c r="A29" s="20" t="s">
        <v>143</v>
      </c>
    </row>
    <row r="30" spans="1:1">
      <c r="A30" s="20" t="s">
        <v>144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E725"/>
  <sheetViews>
    <sheetView workbookViewId="0"/>
  </sheetViews>
  <sheetFormatPr defaultRowHeight="15"/>
  <cols>
    <col min="1" max="5" width="21.42578125" customWidth="1"/>
  </cols>
  <sheetData>
    <row r="1" spans="1:5">
      <c r="A1" s="2" t="s">
        <v>145</v>
      </c>
      <c r="C1" s="2"/>
      <c r="D1" s="2"/>
      <c r="E1" s="2"/>
    </row>
    <row r="3" spans="1:5">
      <c r="A3" t="s">
        <v>146</v>
      </c>
      <c r="B3" s="9">
        <f>'07_PnL'!B4</f>
        <v>37477708123.32003</v>
      </c>
      <c r="C3" t="str">
        <f>IF(ABS(SUM('05_Budget'!G2:'05_Budget'!G721) - B3) &lt;= 0.01, "PASS", "FAIL")</f>
        <v>PASS</v>
      </c>
    </row>
    <row r="5" spans="1:5">
      <c r="A5" s="2" t="s">
        <v>147</v>
      </c>
    </row>
    <row r="7" spans="1:5">
      <c r="A7" t="s">
        <v>148</v>
      </c>
      <c r="B7" s="9">
        <f>'07_PnL'!B5</f>
        <v>20421870937.588207</v>
      </c>
      <c r="C7" t="str">
        <f>IF(ABS(SUM('05_Budget'!H2:'05_Budget'!H721) - B7) &lt;= 0.01, "PASS", "FAIL")</f>
        <v>PASS</v>
      </c>
    </row>
    <row r="9" spans="1:5">
      <c r="A9" s="2" t="s">
        <v>149</v>
      </c>
    </row>
    <row r="11" spans="1:5">
      <c r="A11" s="16" t="s">
        <v>113</v>
      </c>
      <c r="B11" s="9">
        <f>'07_PnL'!B6</f>
        <v>17055837185.731823</v>
      </c>
      <c r="C11" t="str">
        <f>IF(ABS(('05_Budget'!B723-'05_Budget'!B724) - B11) &lt;= 0.01, "PASS", "FAIL")</f>
        <v>PASS</v>
      </c>
    </row>
    <row r="13" spans="1:5">
      <c r="A13" s="2" t="s">
        <v>150</v>
      </c>
    </row>
    <row r="15" spans="1:5">
      <c r="A15" t="s">
        <v>116</v>
      </c>
      <c r="B15" s="9">
        <f>'07_PnL'!B9</f>
        <v>9431757185.731823</v>
      </c>
      <c r="C15" t="str">
        <f>IF(ABS(('05_Budget'!B725-'05_Budget'!B1308) - B15) &lt;= 0.01, "PASS", "FAIL")</f>
        <v>PASS</v>
      </c>
    </row>
    <row r="17" spans="1:3">
      <c r="A17" s="2" t="s">
        <v>151</v>
      </c>
    </row>
    <row r="19" spans="1:3">
      <c r="A19" t="s">
        <v>152</v>
      </c>
      <c r="B19" s="9">
        <f>'06_Forecast'!E4</f>
        <v>37245902717.883018</v>
      </c>
      <c r="C19" t="str">
        <f>IF(ABS(('06_Forecast'!C4+'06_Forecast'!D4) - B19) &lt;= 0.01, "PASS", "FAIL")</f>
        <v>PASS</v>
      </c>
    </row>
    <row r="23" spans="1:3">
      <c r="A23" s="2" t="s">
        <v>153</v>
      </c>
      <c r="C23" t="str">
        <f>IF(COUNTIF(C3:C19, "FAIL") = 0, "MODEL PASS", "MODEL ERROR")</f>
        <v>MODEL PASS</v>
      </c>
    </row>
    <row r="725" spans="2:2">
      <c r="B725">
        <f>'11_Checks'!C13</f>
        <v>0</v>
      </c>
    </row>
  </sheetData>
  <conditionalFormatting sqref="C3:C19">
    <cfRule type="containsText" dxfId="36" priority="4" operator="containsText" text="PASS">
      <formula>NOT(ISERROR(SEARCH("PASS",C3)))</formula>
    </cfRule>
  </conditionalFormatting>
  <conditionalFormatting sqref="C3:C19">
    <cfRule type="containsText" dxfId="35" priority="3" operator="containsText" text="FAIL">
      <formula>NOT(ISERROR(SEARCH("FAIL",C3)))</formula>
    </cfRule>
  </conditionalFormatting>
  <conditionalFormatting sqref="C23">
    <cfRule type="containsText" dxfId="34" priority="2" operator="containsText" text="MODEL PASS">
      <formula>NOT(ISERROR(SEARCH("MODEL PASS",C23)))</formula>
    </cfRule>
  </conditionalFormatting>
  <conditionalFormatting sqref="C23">
    <cfRule type="containsText" dxfId="33" priority="1" operator="containsText" text="MODEL FAIL">
      <formula>NOT(ISERROR(SEARCH("MODEL FAIL",C23)))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1.42578125" customWidth="1"/>
  </cols>
  <sheetData>
    <row r="1" spans="1:5">
      <c r="A1" s="6" t="s">
        <v>154</v>
      </c>
      <c r="B1" s="3"/>
      <c r="C1" s="3"/>
      <c r="D1" s="3"/>
      <c r="E1" s="3"/>
    </row>
    <row r="2" spans="1:5">
      <c r="A2" s="3"/>
      <c r="B2" s="3"/>
      <c r="C2" s="3"/>
      <c r="D2" s="3"/>
      <c r="E2" s="3"/>
    </row>
    <row r="3" spans="1:5">
      <c r="A3" s="6" t="s">
        <v>155</v>
      </c>
      <c r="B3" s="6" t="s">
        <v>156</v>
      </c>
      <c r="C3" s="6" t="s">
        <v>14</v>
      </c>
      <c r="D3" s="6" t="s">
        <v>157</v>
      </c>
      <c r="E3" s="6" t="s">
        <v>158</v>
      </c>
    </row>
    <row r="4" spans="1:5">
      <c r="A4" s="3" t="s">
        <v>49</v>
      </c>
      <c r="B4" s="3" t="str">
        <f>_xlfn.IFNA(INDEX('02_Actual_Revenue'!$C:$C, MATCH(A4, '02_Actual_Revenue'!$B:$B, 0)), "Not Found")</f>
        <v>R01</v>
      </c>
      <c r="C4" s="9">
        <f>_xlfn.IFNA(INDEX('02_Actual_Revenue'!$D:$D, MATCH(A4, '02_Actual_Revenue'!$B:$B, 0)), "Not Found")</f>
        <v>230000</v>
      </c>
      <c r="D4" s="9">
        <f>_xlfn.IFNA(INDEX('02_Actual_Revenue'!$G:$G, MATCH(A4, '02_Actual_Revenue'!$B:$B, 0)), "Not Found")</f>
        <v>99677400</v>
      </c>
      <c r="E4" s="3" t="str">
        <f>_xlfn.IFNA(IF(ISNUMBER(MATCH(A4, '02_Actual_Revenue'!$B:$B, 0)), "Valid", "Invalid Product ID"), "Invalid Product ID")</f>
        <v>Valid</v>
      </c>
    </row>
    <row r="5" spans="1:5">
      <c r="A5" s="3" t="s">
        <v>54</v>
      </c>
      <c r="B5" s="3" t="str">
        <f>_xlfn.IFNA(INDEX('02_Actual_Revenue'!$C:$C, MATCH(A5, '02_Actual_Revenue'!$B:$B, 0)), "Not Found")</f>
        <v>R01</v>
      </c>
      <c r="C5" s="9">
        <f>_xlfn.IFNA(INDEX('02_Actual_Revenue'!$D:$D, MATCH(A5, '02_Actual_Revenue'!$B:$B, 0)), "Not Found")</f>
        <v>110400</v>
      </c>
      <c r="D5" s="9">
        <f>_xlfn.IFNA(INDEX('02_Actual_Revenue'!$G:$G, MATCH(A5, '02_Actual_Revenue'!$B:$B, 0)), "Not Found")</f>
        <v>63967968</v>
      </c>
      <c r="E5" s="3" t="str">
        <f>_xlfn.IFNA(IF(ISNUMBER(MATCH(A5, '02_Actual_Revenue'!$B:$B, 0)), "Valid", "Invalid Product ID"), "Invalid Product ID")</f>
        <v>Valid</v>
      </c>
    </row>
    <row r="6" spans="1:5">
      <c r="A6" s="3" t="s">
        <v>55</v>
      </c>
      <c r="B6" s="3" t="str">
        <f>_xlfn.IFNA(INDEX('02_Actual_Revenue'!$C:$C, MATCH(A6, '02_Actual_Revenue'!$B:$B, 0)), "Not Found")</f>
        <v>R01</v>
      </c>
      <c r="C6" s="9">
        <f>_xlfn.IFNA(INDEX('02_Actual_Revenue'!$D:$D, MATCH(A6, '02_Actual_Revenue'!$B:$B, 0)), "Not Found")</f>
        <v>128800</v>
      </c>
      <c r="D6" s="9">
        <f>_xlfn.IFNA(INDEX('02_Actual_Revenue'!$G:$G, MATCH(A6, '02_Actual_Revenue'!$B:$B, 0)), "Not Found")</f>
        <v>42426720</v>
      </c>
      <c r="E6" s="3" t="str">
        <f>_xlfn.IFNA(IF(ISNUMBER(MATCH(A6, '02_Actual_Revenue'!$B:$B, 0)), "Valid", "Invalid Product ID"), "Invalid Product ID")</f>
        <v>Valid</v>
      </c>
    </row>
    <row r="7" spans="1:5">
      <c r="A7" s="3" t="s">
        <v>56</v>
      </c>
      <c r="B7" s="3" t="str">
        <f>_xlfn.IFNA(INDEX('02_Actual_Revenue'!$C:$C, MATCH(A7, '02_Actual_Revenue'!$B:$B, 0)), "Not Found")</f>
        <v>R01</v>
      </c>
      <c r="C7" s="9">
        <f>_xlfn.IFNA(INDEX('02_Actual_Revenue'!$D:$D, MATCH(A7, '02_Actual_Revenue'!$B:$B, 0)), "Not Found")</f>
        <v>64400</v>
      </c>
      <c r="D7" s="9">
        <f>_xlfn.IFNA(INDEX('02_Actual_Revenue'!$G:$G, MATCH(A7, '02_Actual_Revenue'!$B:$B, 0)), "Not Found")</f>
        <v>42468580</v>
      </c>
      <c r="E7" s="3" t="str">
        <f>_xlfn.IFNA(IF(ISNUMBER(MATCH(A7, '02_Actual_Revenue'!$B:$B, 0)), "Valid", "Invalid Product ID"), "Invalid Product ID")</f>
        <v>Valid</v>
      </c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</sheetData>
  <conditionalFormatting sqref="E4:E7">
    <cfRule type="containsText" dxfId="32" priority="2" operator="containsText" text="Valid">
      <formula>NOT(ISERROR(SEARCH("Valid",E4)))</formula>
    </cfRule>
  </conditionalFormatting>
  <conditionalFormatting sqref="E4:E7">
    <cfRule type="containsText" dxfId="31" priority="1" operator="containsText" text="Invalid">
      <formula>NOT(ISERROR(SEARCH("Invalid",E4)))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K386"/>
  <sheetViews>
    <sheetView workbookViewId="0"/>
  </sheetViews>
  <sheetFormatPr defaultRowHeight="15"/>
  <cols>
    <col min="1" max="11" width="21.42578125" customWidth="1"/>
  </cols>
  <sheetData>
    <row r="1" spans="1:11">
      <c r="A1" s="6" t="s">
        <v>159</v>
      </c>
      <c r="B1" s="3"/>
      <c r="C1" s="3"/>
    </row>
    <row r="2" spans="1:11">
      <c r="A2" s="3"/>
      <c r="B2" s="3"/>
      <c r="C2" s="3"/>
    </row>
    <row r="3" spans="1:11">
      <c r="A3" s="6" t="s">
        <v>160</v>
      </c>
      <c r="B3" s="6" t="s">
        <v>161</v>
      </c>
      <c r="C3" s="3"/>
      <c r="D3" s="6" t="s">
        <v>162</v>
      </c>
      <c r="E3" s="3"/>
      <c r="F3" s="3"/>
      <c r="G3" s="3"/>
      <c r="H3" s="3"/>
      <c r="I3" s="3"/>
      <c r="J3" s="3"/>
      <c r="K3" s="3"/>
    </row>
    <row r="4" spans="1:11">
      <c r="A4" s="9" cm="1">
        <f t="array" ref="A4:A383">_xlfn._xlws.SORT(_xlfn.UNIQUE('05_Budget'!D2:D721))</f>
        <v>34650</v>
      </c>
      <c r="B4" s="3" t="str" cm="1">
        <f t="array" ref="B4:B13">_xlfn._xlws.SORT(_xlfn.UNIQUE('05_Budget'!B2:B721))</f>
        <v>P001</v>
      </c>
      <c r="C4" s="3"/>
      <c r="D4" s="5" cm="1">
        <f t="array" ref="D4:K93">_xlfn._xlws.SORT(_xlfn._xlws.FILTER('08_Variance'!A2:H91,'08_Variance'!H2:H91="Material","No material variances"),5,-1)</f>
        <v>45658</v>
      </c>
      <c r="E4" s="3" t="str">
        <v>Operating Expenses</v>
      </c>
      <c r="F4" s="9">
        <v>396000000</v>
      </c>
      <c r="G4" s="9">
        <v>423560000</v>
      </c>
      <c r="H4" s="9">
        <v>-27560000</v>
      </c>
      <c r="I4" s="13">
        <v>-6.5067522901123803E-2</v>
      </c>
      <c r="J4" s="3" t="str">
        <v>Favorable</v>
      </c>
      <c r="K4" s="3" t="str">
        <v>Material</v>
      </c>
    </row>
    <row r="5" spans="1:11">
      <c r="A5" s="9">
        <v>35420</v>
      </c>
      <c r="B5" s="3" t="str">
        <v>P002</v>
      </c>
      <c r="C5" s="3"/>
      <c r="D5" s="5">
        <v>45689</v>
      </c>
      <c r="E5" s="3" t="str">
        <v>Operating Expenses</v>
      </c>
      <c r="F5" s="9">
        <v>396000000</v>
      </c>
      <c r="G5" s="9">
        <v>423560000</v>
      </c>
      <c r="H5" s="9">
        <v>-27560000</v>
      </c>
      <c r="I5" s="13">
        <v>-6.5067522901123803E-2</v>
      </c>
      <c r="J5" s="3" t="str">
        <v>Favorable</v>
      </c>
      <c r="K5" s="3" t="str">
        <v>Material</v>
      </c>
    </row>
    <row r="6" spans="1:11">
      <c r="A6" s="9">
        <v>36575</v>
      </c>
      <c r="B6" s="3" t="str">
        <v>P003</v>
      </c>
      <c r="C6" s="3"/>
      <c r="D6" s="5">
        <v>45717</v>
      </c>
      <c r="E6" s="3" t="str">
        <v>Operating Expenses</v>
      </c>
      <c r="F6" s="9">
        <v>396000000</v>
      </c>
      <c r="G6" s="9">
        <v>423560000</v>
      </c>
      <c r="H6" s="9">
        <v>-27560000</v>
      </c>
      <c r="I6" s="13">
        <v>-6.5067522901123803E-2</v>
      </c>
      <c r="J6" s="3" t="str">
        <v>Favorable</v>
      </c>
      <c r="K6" s="3" t="str">
        <v>Material</v>
      </c>
    </row>
    <row r="7" spans="1:11">
      <c r="A7" s="9">
        <v>36960</v>
      </c>
      <c r="B7" s="3" t="str">
        <v>P004</v>
      </c>
      <c r="C7" s="3"/>
      <c r="D7" s="5">
        <v>45748</v>
      </c>
      <c r="E7" s="3" t="str">
        <v>Operating Expenses</v>
      </c>
      <c r="F7" s="9">
        <v>396000000</v>
      </c>
      <c r="G7" s="9">
        <v>423560000</v>
      </c>
      <c r="H7" s="9">
        <v>-27560000</v>
      </c>
      <c r="I7" s="13">
        <v>-6.5067522901123803E-2</v>
      </c>
      <c r="J7" s="3" t="str">
        <v>Favorable</v>
      </c>
      <c r="K7" s="3" t="str">
        <v>Material</v>
      </c>
    </row>
    <row r="8" spans="1:11">
      <c r="A8" s="9">
        <v>38500</v>
      </c>
      <c r="B8" s="3" t="str">
        <v>P005</v>
      </c>
      <c r="C8" s="3"/>
      <c r="D8" s="5">
        <v>45778</v>
      </c>
      <c r="E8" s="3" t="str">
        <v>Operating Expenses</v>
      </c>
      <c r="F8" s="9">
        <v>396000000</v>
      </c>
      <c r="G8" s="9">
        <v>423560000</v>
      </c>
      <c r="H8" s="9">
        <v>-27560000</v>
      </c>
      <c r="I8" s="13">
        <v>-6.5067522901123803E-2</v>
      </c>
      <c r="J8" s="3" t="str">
        <v>Favorable</v>
      </c>
      <c r="K8" s="3" t="str">
        <v>Material</v>
      </c>
    </row>
    <row r="9" spans="1:11">
      <c r="A9" s="9">
        <v>39270</v>
      </c>
      <c r="B9" s="3" t="str">
        <v>P006</v>
      </c>
      <c r="C9" s="3"/>
      <c r="D9" s="5">
        <v>45809</v>
      </c>
      <c r="E9" s="3" t="str">
        <v>Operating Expenses</v>
      </c>
      <c r="F9" s="9">
        <v>396000000</v>
      </c>
      <c r="G9" s="9">
        <v>423560000</v>
      </c>
      <c r="H9" s="9">
        <v>-27560000</v>
      </c>
      <c r="I9" s="13">
        <v>-6.5067522901123803E-2</v>
      </c>
      <c r="J9" s="3" t="str">
        <v>Favorable</v>
      </c>
      <c r="K9" s="3" t="str">
        <v>Material</v>
      </c>
    </row>
    <row r="10" spans="1:11">
      <c r="A10" s="9">
        <v>39655</v>
      </c>
      <c r="B10" s="3" t="str">
        <v>P007</v>
      </c>
      <c r="C10" s="3"/>
      <c r="D10" s="5">
        <v>45839</v>
      </c>
      <c r="E10" s="3" t="str">
        <v>Operating Expenses</v>
      </c>
      <c r="F10" s="9">
        <v>396000000</v>
      </c>
      <c r="G10" s="9">
        <v>423560000</v>
      </c>
      <c r="H10" s="9">
        <v>-27560000</v>
      </c>
      <c r="I10" s="13">
        <v>-6.5067522901123803E-2</v>
      </c>
      <c r="J10" s="3" t="str">
        <v>Favorable</v>
      </c>
      <c r="K10" s="3" t="str">
        <v>Material</v>
      </c>
    </row>
    <row r="11" spans="1:11">
      <c r="A11" s="9">
        <v>40425</v>
      </c>
      <c r="B11" s="3" t="str">
        <v>P008</v>
      </c>
      <c r="C11" s="3"/>
      <c r="D11" s="5">
        <v>45870</v>
      </c>
      <c r="E11" s="3" t="str">
        <v>Operating Expenses</v>
      </c>
      <c r="F11" s="9">
        <v>396000000</v>
      </c>
      <c r="G11" s="9">
        <v>423560000</v>
      </c>
      <c r="H11" s="9">
        <v>-27560000</v>
      </c>
      <c r="I11" s="13">
        <v>-6.5067522901123803E-2</v>
      </c>
      <c r="J11" s="3" t="str">
        <v>Favorable</v>
      </c>
      <c r="K11" s="3" t="str">
        <v>Material</v>
      </c>
    </row>
    <row r="12" spans="1:11">
      <c r="A12" s="9">
        <v>43120</v>
      </c>
      <c r="B12" s="3" t="str">
        <v>P009</v>
      </c>
      <c r="C12" s="3"/>
      <c r="D12" s="5">
        <v>45901</v>
      </c>
      <c r="E12" s="3" t="str">
        <v>Operating Expenses</v>
      </c>
      <c r="F12" s="9">
        <v>396000000</v>
      </c>
      <c r="G12" s="9">
        <v>423560000</v>
      </c>
      <c r="H12" s="9">
        <v>-27560000</v>
      </c>
      <c r="I12" s="13">
        <v>-6.5067522901123803E-2</v>
      </c>
      <c r="J12" s="3" t="str">
        <v>Favorable</v>
      </c>
      <c r="K12" s="3" t="str">
        <v>Material</v>
      </c>
    </row>
    <row r="13" spans="1:11">
      <c r="A13" s="9">
        <v>45430</v>
      </c>
      <c r="B13" s="3" t="str">
        <v>P010</v>
      </c>
      <c r="C13" s="3"/>
      <c r="D13" s="5">
        <v>45931</v>
      </c>
      <c r="E13" s="3" t="str">
        <v>Operating Expenses</v>
      </c>
      <c r="F13" s="9">
        <v>396000000</v>
      </c>
      <c r="G13" s="9">
        <v>423560000</v>
      </c>
      <c r="H13" s="9">
        <v>-27560000</v>
      </c>
      <c r="I13" s="13">
        <v>-6.5067522901123803E-2</v>
      </c>
      <c r="J13" s="3" t="str">
        <v>Favorable</v>
      </c>
      <c r="K13" s="3" t="str">
        <v>Material</v>
      </c>
    </row>
    <row r="14" spans="1:11">
      <c r="A14" s="9">
        <v>53550</v>
      </c>
      <c r="B14" s="3"/>
      <c r="C14" s="3"/>
      <c r="D14" s="5">
        <v>45962</v>
      </c>
      <c r="E14" s="3" t="str">
        <v>Operating Expenses</v>
      </c>
      <c r="F14" s="9">
        <v>396000000</v>
      </c>
      <c r="G14" s="9">
        <v>423560000</v>
      </c>
      <c r="H14" s="9">
        <v>-27560000</v>
      </c>
      <c r="I14" s="13">
        <v>-6.5067522901123803E-2</v>
      </c>
      <c r="J14" s="3" t="str">
        <v>Favorable</v>
      </c>
      <c r="K14" s="3" t="str">
        <v>Material</v>
      </c>
    </row>
    <row r="15" spans="1:11">
      <c r="A15" s="9">
        <v>54740</v>
      </c>
      <c r="B15" s="3"/>
      <c r="C15" s="3"/>
      <c r="D15" s="5">
        <v>45992</v>
      </c>
      <c r="E15" s="3" t="str">
        <v>Operating Expenses</v>
      </c>
      <c r="F15" s="9">
        <v>396000000</v>
      </c>
      <c r="G15" s="9">
        <v>423560000</v>
      </c>
      <c r="H15" s="9">
        <v>-27560000</v>
      </c>
      <c r="I15" s="13">
        <v>-6.5067522901123803E-2</v>
      </c>
      <c r="J15" s="3" t="str">
        <v>Favorable</v>
      </c>
      <c r="K15" s="3" t="str">
        <v>Material</v>
      </c>
    </row>
    <row r="16" spans="1:11">
      <c r="A16" s="9">
        <v>56525</v>
      </c>
      <c r="B16" s="3"/>
      <c r="C16" s="3"/>
      <c r="D16" s="5">
        <v>46023</v>
      </c>
      <c r="E16" s="3" t="str">
        <v>Operating Expenses</v>
      </c>
      <c r="F16" s="9">
        <v>396000000</v>
      </c>
      <c r="G16" s="9">
        <v>423560000</v>
      </c>
      <c r="H16" s="9">
        <v>-27560000</v>
      </c>
      <c r="I16" s="13">
        <v>-6.5067522901123803E-2</v>
      </c>
      <c r="J16" s="3" t="str">
        <v>Favorable</v>
      </c>
      <c r="K16" s="3" t="str">
        <v>Material</v>
      </c>
    </row>
    <row r="17" spans="1:11">
      <c r="A17" s="9">
        <v>57120</v>
      </c>
      <c r="B17" s="3"/>
      <c r="C17" s="3"/>
      <c r="D17" s="5">
        <v>46054</v>
      </c>
      <c r="E17" s="3" t="str">
        <v>Operating Expenses</v>
      </c>
      <c r="F17" s="9">
        <v>396000000</v>
      </c>
      <c r="G17" s="9">
        <v>423560000</v>
      </c>
      <c r="H17" s="9">
        <v>-27560000</v>
      </c>
      <c r="I17" s="13">
        <v>-6.5067522901123803E-2</v>
      </c>
      <c r="J17" s="3" t="str">
        <v>Favorable</v>
      </c>
      <c r="K17" s="3" t="str">
        <v>Material</v>
      </c>
    </row>
    <row r="18" spans="1:11">
      <c r="A18" s="9">
        <v>59400</v>
      </c>
      <c r="B18" s="3"/>
      <c r="C18" s="3"/>
      <c r="D18" s="5">
        <v>46082</v>
      </c>
      <c r="E18" s="3" t="str">
        <v>Operating Expenses</v>
      </c>
      <c r="F18" s="9">
        <v>396000000</v>
      </c>
      <c r="G18" s="9">
        <v>423560000</v>
      </c>
      <c r="H18" s="9">
        <v>-27560000</v>
      </c>
      <c r="I18" s="13">
        <v>-6.5067522901123803E-2</v>
      </c>
      <c r="J18" s="3" t="str">
        <v>Favorable</v>
      </c>
      <c r="K18" s="3" t="str">
        <v>Material</v>
      </c>
    </row>
    <row r="19" spans="1:11">
      <c r="A19" s="9">
        <v>59500</v>
      </c>
      <c r="B19" s="3"/>
      <c r="C19" s="3"/>
      <c r="D19" s="5">
        <v>46113</v>
      </c>
      <c r="E19" s="3" t="str">
        <v>Operating Expenses</v>
      </c>
      <c r="F19" s="9">
        <v>396000000</v>
      </c>
      <c r="G19" s="9">
        <v>423560000</v>
      </c>
      <c r="H19" s="9">
        <v>-27560000</v>
      </c>
      <c r="I19" s="13">
        <v>-6.5067522901123803E-2</v>
      </c>
      <c r="J19" s="3" t="str">
        <v>Favorable</v>
      </c>
      <c r="K19" s="3" t="str">
        <v>Material</v>
      </c>
    </row>
    <row r="20" spans="1:11">
      <c r="A20" s="9">
        <v>59850</v>
      </c>
      <c r="B20" s="3"/>
      <c r="C20" s="3"/>
      <c r="D20" s="5">
        <v>46143</v>
      </c>
      <c r="E20" s="3" t="str">
        <v>Operating Expenses</v>
      </c>
      <c r="F20" s="9">
        <v>396000000</v>
      </c>
      <c r="G20" s="9">
        <v>423560000</v>
      </c>
      <c r="H20" s="9">
        <v>-27560000</v>
      </c>
      <c r="I20" s="13">
        <v>-6.5067522901123803E-2</v>
      </c>
      <c r="J20" s="3" t="str">
        <v>Favorable</v>
      </c>
      <c r="K20" s="3" t="str">
        <v>Material</v>
      </c>
    </row>
    <row r="21" spans="1:11">
      <c r="A21" s="9">
        <v>60690</v>
      </c>
      <c r="B21" s="3"/>
      <c r="C21" s="3"/>
      <c r="D21" s="5">
        <v>46174</v>
      </c>
      <c r="E21" s="3" t="str">
        <v>Operating Expenses</v>
      </c>
      <c r="F21" s="9">
        <v>396000000</v>
      </c>
      <c r="G21" s="9">
        <v>423560000</v>
      </c>
      <c r="H21" s="9">
        <v>-27560000</v>
      </c>
      <c r="I21" s="13">
        <v>-6.5067522901123803E-2</v>
      </c>
      <c r="J21" s="3" t="str">
        <v>Favorable</v>
      </c>
      <c r="K21" s="3" t="str">
        <v>Material</v>
      </c>
    </row>
    <row r="22" spans="1:11">
      <c r="A22" s="9">
        <v>60720</v>
      </c>
      <c r="B22" s="3"/>
      <c r="C22" s="3"/>
      <c r="D22" s="5">
        <v>45689</v>
      </c>
      <c r="E22" s="3" t="str">
        <v>EBIT</v>
      </c>
      <c r="F22" s="9">
        <v>392142406.5</v>
      </c>
      <c r="G22" s="9">
        <v>433996059.61779976</v>
      </c>
      <c r="H22" s="9">
        <v>-41853653.117799759</v>
      </c>
      <c r="I22" s="13">
        <v>-9.643786433143732E-2</v>
      </c>
      <c r="J22" s="3" t="str">
        <v>Unfavorable</v>
      </c>
      <c r="K22" s="3" t="str">
        <v>Material</v>
      </c>
    </row>
    <row r="23" spans="1:11">
      <c r="A23" s="9">
        <v>61180</v>
      </c>
      <c r="B23" s="3"/>
      <c r="C23" s="3"/>
      <c r="D23" s="5">
        <v>46054</v>
      </c>
      <c r="E23" s="3" t="str">
        <v>EBIT</v>
      </c>
      <c r="F23" s="9">
        <v>392142406.5</v>
      </c>
      <c r="G23" s="9">
        <v>433996059.61779976</v>
      </c>
      <c r="H23" s="9">
        <v>-41853653.117799759</v>
      </c>
      <c r="I23" s="13">
        <v>-9.643786433143732E-2</v>
      </c>
      <c r="J23" s="3" t="str">
        <v>Unfavorable</v>
      </c>
      <c r="K23" s="3" t="str">
        <v>Material</v>
      </c>
    </row>
    <row r="24" spans="1:11">
      <c r="A24" s="9">
        <v>61285</v>
      </c>
      <c r="B24" s="3"/>
      <c r="C24" s="3"/>
      <c r="D24" s="5">
        <v>45658</v>
      </c>
      <c r="E24" s="3" t="str">
        <v>EBIT</v>
      </c>
      <c r="F24" s="9">
        <v>409656682.19999993</v>
      </c>
      <c r="G24" s="9">
        <v>453052860.94264007</v>
      </c>
      <c r="H24" s="9">
        <v>-43396178.742640138</v>
      </c>
      <c r="I24" s="13">
        <v>-9.578612670571883E-2</v>
      </c>
      <c r="J24" s="3" t="str">
        <v>Unfavorable</v>
      </c>
      <c r="K24" s="3" t="str">
        <v>Material</v>
      </c>
    </row>
    <row r="25" spans="1:11">
      <c r="A25" s="9">
        <v>62475</v>
      </c>
      <c r="B25" s="3"/>
      <c r="C25" s="3"/>
      <c r="D25" s="5">
        <v>46023</v>
      </c>
      <c r="E25" s="3" t="str">
        <v>EBIT</v>
      </c>
      <c r="F25" s="9">
        <v>409656682.19999993</v>
      </c>
      <c r="G25" s="9">
        <v>453052860.94264007</v>
      </c>
      <c r="H25" s="9">
        <v>-43396178.742640138</v>
      </c>
      <c r="I25" s="13">
        <v>-9.578612670571883E-2</v>
      </c>
      <c r="J25" s="3" t="str">
        <v>Unfavorable</v>
      </c>
      <c r="K25" s="3" t="str">
        <v>Material</v>
      </c>
    </row>
    <row r="26" spans="1:11">
      <c r="A26" s="9">
        <v>62700</v>
      </c>
      <c r="B26" s="3"/>
      <c r="C26" s="3"/>
      <c r="D26" s="5">
        <v>45748</v>
      </c>
      <c r="E26" s="3" t="str">
        <v>EBIT</v>
      </c>
      <c r="F26" s="9">
        <v>435928095.75</v>
      </c>
      <c r="G26" s="9">
        <v>481638062.92990041</v>
      </c>
      <c r="H26" s="9">
        <v>-45709967.179900408</v>
      </c>
      <c r="I26" s="13">
        <v>-9.4905221779685689E-2</v>
      </c>
      <c r="J26" s="3" t="str">
        <v>Unfavorable</v>
      </c>
      <c r="K26" s="3" t="str">
        <v>Material</v>
      </c>
    </row>
    <row r="27" spans="1:11">
      <c r="A27" s="9">
        <v>63000</v>
      </c>
      <c r="B27" s="3"/>
      <c r="C27" s="3"/>
      <c r="D27" s="5">
        <v>46113</v>
      </c>
      <c r="E27" s="3" t="str">
        <v>EBIT</v>
      </c>
      <c r="F27" s="9">
        <v>435928095.75</v>
      </c>
      <c r="G27" s="9">
        <v>481638062.92990041</v>
      </c>
      <c r="H27" s="9">
        <v>-45709967.179900408</v>
      </c>
      <c r="I27" s="13">
        <v>-9.4905221779685689E-2</v>
      </c>
      <c r="J27" s="3" t="str">
        <v>Unfavorable</v>
      </c>
      <c r="K27" s="3" t="str">
        <v>Material</v>
      </c>
    </row>
    <row r="28" spans="1:11">
      <c r="A28" s="9">
        <v>63175</v>
      </c>
      <c r="B28" s="3"/>
      <c r="C28" s="3"/>
      <c r="D28" s="5">
        <v>45717</v>
      </c>
      <c r="E28" s="3" t="str">
        <v>EBIT</v>
      </c>
      <c r="F28" s="9">
        <v>444685233.60000002</v>
      </c>
      <c r="G28" s="9">
        <v>491166463.59231925</v>
      </c>
      <c r="H28" s="9">
        <v>-46481229.992319226</v>
      </c>
      <c r="I28" s="13">
        <v>-9.4634372331454289E-2</v>
      </c>
      <c r="J28" s="3" t="str">
        <v>Unfavorable</v>
      </c>
      <c r="K28" s="3" t="str">
        <v>Material</v>
      </c>
    </row>
    <row r="29" spans="1:11">
      <c r="A29" s="9">
        <v>63360</v>
      </c>
      <c r="B29" s="3"/>
      <c r="C29" s="3"/>
      <c r="D29" s="5">
        <v>46082</v>
      </c>
      <c r="E29" s="3" t="str">
        <v>EBIT</v>
      </c>
      <c r="F29" s="9">
        <v>444685233.60000002</v>
      </c>
      <c r="G29" s="9">
        <v>491166463.59231925</v>
      </c>
      <c r="H29" s="9">
        <v>-46481229.992319226</v>
      </c>
      <c r="I29" s="13">
        <v>-9.4634372331454289E-2</v>
      </c>
      <c r="J29" s="3" t="str">
        <v>Unfavorable</v>
      </c>
      <c r="K29" s="3" t="str">
        <v>Material</v>
      </c>
    </row>
    <row r="30" spans="1:11">
      <c r="A30" s="9">
        <v>63840</v>
      </c>
      <c r="B30" s="3"/>
      <c r="C30" s="3"/>
      <c r="D30" s="5">
        <v>45778</v>
      </c>
      <c r="E30" s="3" t="str">
        <v>EBIT</v>
      </c>
      <c r="F30" s="9">
        <v>479713785</v>
      </c>
      <c r="G30" s="9">
        <v>529280066.24199986</v>
      </c>
      <c r="H30" s="9">
        <v>-49566281.241999865</v>
      </c>
      <c r="I30" s="13">
        <v>-9.3648494253582834E-2</v>
      </c>
      <c r="J30" s="3" t="str">
        <v>Unfavorable</v>
      </c>
      <c r="K30" s="3" t="str">
        <v>Material</v>
      </c>
    </row>
    <row r="31" spans="1:11">
      <c r="A31" s="9">
        <v>64400</v>
      </c>
      <c r="B31" s="3"/>
      <c r="C31" s="3"/>
      <c r="D31" s="5">
        <v>45901</v>
      </c>
      <c r="E31" s="3" t="str">
        <v>EBIT</v>
      </c>
      <c r="F31" s="9">
        <v>479713785</v>
      </c>
      <c r="G31" s="9">
        <v>529280066.24199986</v>
      </c>
      <c r="H31" s="9">
        <v>-49566281.241999865</v>
      </c>
      <c r="I31" s="13">
        <v>-9.3648494253582834E-2</v>
      </c>
      <c r="J31" s="3" t="str">
        <v>Unfavorable</v>
      </c>
      <c r="K31" s="3" t="str">
        <v>Material</v>
      </c>
    </row>
    <row r="32" spans="1:11">
      <c r="A32" s="9">
        <v>66000</v>
      </c>
      <c r="B32" s="3"/>
      <c r="C32" s="3"/>
      <c r="D32" s="5">
        <v>46143</v>
      </c>
      <c r="E32" s="3" t="str">
        <v>EBIT</v>
      </c>
      <c r="F32" s="9">
        <v>479713785</v>
      </c>
      <c r="G32" s="9">
        <v>529280066.24199986</v>
      </c>
      <c r="H32" s="9">
        <v>-49566281.241999865</v>
      </c>
      <c r="I32" s="13">
        <v>-9.3648494253582834E-2</v>
      </c>
      <c r="J32" s="3" t="str">
        <v>Unfavorable</v>
      </c>
      <c r="K32" s="3" t="str">
        <v>Material</v>
      </c>
    </row>
    <row r="33" spans="1:11">
      <c r="A33" s="9">
        <v>66500</v>
      </c>
      <c r="B33" s="3"/>
      <c r="C33" s="3"/>
      <c r="D33" s="5">
        <v>45809</v>
      </c>
      <c r="E33" s="3" t="str">
        <v>EBIT</v>
      </c>
      <c r="F33" s="9">
        <v>497228060.70000005</v>
      </c>
      <c r="G33" s="9">
        <v>548336867.56684065</v>
      </c>
      <c r="H33" s="9">
        <v>-51108806.866840601</v>
      </c>
      <c r="I33" s="13">
        <v>-9.3206949759967739E-2</v>
      </c>
      <c r="J33" s="3" t="str">
        <v>Unfavorable</v>
      </c>
      <c r="K33" s="3" t="str">
        <v>Material</v>
      </c>
    </row>
    <row r="34" spans="1:11">
      <c r="A34" s="9">
        <v>66640</v>
      </c>
      <c r="B34" s="3"/>
      <c r="C34" s="3"/>
      <c r="D34" s="5">
        <v>45870</v>
      </c>
      <c r="E34" s="3" t="str">
        <v>EBIT</v>
      </c>
      <c r="F34" s="9">
        <v>497228060.70000005</v>
      </c>
      <c r="G34" s="9">
        <v>548336867.56684065</v>
      </c>
      <c r="H34" s="9">
        <v>-51108806.866840601</v>
      </c>
      <c r="I34" s="13">
        <v>-9.3206949759967739E-2</v>
      </c>
      <c r="J34" s="3" t="str">
        <v>Unfavorable</v>
      </c>
      <c r="K34" s="3" t="str">
        <v>Material</v>
      </c>
    </row>
    <row r="35" spans="1:11">
      <c r="A35" s="9">
        <v>67200</v>
      </c>
      <c r="B35" s="3"/>
      <c r="C35" s="3"/>
      <c r="D35" s="5">
        <v>46174</v>
      </c>
      <c r="E35" s="3" t="str">
        <v>EBIT</v>
      </c>
      <c r="F35" s="9">
        <v>497228060.70000005</v>
      </c>
      <c r="G35" s="9">
        <v>548336867.56684065</v>
      </c>
      <c r="H35" s="9">
        <v>-51108806.866840601</v>
      </c>
      <c r="I35" s="13">
        <v>-9.3206949759967739E-2</v>
      </c>
      <c r="J35" s="3" t="str">
        <v>Unfavorable</v>
      </c>
      <c r="K35" s="3" t="str">
        <v>Material</v>
      </c>
    </row>
    <row r="36" spans="1:11">
      <c r="A36" s="9">
        <v>67320</v>
      </c>
      <c r="B36" s="3"/>
      <c r="C36" s="3"/>
      <c r="D36" s="5">
        <v>45839</v>
      </c>
      <c r="E36" s="3" t="str">
        <v>EBIT</v>
      </c>
      <c r="F36" s="9">
        <v>505985198.54999995</v>
      </c>
      <c r="G36" s="9">
        <v>557865268.22926021</v>
      </c>
      <c r="H36" s="9">
        <v>-51880069.679260254</v>
      </c>
      <c r="I36" s="13">
        <v>-9.2997489956552784E-2</v>
      </c>
      <c r="J36" s="3" t="str">
        <v>Unfavorable</v>
      </c>
      <c r="K36" s="3" t="str">
        <v>Material</v>
      </c>
    </row>
    <row r="37" spans="1:11">
      <c r="A37" s="9">
        <v>67830</v>
      </c>
      <c r="B37" s="3"/>
      <c r="C37" s="3"/>
      <c r="D37" s="5">
        <v>45931</v>
      </c>
      <c r="E37" s="3" t="str">
        <v>EBIT</v>
      </c>
      <c r="F37" s="9">
        <v>523499474.25</v>
      </c>
      <c r="G37" s="9">
        <v>576922069.55409956</v>
      </c>
      <c r="H37" s="9">
        <v>-53422595.30409956</v>
      </c>
      <c r="I37" s="13">
        <v>-9.25993268820339E-2</v>
      </c>
      <c r="J37" s="3" t="str">
        <v>Unfavorable</v>
      </c>
      <c r="K37" s="3" t="str">
        <v>Material</v>
      </c>
    </row>
    <row r="38" spans="1:11">
      <c r="A38" s="9">
        <v>67980</v>
      </c>
      <c r="B38" s="3"/>
      <c r="C38" s="3"/>
      <c r="D38" s="5">
        <v>45962</v>
      </c>
      <c r="E38" s="3" t="str">
        <v>EBIT</v>
      </c>
      <c r="F38" s="9">
        <v>584799439.20000005</v>
      </c>
      <c r="G38" s="9">
        <v>643620874.19104075</v>
      </c>
      <c r="H38" s="9">
        <v>-58821434.991040707</v>
      </c>
      <c r="I38" s="13">
        <v>-9.1391434538186239E-2</v>
      </c>
      <c r="J38" s="3" t="str">
        <v>Unfavorable</v>
      </c>
      <c r="K38" s="3" t="str">
        <v>Material</v>
      </c>
    </row>
    <row r="39" spans="1:11">
      <c r="A39" s="9">
        <v>68495</v>
      </c>
      <c r="B39" s="3"/>
      <c r="C39" s="3"/>
      <c r="D39" s="5">
        <v>45992</v>
      </c>
      <c r="E39" s="3" t="str">
        <v>EBIT</v>
      </c>
      <c r="F39" s="9">
        <v>637342266.29999995</v>
      </c>
      <c r="G39" s="9">
        <v>700791278.16556025</v>
      </c>
      <c r="H39" s="9">
        <v>-63449011.865560293</v>
      </c>
      <c r="I39" s="13">
        <v>-9.0539100360450861E-2</v>
      </c>
      <c r="J39" s="3" t="str">
        <v>Unfavorable</v>
      </c>
      <c r="K39" s="3" t="str">
        <v>Material</v>
      </c>
    </row>
    <row r="40" spans="1:11">
      <c r="A40" s="9">
        <v>69300</v>
      </c>
      <c r="B40" s="3"/>
      <c r="C40" s="3"/>
      <c r="D40" s="5">
        <v>45689</v>
      </c>
      <c r="E40" s="3" t="str">
        <v>Gross Profit</v>
      </c>
      <c r="F40" s="9">
        <v>788142406.5</v>
      </c>
      <c r="G40" s="9">
        <v>857556059.61779976</v>
      </c>
      <c r="H40" s="9">
        <v>-69413653.117799759</v>
      </c>
      <c r="I40" s="13">
        <v>-8.0943574871054386E-2</v>
      </c>
      <c r="J40" s="3" t="str">
        <v>Unfavorable</v>
      </c>
      <c r="K40" s="3" t="str">
        <v>Material</v>
      </c>
    </row>
    <row r="41" spans="1:11">
      <c r="A41" s="9">
        <v>69825</v>
      </c>
      <c r="B41" s="3"/>
      <c r="C41" s="3"/>
      <c r="D41" s="5">
        <v>46054</v>
      </c>
      <c r="E41" s="3" t="str">
        <v>Gross Profit</v>
      </c>
      <c r="F41" s="9">
        <v>788142406.5</v>
      </c>
      <c r="G41" s="9">
        <v>857556059.61779976</v>
      </c>
      <c r="H41" s="9">
        <v>-69413653.117799759</v>
      </c>
      <c r="I41" s="13">
        <v>-8.0943574871054386E-2</v>
      </c>
      <c r="J41" s="3" t="str">
        <v>Unfavorable</v>
      </c>
      <c r="K41" s="3" t="str">
        <v>Material</v>
      </c>
    </row>
    <row r="42" spans="1:11">
      <c r="A42" s="9">
        <v>70000</v>
      </c>
      <c r="B42" s="3"/>
      <c r="C42" s="3"/>
      <c r="D42" s="5">
        <v>45658</v>
      </c>
      <c r="E42" s="3" t="str">
        <v>Gross Profit</v>
      </c>
      <c r="F42" s="9">
        <v>805656682.19999993</v>
      </c>
      <c r="G42" s="9">
        <v>876612860.94264007</v>
      </c>
      <c r="H42" s="9">
        <v>-70956178.742640138</v>
      </c>
      <c r="I42" s="13">
        <v>-8.0943574871054802E-2</v>
      </c>
      <c r="J42" s="3" t="str">
        <v>Unfavorable</v>
      </c>
      <c r="K42" s="3" t="str">
        <v>Material</v>
      </c>
    </row>
    <row r="43" spans="1:11">
      <c r="A43" s="9">
        <v>70210</v>
      </c>
      <c r="B43" s="3"/>
      <c r="C43" s="3"/>
      <c r="D43" s="5">
        <v>46023</v>
      </c>
      <c r="E43" s="3" t="str">
        <v>Gross Profit</v>
      </c>
      <c r="F43" s="9">
        <v>805656682.19999993</v>
      </c>
      <c r="G43" s="9">
        <v>876612860.94264007</v>
      </c>
      <c r="H43" s="9">
        <v>-70956178.742640138</v>
      </c>
      <c r="I43" s="13">
        <v>-8.0943574871054802E-2</v>
      </c>
      <c r="J43" s="3" t="str">
        <v>Unfavorable</v>
      </c>
      <c r="K43" s="3" t="str">
        <v>Material</v>
      </c>
    </row>
    <row r="44" spans="1:11">
      <c r="A44" s="9">
        <v>70840</v>
      </c>
      <c r="B44" s="3"/>
      <c r="C44" s="3"/>
      <c r="D44" s="5">
        <v>45748</v>
      </c>
      <c r="E44" s="3" t="str">
        <v>Gross Profit</v>
      </c>
      <c r="F44" s="9">
        <v>831928095.75</v>
      </c>
      <c r="G44" s="9">
        <v>905198062.92990041</v>
      </c>
      <c r="H44" s="9">
        <v>-73269967.179900408</v>
      </c>
      <c r="I44" s="13">
        <v>-8.0943574871055066E-2</v>
      </c>
      <c r="J44" s="3" t="str">
        <v>Unfavorable</v>
      </c>
      <c r="K44" s="3" t="str">
        <v>Material</v>
      </c>
    </row>
    <row r="45" spans="1:11">
      <c r="A45" s="9">
        <v>71400</v>
      </c>
      <c r="B45" s="3"/>
      <c r="C45" s="3"/>
      <c r="D45" s="5">
        <v>46113</v>
      </c>
      <c r="E45" s="3" t="str">
        <v>Gross Profit</v>
      </c>
      <c r="F45" s="9">
        <v>831928095.75</v>
      </c>
      <c r="G45" s="9">
        <v>905198062.92990041</v>
      </c>
      <c r="H45" s="9">
        <v>-73269967.179900408</v>
      </c>
      <c r="I45" s="13">
        <v>-8.0943574871055066E-2</v>
      </c>
      <c r="J45" s="3" t="str">
        <v>Unfavorable</v>
      </c>
      <c r="K45" s="3" t="str">
        <v>Material</v>
      </c>
    </row>
    <row r="46" spans="1:11">
      <c r="A46" s="9">
        <v>72100</v>
      </c>
      <c r="B46" s="3"/>
      <c r="C46" s="3"/>
      <c r="D46" s="5">
        <v>45717</v>
      </c>
      <c r="E46" s="3" t="str">
        <v>Gross Profit</v>
      </c>
      <c r="F46" s="9">
        <v>840685233.60000002</v>
      </c>
      <c r="G46" s="9">
        <v>914726463.59231925</v>
      </c>
      <c r="H46" s="9">
        <v>-74041229.992319226</v>
      </c>
      <c r="I46" s="13">
        <v>-8.0943574871053872E-2</v>
      </c>
      <c r="J46" s="3" t="str">
        <v>Unfavorable</v>
      </c>
      <c r="K46" s="3" t="str">
        <v>Material</v>
      </c>
    </row>
    <row r="47" spans="1:11">
      <c r="A47" s="9">
        <v>73150</v>
      </c>
      <c r="B47" s="3"/>
      <c r="C47" s="3"/>
      <c r="D47" s="5">
        <v>46082</v>
      </c>
      <c r="E47" s="3" t="str">
        <v>Gross Profit</v>
      </c>
      <c r="F47" s="9">
        <v>840685233.60000002</v>
      </c>
      <c r="G47" s="9">
        <v>914726463.59231925</v>
      </c>
      <c r="H47" s="9">
        <v>-74041229.992319226</v>
      </c>
      <c r="I47" s="13">
        <v>-8.0943574871053872E-2</v>
      </c>
      <c r="J47" s="3" t="str">
        <v>Unfavorable</v>
      </c>
      <c r="K47" s="3" t="str">
        <v>Material</v>
      </c>
    </row>
    <row r="48" spans="1:11">
      <c r="A48" s="9">
        <v>73500</v>
      </c>
      <c r="B48" s="3"/>
      <c r="C48" s="3"/>
      <c r="D48" s="5">
        <v>45778</v>
      </c>
      <c r="E48" s="3" t="str">
        <v>Gross Profit</v>
      </c>
      <c r="F48" s="9">
        <v>875713785</v>
      </c>
      <c r="G48" s="9">
        <v>952840066.24199986</v>
      </c>
      <c r="H48" s="9">
        <v>-77126281.241999865</v>
      </c>
      <c r="I48" s="13">
        <v>-8.0943574871054524E-2</v>
      </c>
      <c r="J48" s="3" t="str">
        <v>Unfavorable</v>
      </c>
      <c r="K48" s="3" t="str">
        <v>Material</v>
      </c>
    </row>
    <row r="49" spans="1:11">
      <c r="A49" s="9">
        <v>73920</v>
      </c>
      <c r="B49" s="3"/>
      <c r="C49" s="3"/>
      <c r="D49" s="5">
        <v>45901</v>
      </c>
      <c r="E49" s="3" t="str">
        <v>Gross Profit</v>
      </c>
      <c r="F49" s="9">
        <v>875713785</v>
      </c>
      <c r="G49" s="9">
        <v>952840066.24199986</v>
      </c>
      <c r="H49" s="9">
        <v>-77126281.241999865</v>
      </c>
      <c r="I49" s="13">
        <v>-8.0943574871054524E-2</v>
      </c>
      <c r="J49" s="3" t="str">
        <v>Unfavorable</v>
      </c>
      <c r="K49" s="3" t="str">
        <v>Material</v>
      </c>
    </row>
    <row r="50" spans="1:11">
      <c r="A50" s="9">
        <v>74480</v>
      </c>
      <c r="B50" s="3"/>
      <c r="C50" s="3"/>
      <c r="D50" s="5">
        <v>46143</v>
      </c>
      <c r="E50" s="3" t="str">
        <v>Gross Profit</v>
      </c>
      <c r="F50" s="9">
        <v>875713785</v>
      </c>
      <c r="G50" s="9">
        <v>952840066.24199986</v>
      </c>
      <c r="H50" s="9">
        <v>-77126281.241999865</v>
      </c>
      <c r="I50" s="13">
        <v>-8.0943574871054524E-2</v>
      </c>
      <c r="J50" s="3" t="str">
        <v>Unfavorable</v>
      </c>
      <c r="K50" s="3" t="str">
        <v>Material</v>
      </c>
    </row>
    <row r="51" spans="1:11">
      <c r="A51" s="9">
        <v>77000</v>
      </c>
      <c r="B51" s="3"/>
      <c r="C51" s="3"/>
      <c r="D51" s="5">
        <v>45809</v>
      </c>
      <c r="E51" s="3" t="str">
        <v>Gross Profit</v>
      </c>
      <c r="F51" s="9">
        <v>893228060.70000005</v>
      </c>
      <c r="G51" s="9">
        <v>971896867.56684065</v>
      </c>
      <c r="H51" s="9">
        <v>-78668806.866840601</v>
      </c>
      <c r="I51" s="13">
        <v>-8.0943574871055218E-2</v>
      </c>
      <c r="J51" s="3" t="str">
        <v>Unfavorable</v>
      </c>
      <c r="K51" s="3" t="str">
        <v>Material</v>
      </c>
    </row>
    <row r="52" spans="1:11">
      <c r="A52" s="9">
        <v>77880</v>
      </c>
      <c r="B52" s="3"/>
      <c r="C52" s="3"/>
      <c r="D52" s="5">
        <v>45870</v>
      </c>
      <c r="E52" s="3" t="str">
        <v>Gross Profit</v>
      </c>
      <c r="F52" s="9">
        <v>893228060.70000005</v>
      </c>
      <c r="G52" s="9">
        <v>971896867.56684065</v>
      </c>
      <c r="H52" s="9">
        <v>-78668806.866840601</v>
      </c>
      <c r="I52" s="13">
        <v>-8.0943574871055218E-2</v>
      </c>
      <c r="J52" s="3" t="str">
        <v>Unfavorable</v>
      </c>
      <c r="K52" s="3" t="str">
        <v>Material</v>
      </c>
    </row>
    <row r="53" spans="1:11">
      <c r="A53" s="9">
        <v>78400</v>
      </c>
      <c r="B53" s="3"/>
      <c r="C53" s="3"/>
      <c r="D53" s="5">
        <v>46174</v>
      </c>
      <c r="E53" s="3" t="str">
        <v>Gross Profit</v>
      </c>
      <c r="F53" s="9">
        <v>893228060.70000005</v>
      </c>
      <c r="G53" s="9">
        <v>971896867.56684065</v>
      </c>
      <c r="H53" s="9">
        <v>-78668806.866840601</v>
      </c>
      <c r="I53" s="13">
        <v>-8.0943574871055218E-2</v>
      </c>
      <c r="J53" s="3" t="str">
        <v>Unfavorable</v>
      </c>
      <c r="K53" s="3" t="str">
        <v>Material</v>
      </c>
    </row>
    <row r="54" spans="1:11">
      <c r="A54" s="9">
        <v>78470</v>
      </c>
      <c r="B54" s="3"/>
      <c r="C54" s="3"/>
      <c r="D54" s="5">
        <v>45689</v>
      </c>
      <c r="E54" s="3" t="str">
        <v>COGS</v>
      </c>
      <c r="F54" s="9">
        <v>948015193.5</v>
      </c>
      <c r="G54" s="9">
        <v>1026797980.1021998</v>
      </c>
      <c r="H54" s="9">
        <v>-78782786.602199793</v>
      </c>
      <c r="I54" s="13">
        <v>-7.6726666909062616E-2</v>
      </c>
      <c r="J54" s="3" t="str">
        <v>Favorable</v>
      </c>
      <c r="K54" s="3" t="str">
        <v>Material</v>
      </c>
    </row>
    <row r="55" spans="1:11">
      <c r="A55" s="9">
        <v>78540</v>
      </c>
      <c r="B55" s="3"/>
      <c r="C55" s="3"/>
      <c r="D55" s="5">
        <v>46054</v>
      </c>
      <c r="E55" s="3" t="str">
        <v>COGS</v>
      </c>
      <c r="F55" s="9">
        <v>948015193.5</v>
      </c>
      <c r="G55" s="9">
        <v>1026797980.1021998</v>
      </c>
      <c r="H55" s="9">
        <v>-78782786.602199793</v>
      </c>
      <c r="I55" s="13">
        <v>-7.6726666909062616E-2</v>
      </c>
      <c r="J55" s="3" t="str">
        <v>Favorable</v>
      </c>
      <c r="K55" s="3" t="str">
        <v>Material</v>
      </c>
    </row>
    <row r="56" spans="1:11">
      <c r="A56" s="9">
        <v>79310</v>
      </c>
      <c r="B56" s="3"/>
      <c r="C56" s="3"/>
      <c r="D56" s="5">
        <v>45839</v>
      </c>
      <c r="E56" s="3" t="str">
        <v>Gross Profit</v>
      </c>
      <c r="F56" s="9">
        <v>901985198.54999995</v>
      </c>
      <c r="G56" s="9">
        <v>981425268.22926021</v>
      </c>
      <c r="H56" s="9">
        <v>-79440069.679260254</v>
      </c>
      <c r="I56" s="13">
        <v>-8.0943574871054899E-2</v>
      </c>
      <c r="J56" s="3" t="str">
        <v>Unfavorable</v>
      </c>
      <c r="K56" s="3" t="str">
        <v>Material</v>
      </c>
    </row>
    <row r="57" spans="1:11">
      <c r="A57" s="9">
        <v>80850</v>
      </c>
      <c r="B57" s="3"/>
      <c r="C57" s="3"/>
      <c r="D57" s="5">
        <v>45658</v>
      </c>
      <c r="E57" s="3" t="str">
        <v>COGS</v>
      </c>
      <c r="F57" s="9">
        <v>969082197.80000007</v>
      </c>
      <c r="G57" s="9">
        <v>1049615712.99336</v>
      </c>
      <c r="H57" s="9">
        <v>-80533515.193359971</v>
      </c>
      <c r="I57" s="13">
        <v>-7.6726666909062782E-2</v>
      </c>
      <c r="J57" s="3" t="str">
        <v>Favorable</v>
      </c>
      <c r="K57" s="3" t="str">
        <v>Material</v>
      </c>
    </row>
    <row r="58" spans="1:11">
      <c r="A58" s="9">
        <v>82600</v>
      </c>
      <c r="B58" s="3"/>
      <c r="C58" s="3"/>
      <c r="D58" s="5">
        <v>46023</v>
      </c>
      <c r="E58" s="3" t="str">
        <v>COGS</v>
      </c>
      <c r="F58" s="9">
        <v>969082197.80000007</v>
      </c>
      <c r="G58" s="9">
        <v>1049615712.99336</v>
      </c>
      <c r="H58" s="9">
        <v>-80533515.193359971</v>
      </c>
      <c r="I58" s="13">
        <v>-7.6726666909062782E-2</v>
      </c>
      <c r="J58" s="3" t="str">
        <v>Favorable</v>
      </c>
      <c r="K58" s="3" t="str">
        <v>Material</v>
      </c>
    </row>
    <row r="59" spans="1:11">
      <c r="A59" s="9">
        <v>86240</v>
      </c>
      <c r="B59" s="3"/>
      <c r="C59" s="3"/>
      <c r="D59" s="5">
        <v>45931</v>
      </c>
      <c r="E59" s="3" t="str">
        <v>Gross Profit</v>
      </c>
      <c r="F59" s="9">
        <v>919499474.25</v>
      </c>
      <c r="G59" s="9">
        <v>1000482069.5540996</v>
      </c>
      <c r="H59" s="9">
        <v>-80982595.30409956</v>
      </c>
      <c r="I59" s="13">
        <v>-8.0943574871054247E-2</v>
      </c>
      <c r="J59" s="3" t="str">
        <v>Unfavorable</v>
      </c>
      <c r="K59" s="3" t="str">
        <v>Material</v>
      </c>
    </row>
    <row r="60" spans="1:11">
      <c r="A60" s="9">
        <v>89100</v>
      </c>
      <c r="B60" s="3"/>
      <c r="C60" s="3"/>
      <c r="D60" s="5">
        <v>45748</v>
      </c>
      <c r="E60" s="3" t="str">
        <v>COGS</v>
      </c>
      <c r="F60" s="9">
        <v>1000682704.25</v>
      </c>
      <c r="G60" s="9">
        <v>1083842312.3300998</v>
      </c>
      <c r="H60" s="9">
        <v>-83159608.080099821</v>
      </c>
      <c r="I60" s="13">
        <v>-7.6726666909062657E-2</v>
      </c>
      <c r="J60" s="3" t="str">
        <v>Favorable</v>
      </c>
      <c r="K60" s="3" t="str">
        <v>Material</v>
      </c>
    </row>
    <row r="61" spans="1:11">
      <c r="A61" s="9">
        <v>90860</v>
      </c>
      <c r="B61" s="3"/>
      <c r="C61" s="3"/>
      <c r="D61" s="5">
        <v>46113</v>
      </c>
      <c r="E61" s="3" t="str">
        <v>COGS</v>
      </c>
      <c r="F61" s="9">
        <v>1000682704.25</v>
      </c>
      <c r="G61" s="9">
        <v>1083842312.3300998</v>
      </c>
      <c r="H61" s="9">
        <v>-83159608.080099821</v>
      </c>
      <c r="I61" s="13">
        <v>-7.6726666909062657E-2</v>
      </c>
      <c r="J61" s="3" t="str">
        <v>Favorable</v>
      </c>
      <c r="K61" s="3" t="str">
        <v>Material</v>
      </c>
    </row>
    <row r="62" spans="1:11">
      <c r="A62" s="9">
        <v>91080</v>
      </c>
      <c r="B62" s="3"/>
      <c r="C62" s="3"/>
      <c r="D62" s="5">
        <v>45717</v>
      </c>
      <c r="E62" s="3" t="str">
        <v>COGS</v>
      </c>
      <c r="F62" s="9">
        <v>1011216206.4</v>
      </c>
      <c r="G62" s="9">
        <v>1095251178.7756808</v>
      </c>
      <c r="H62" s="9">
        <v>-84034972.375680804</v>
      </c>
      <c r="I62" s="13">
        <v>-7.672666690906349E-2</v>
      </c>
      <c r="J62" s="3" t="str">
        <v>Favorable</v>
      </c>
      <c r="K62" s="3" t="str">
        <v>Material</v>
      </c>
    </row>
    <row r="63" spans="1:11">
      <c r="A63" s="9">
        <v>91800</v>
      </c>
      <c r="B63" s="3"/>
      <c r="C63" s="3"/>
      <c r="D63" s="5">
        <v>46082</v>
      </c>
      <c r="E63" s="3" t="str">
        <v>COGS</v>
      </c>
      <c r="F63" s="9">
        <v>1011216206.4</v>
      </c>
      <c r="G63" s="9">
        <v>1095251178.7756808</v>
      </c>
      <c r="H63" s="9">
        <v>-84034972.375680804</v>
      </c>
      <c r="I63" s="13">
        <v>-7.672666690906349E-2</v>
      </c>
      <c r="J63" s="3" t="str">
        <v>Favorable</v>
      </c>
      <c r="K63" s="3" t="str">
        <v>Material</v>
      </c>
    </row>
    <row r="64" spans="1:11">
      <c r="A64" s="9">
        <v>93840</v>
      </c>
      <c r="B64" s="3"/>
      <c r="C64" s="3"/>
      <c r="D64" s="5">
        <v>45962</v>
      </c>
      <c r="E64" s="3" t="str">
        <v>Gross Profit</v>
      </c>
      <c r="F64" s="9">
        <v>980799439.20000005</v>
      </c>
      <c r="G64" s="9">
        <v>1067180874.1910408</v>
      </c>
      <c r="H64" s="9">
        <v>-86381434.991040707</v>
      </c>
      <c r="I64" s="13">
        <v>-8.094357487105526E-2</v>
      </c>
      <c r="J64" s="3" t="str">
        <v>Unfavorable</v>
      </c>
      <c r="K64" s="3" t="str">
        <v>Material</v>
      </c>
    </row>
    <row r="65" spans="1:11">
      <c r="A65" s="9">
        <v>94050</v>
      </c>
      <c r="B65" s="3"/>
      <c r="C65" s="3"/>
      <c r="D65" s="5">
        <v>45778</v>
      </c>
      <c r="E65" s="3" t="str">
        <v>COGS</v>
      </c>
      <c r="F65" s="9">
        <v>1053350215</v>
      </c>
      <c r="G65" s="9">
        <v>1140886644.5580001</v>
      </c>
      <c r="H65" s="9">
        <v>-87536429.558000088</v>
      </c>
      <c r="I65" s="13">
        <v>-7.6726666909062879E-2</v>
      </c>
      <c r="J65" s="3" t="str">
        <v>Favorable</v>
      </c>
      <c r="K65" s="3" t="str">
        <v>Material</v>
      </c>
    </row>
    <row r="66" spans="1:11">
      <c r="A66" s="9">
        <v>95040</v>
      </c>
      <c r="B66" s="3"/>
      <c r="C66" s="3"/>
      <c r="D66" s="5">
        <v>45901</v>
      </c>
      <c r="E66" s="3" t="str">
        <v>COGS</v>
      </c>
      <c r="F66" s="9">
        <v>1053350215</v>
      </c>
      <c r="G66" s="9">
        <v>1140886644.5580001</v>
      </c>
      <c r="H66" s="9">
        <v>-87536429.558000088</v>
      </c>
      <c r="I66" s="13">
        <v>-7.6726666909062879E-2</v>
      </c>
      <c r="J66" s="3" t="str">
        <v>Favorable</v>
      </c>
      <c r="K66" s="3" t="str">
        <v>Material</v>
      </c>
    </row>
    <row r="67" spans="1:11">
      <c r="A67" s="9">
        <v>96900</v>
      </c>
      <c r="B67" s="3"/>
      <c r="C67" s="3"/>
      <c r="D67" s="5">
        <v>46143</v>
      </c>
      <c r="E67" s="3" t="str">
        <v>COGS</v>
      </c>
      <c r="F67" s="9">
        <v>1053350215</v>
      </c>
      <c r="G67" s="9">
        <v>1140886644.5580001</v>
      </c>
      <c r="H67" s="9">
        <v>-87536429.558000088</v>
      </c>
      <c r="I67" s="13">
        <v>-7.6726666909062879E-2</v>
      </c>
      <c r="J67" s="3" t="str">
        <v>Favorable</v>
      </c>
      <c r="K67" s="3" t="str">
        <v>Material</v>
      </c>
    </row>
    <row r="68" spans="1:11">
      <c r="A68" s="9">
        <v>97920</v>
      </c>
      <c r="B68" s="3"/>
      <c r="C68" s="3"/>
      <c r="D68" s="5">
        <v>45809</v>
      </c>
      <c r="E68" s="3" t="str">
        <v>COGS</v>
      </c>
      <c r="F68" s="9">
        <v>1074417219.3</v>
      </c>
      <c r="G68" s="9">
        <v>1163704377.4491599</v>
      </c>
      <c r="H68" s="9">
        <v>-89287158.149159908</v>
      </c>
      <c r="I68" s="13">
        <v>-7.6726666909062741E-2</v>
      </c>
      <c r="J68" s="3" t="str">
        <v>Favorable</v>
      </c>
      <c r="K68" s="3" t="str">
        <v>Material</v>
      </c>
    </row>
    <row r="69" spans="1:11">
      <c r="A69" s="9">
        <v>99000</v>
      </c>
      <c r="B69" s="3"/>
      <c r="C69" s="3"/>
      <c r="D69" s="5">
        <v>45870</v>
      </c>
      <c r="E69" s="3" t="str">
        <v>COGS</v>
      </c>
      <c r="F69" s="9">
        <v>1074417219.3</v>
      </c>
      <c r="G69" s="9">
        <v>1163704377.4491599</v>
      </c>
      <c r="H69" s="9">
        <v>-89287158.149159908</v>
      </c>
      <c r="I69" s="13">
        <v>-7.6726666909062741E-2</v>
      </c>
      <c r="J69" s="3" t="str">
        <v>Favorable</v>
      </c>
      <c r="K69" s="3" t="str">
        <v>Material</v>
      </c>
    </row>
    <row r="70" spans="1:11">
      <c r="A70" s="9">
        <v>100980</v>
      </c>
      <c r="B70" s="3"/>
      <c r="C70" s="3"/>
      <c r="D70" s="5">
        <v>46174</v>
      </c>
      <c r="E70" s="3" t="str">
        <v>COGS</v>
      </c>
      <c r="F70" s="9">
        <v>1074417219.3</v>
      </c>
      <c r="G70" s="9">
        <v>1163704377.4491599</v>
      </c>
      <c r="H70" s="9">
        <v>-89287158.149159908</v>
      </c>
      <c r="I70" s="13">
        <v>-7.6726666909062741E-2</v>
      </c>
      <c r="J70" s="3" t="str">
        <v>Favorable</v>
      </c>
      <c r="K70" s="3" t="str">
        <v>Material</v>
      </c>
    </row>
    <row r="71" spans="1:11">
      <c r="A71" s="9">
        <v>101970</v>
      </c>
      <c r="B71" s="3"/>
      <c r="C71" s="3"/>
      <c r="D71" s="5">
        <v>45839</v>
      </c>
      <c r="E71" s="3" t="str">
        <v>COGS</v>
      </c>
      <c r="F71" s="9">
        <v>1084950721.45</v>
      </c>
      <c r="G71" s="9">
        <v>1175113243.8947399</v>
      </c>
      <c r="H71" s="9">
        <v>-90162522.444739819</v>
      </c>
      <c r="I71" s="13">
        <v>-7.6726666909062657E-2</v>
      </c>
      <c r="J71" s="3" t="str">
        <v>Favorable</v>
      </c>
      <c r="K71" s="3" t="str">
        <v>Material</v>
      </c>
    </row>
    <row r="72" spans="1:11">
      <c r="A72" s="9">
        <v>102000</v>
      </c>
      <c r="B72" s="3"/>
      <c r="C72" s="3"/>
      <c r="D72" s="5">
        <v>45992</v>
      </c>
      <c r="E72" s="3" t="str">
        <v>Gross Profit</v>
      </c>
      <c r="F72" s="9">
        <v>1033342266.3</v>
      </c>
      <c r="G72" s="9">
        <v>1124351278.1655602</v>
      </c>
      <c r="H72" s="9">
        <v>-91009011.865560293</v>
      </c>
      <c r="I72" s="13">
        <v>-8.0943574871054899E-2</v>
      </c>
      <c r="J72" s="3" t="str">
        <v>Unfavorable</v>
      </c>
      <c r="K72" s="3" t="str">
        <v>Material</v>
      </c>
    </row>
    <row r="73" spans="1:11">
      <c r="A73" s="9">
        <v>102600</v>
      </c>
      <c r="B73" s="3"/>
      <c r="C73" s="3"/>
      <c r="D73" s="5">
        <v>45931</v>
      </c>
      <c r="E73" s="3" t="str">
        <v>COGS</v>
      </c>
      <c r="F73" s="9">
        <v>1106017725.75</v>
      </c>
      <c r="G73" s="9">
        <v>1197930976.7859001</v>
      </c>
      <c r="H73" s="9">
        <v>-91913251.035900116</v>
      </c>
      <c r="I73" s="13">
        <v>-7.6726666909062893E-2</v>
      </c>
      <c r="J73" s="3" t="str">
        <v>Favorable</v>
      </c>
      <c r="K73" s="3" t="str">
        <v>Material</v>
      </c>
    </row>
    <row r="74" spans="1:11">
      <c r="A74" s="9">
        <v>103950</v>
      </c>
      <c r="B74" s="3"/>
      <c r="C74" s="3"/>
      <c r="D74" s="5">
        <v>45962</v>
      </c>
      <c r="E74" s="3" t="str">
        <v>COGS</v>
      </c>
      <c r="F74" s="9">
        <v>1179752240.8</v>
      </c>
      <c r="G74" s="9">
        <v>1277793041.9049599</v>
      </c>
      <c r="H74" s="9">
        <v>-98040801.104959965</v>
      </c>
      <c r="I74" s="13">
        <v>-7.6726666909062782E-2</v>
      </c>
      <c r="J74" s="3" t="str">
        <v>Favorable</v>
      </c>
      <c r="K74" s="3" t="str">
        <v>Material</v>
      </c>
    </row>
    <row r="75" spans="1:11">
      <c r="A75" s="9">
        <v>104040</v>
      </c>
      <c r="B75" s="3"/>
      <c r="C75" s="3"/>
      <c r="D75" s="5">
        <v>45992</v>
      </c>
      <c r="E75" s="3" t="str">
        <v>COGS</v>
      </c>
      <c r="F75" s="9">
        <v>1242953253.7</v>
      </c>
      <c r="G75" s="9">
        <v>1346246240.5784397</v>
      </c>
      <c r="H75" s="9">
        <v>-103292986.87843966</v>
      </c>
      <c r="I75" s="13">
        <v>-7.6726666909062574E-2</v>
      </c>
      <c r="J75" s="3" t="str">
        <v>Favorable</v>
      </c>
      <c r="K75" s="3" t="str">
        <v>Material</v>
      </c>
    </row>
    <row r="76" spans="1:11">
      <c r="A76" s="9">
        <v>104880</v>
      </c>
      <c r="B76" s="3"/>
      <c r="C76" s="3"/>
      <c r="D76" s="5">
        <v>45689</v>
      </c>
      <c r="E76" s="3" t="str">
        <v>Revenue</v>
      </c>
      <c r="F76" s="9">
        <v>1736157600</v>
      </c>
      <c r="G76" s="9">
        <v>1884354039.7199996</v>
      </c>
      <c r="H76" s="9">
        <v>-148196439.71999955</v>
      </c>
      <c r="I76" s="13">
        <v>-7.8645751592423888E-2</v>
      </c>
      <c r="J76" s="3" t="str">
        <v>Unfavorable</v>
      </c>
      <c r="K76" s="3" t="str">
        <v>Material</v>
      </c>
    </row>
    <row r="77" spans="1:11">
      <c r="A77" s="9">
        <v>105060</v>
      </c>
      <c r="B77" s="3"/>
      <c r="C77" s="3"/>
      <c r="D77" s="5">
        <v>46054</v>
      </c>
      <c r="E77" s="3" t="str">
        <v>Revenue</v>
      </c>
      <c r="F77" s="9">
        <v>1736157600</v>
      </c>
      <c r="G77" s="9">
        <v>1884354039.7199996</v>
      </c>
      <c r="H77" s="9">
        <v>-148196439.71999955</v>
      </c>
      <c r="I77" s="13">
        <v>-7.8645751592423888E-2</v>
      </c>
      <c r="J77" s="3" t="str">
        <v>Unfavorable</v>
      </c>
      <c r="K77" s="3" t="str">
        <v>Material</v>
      </c>
    </row>
    <row r="78" spans="1:11">
      <c r="A78" s="9">
        <v>107100</v>
      </c>
      <c r="B78" s="3"/>
      <c r="C78" s="3"/>
      <c r="D78" s="5">
        <v>45658</v>
      </c>
      <c r="E78" s="3" t="str">
        <v>Revenue</v>
      </c>
      <c r="F78" s="9">
        <v>1774738880</v>
      </c>
      <c r="G78" s="9">
        <v>1926228573.9360001</v>
      </c>
      <c r="H78" s="9">
        <v>-151489693.93600011</v>
      </c>
      <c r="I78" s="13">
        <v>-7.8645751592424165E-2</v>
      </c>
      <c r="J78" s="3" t="str">
        <v>Unfavorable</v>
      </c>
      <c r="K78" s="3" t="str">
        <v>Material</v>
      </c>
    </row>
    <row r="79" spans="1:11">
      <c r="A79" s="9">
        <v>108000</v>
      </c>
      <c r="B79" s="3"/>
      <c r="C79" s="3"/>
      <c r="D79" s="5">
        <v>46023</v>
      </c>
      <c r="E79" s="3" t="str">
        <v>Revenue</v>
      </c>
      <c r="F79" s="9">
        <v>1774738880</v>
      </c>
      <c r="G79" s="9">
        <v>1926228573.9360001</v>
      </c>
      <c r="H79" s="9">
        <v>-151489693.93600011</v>
      </c>
      <c r="I79" s="13">
        <v>-7.8645751592424165E-2</v>
      </c>
      <c r="J79" s="3" t="str">
        <v>Unfavorable</v>
      </c>
      <c r="K79" s="3" t="str">
        <v>Material</v>
      </c>
    </row>
    <row r="80" spans="1:11">
      <c r="A80" s="9">
        <v>108300</v>
      </c>
      <c r="B80" s="3"/>
      <c r="C80" s="3"/>
      <c r="D80" s="5">
        <v>45748</v>
      </c>
      <c r="E80" s="3" t="str">
        <v>Revenue</v>
      </c>
      <c r="F80" s="9">
        <v>1832610800</v>
      </c>
      <c r="G80" s="9">
        <v>1989040375.2600002</v>
      </c>
      <c r="H80" s="9">
        <v>-156429575.26000023</v>
      </c>
      <c r="I80" s="13">
        <v>-7.8645751592424221E-2</v>
      </c>
      <c r="J80" s="3" t="str">
        <v>Unfavorable</v>
      </c>
      <c r="K80" s="3" t="str">
        <v>Material</v>
      </c>
    </row>
    <row r="81" spans="1:11">
      <c r="A81" s="9">
        <v>109440</v>
      </c>
      <c r="B81" s="3"/>
      <c r="C81" s="3"/>
      <c r="D81" s="5">
        <v>46113</v>
      </c>
      <c r="E81" s="3" t="str">
        <v>Revenue</v>
      </c>
      <c r="F81" s="9">
        <v>1832610800</v>
      </c>
      <c r="G81" s="9">
        <v>1989040375.2600002</v>
      </c>
      <c r="H81" s="9">
        <v>-156429575.26000023</v>
      </c>
      <c r="I81" s="13">
        <v>-7.8645751592424221E-2</v>
      </c>
      <c r="J81" s="3" t="str">
        <v>Unfavorable</v>
      </c>
      <c r="K81" s="3" t="str">
        <v>Material</v>
      </c>
    </row>
    <row r="82" spans="1:11">
      <c r="A82" s="9">
        <v>109480</v>
      </c>
      <c r="B82" s="3"/>
      <c r="C82" s="3"/>
      <c r="D82" s="5">
        <v>45717</v>
      </c>
      <c r="E82" s="3" t="str">
        <v>Revenue</v>
      </c>
      <c r="F82" s="9">
        <v>1851901440</v>
      </c>
      <c r="G82" s="9">
        <v>2009977642.368</v>
      </c>
      <c r="H82" s="9">
        <v>-158076202.36800003</v>
      </c>
      <c r="I82" s="13">
        <v>-7.8645751592424123E-2</v>
      </c>
      <c r="J82" s="3" t="str">
        <v>Unfavorable</v>
      </c>
      <c r="K82" s="3" t="str">
        <v>Material</v>
      </c>
    </row>
    <row r="83" spans="1:11">
      <c r="A83" s="9">
        <v>110400</v>
      </c>
      <c r="B83" s="3"/>
      <c r="C83" s="3"/>
      <c r="D83" s="5">
        <v>46082</v>
      </c>
      <c r="E83" s="3" t="str">
        <v>Revenue</v>
      </c>
      <c r="F83" s="9">
        <v>1851901440</v>
      </c>
      <c r="G83" s="9">
        <v>2009977642.368</v>
      </c>
      <c r="H83" s="9">
        <v>-158076202.36800003</v>
      </c>
      <c r="I83" s="13">
        <v>-7.8645751592424123E-2</v>
      </c>
      <c r="J83" s="3" t="str">
        <v>Unfavorable</v>
      </c>
      <c r="K83" s="3" t="str">
        <v>Material</v>
      </c>
    </row>
    <row r="84" spans="1:11">
      <c r="A84" s="9">
        <v>110880</v>
      </c>
      <c r="B84" s="3"/>
      <c r="C84" s="3"/>
      <c r="D84" s="5">
        <v>45778</v>
      </c>
      <c r="E84" s="3" t="str">
        <v>Revenue</v>
      </c>
      <c r="F84" s="9">
        <v>1929064000</v>
      </c>
      <c r="G84" s="9">
        <v>2093726710.8</v>
      </c>
      <c r="H84" s="9">
        <v>-164662710.79999995</v>
      </c>
      <c r="I84" s="13">
        <v>-7.8645751592424096E-2</v>
      </c>
      <c r="J84" s="3" t="str">
        <v>Unfavorable</v>
      </c>
      <c r="K84" s="3" t="str">
        <v>Material</v>
      </c>
    </row>
    <row r="85" spans="1:11">
      <c r="A85" s="9">
        <v>113050</v>
      </c>
      <c r="B85" s="3"/>
      <c r="C85" s="3"/>
      <c r="D85" s="5">
        <v>45901</v>
      </c>
      <c r="E85" s="3" t="str">
        <v>Revenue</v>
      </c>
      <c r="F85" s="9">
        <v>1929064000</v>
      </c>
      <c r="G85" s="9">
        <v>2093726710.8</v>
      </c>
      <c r="H85" s="9">
        <v>-164662710.79999995</v>
      </c>
      <c r="I85" s="13">
        <v>-7.8645751592424096E-2</v>
      </c>
      <c r="J85" s="3" t="str">
        <v>Unfavorable</v>
      </c>
      <c r="K85" s="3" t="str">
        <v>Material</v>
      </c>
    </row>
    <row r="86" spans="1:11">
      <c r="A86" s="9">
        <v>114000</v>
      </c>
      <c r="B86" s="3"/>
      <c r="C86" s="3"/>
      <c r="D86" s="5">
        <v>46143</v>
      </c>
      <c r="E86" s="3" t="str">
        <v>Revenue</v>
      </c>
      <c r="F86" s="9">
        <v>1929064000</v>
      </c>
      <c r="G86" s="9">
        <v>2093726710.8</v>
      </c>
      <c r="H86" s="9">
        <v>-164662710.79999995</v>
      </c>
      <c r="I86" s="13">
        <v>-7.8645751592424096E-2</v>
      </c>
      <c r="J86" s="3" t="str">
        <v>Unfavorable</v>
      </c>
      <c r="K86" s="3" t="str">
        <v>Material</v>
      </c>
    </row>
    <row r="87" spans="1:11">
      <c r="A87" s="9">
        <v>114240</v>
      </c>
      <c r="B87" s="3"/>
      <c r="C87" s="3"/>
      <c r="D87" s="5">
        <v>45809</v>
      </c>
      <c r="E87" s="3" t="str">
        <v>Revenue</v>
      </c>
      <c r="F87" s="9">
        <v>1967645280</v>
      </c>
      <c r="G87" s="9">
        <v>2135601245.0160005</v>
      </c>
      <c r="H87" s="9">
        <v>-167955965.01600051</v>
      </c>
      <c r="I87" s="13">
        <v>-7.8645751592424332E-2</v>
      </c>
      <c r="J87" s="3" t="str">
        <v>Unfavorable</v>
      </c>
      <c r="K87" s="3" t="str">
        <v>Material</v>
      </c>
    </row>
    <row r="88" spans="1:11">
      <c r="A88" s="9">
        <v>115200</v>
      </c>
      <c r="B88" s="3"/>
      <c r="C88" s="3"/>
      <c r="D88" s="5">
        <v>45870</v>
      </c>
      <c r="E88" s="3" t="str">
        <v>Revenue</v>
      </c>
      <c r="F88" s="9">
        <v>1967645280</v>
      </c>
      <c r="G88" s="9">
        <v>2135601245.0160005</v>
      </c>
      <c r="H88" s="9">
        <v>-167955965.01600051</v>
      </c>
      <c r="I88" s="13">
        <v>-7.8645751592424332E-2</v>
      </c>
      <c r="J88" s="3" t="str">
        <v>Unfavorable</v>
      </c>
      <c r="K88" s="3" t="str">
        <v>Material</v>
      </c>
    </row>
    <row r="89" spans="1:11">
      <c r="A89" s="9">
        <v>116280</v>
      </c>
      <c r="B89" s="3"/>
      <c r="C89" s="3"/>
      <c r="D89" s="5">
        <v>46174</v>
      </c>
      <c r="E89" s="3" t="str">
        <v>Revenue</v>
      </c>
      <c r="F89" s="9">
        <v>1967645280</v>
      </c>
      <c r="G89" s="9">
        <v>2135601245.0160005</v>
      </c>
      <c r="H89" s="9">
        <v>-167955965.01600051</v>
      </c>
      <c r="I89" s="13">
        <v>-7.8645751592424332E-2</v>
      </c>
      <c r="J89" s="3" t="str">
        <v>Unfavorable</v>
      </c>
      <c r="K89" s="3" t="str">
        <v>Material</v>
      </c>
    </row>
    <row r="90" spans="1:11">
      <c r="A90" s="9">
        <v>116820</v>
      </c>
      <c r="B90" s="3"/>
      <c r="C90" s="3"/>
      <c r="D90" s="5">
        <v>45839</v>
      </c>
      <c r="E90" s="3" t="str">
        <v>Revenue</v>
      </c>
      <c r="F90" s="9">
        <v>1986935920</v>
      </c>
      <c r="G90" s="9">
        <v>2156538512.1240001</v>
      </c>
      <c r="H90" s="9">
        <v>-169602592.12400007</v>
      </c>
      <c r="I90" s="13">
        <v>-7.8645751592424137E-2</v>
      </c>
      <c r="J90" s="3" t="str">
        <v>Unfavorable</v>
      </c>
      <c r="K90" s="3" t="str">
        <v>Material</v>
      </c>
    </row>
    <row r="91" spans="1:11">
      <c r="A91" s="9">
        <v>117420</v>
      </c>
      <c r="B91" s="3"/>
      <c r="C91" s="3"/>
      <c r="D91" s="5">
        <v>45931</v>
      </c>
      <c r="E91" s="3" t="str">
        <v>Revenue</v>
      </c>
      <c r="F91" s="9">
        <v>2025517200</v>
      </c>
      <c r="G91" s="9">
        <v>2198413046.3399997</v>
      </c>
      <c r="H91" s="9">
        <v>-172895846.33999968</v>
      </c>
      <c r="I91" s="13">
        <v>-7.8645751592423971E-2</v>
      </c>
      <c r="J91" s="3" t="str">
        <v>Unfavorable</v>
      </c>
      <c r="K91" s="3" t="str">
        <v>Material</v>
      </c>
    </row>
    <row r="92" spans="1:11">
      <c r="A92" s="9">
        <v>119000</v>
      </c>
      <c r="B92" s="3"/>
      <c r="C92" s="3"/>
      <c r="D92" s="5">
        <v>45962</v>
      </c>
      <c r="E92" s="3" t="str">
        <v>Revenue</v>
      </c>
      <c r="F92" s="9">
        <v>2160551680</v>
      </c>
      <c r="G92" s="9">
        <v>2344973916.0960007</v>
      </c>
      <c r="H92" s="9">
        <v>-184422236.09600067</v>
      </c>
      <c r="I92" s="13">
        <v>-7.8645751592424373E-2</v>
      </c>
      <c r="J92" s="3" t="str">
        <v>Unfavorable</v>
      </c>
      <c r="K92" s="3" t="str">
        <v>Material</v>
      </c>
    </row>
    <row r="93" spans="1:11">
      <c r="A93" s="9">
        <v>119700</v>
      </c>
      <c r="B93" s="3"/>
      <c r="C93" s="3"/>
      <c r="D93" s="5">
        <v>45992</v>
      </c>
      <c r="E93" s="3" t="str">
        <v>Revenue</v>
      </c>
      <c r="F93" s="9">
        <v>2276295520</v>
      </c>
      <c r="G93" s="9">
        <v>2470597518.744</v>
      </c>
      <c r="H93" s="9">
        <v>-194301998.74399996</v>
      </c>
      <c r="I93" s="13">
        <v>-7.8645751592424096E-2</v>
      </c>
      <c r="J93" s="3" t="str">
        <v>Unfavorable</v>
      </c>
      <c r="K93" s="3" t="str">
        <v>Material</v>
      </c>
    </row>
    <row r="94" spans="1:11">
      <c r="A94" s="9">
        <v>120000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9">
        <v>120360</v>
      </c>
      <c r="B95" s="3"/>
      <c r="C95" s="3"/>
      <c r="D95" s="6" t="s">
        <v>163</v>
      </c>
      <c r="E95" s="3"/>
      <c r="F95" s="3"/>
      <c r="G95" s="3"/>
      <c r="H95" s="3"/>
      <c r="I95" s="3"/>
      <c r="J95" s="3"/>
      <c r="K95" s="3"/>
    </row>
    <row r="96" spans="1:11">
      <c r="A96" s="9">
        <v>121380</v>
      </c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9">
        <v>122360</v>
      </c>
      <c r="B97" s="3"/>
      <c r="C97" s="3"/>
      <c r="D97" s="3" t="str">
        <f>E16 &amp; " | " &amp; TEXT(I16, "0.0%")</f>
        <v>Operating Expenses | -6.5%</v>
      </c>
      <c r="E97" s="3"/>
      <c r="F97" s="3"/>
      <c r="G97" s="3"/>
      <c r="H97" s="3"/>
      <c r="I97" s="3"/>
      <c r="J97" s="3"/>
      <c r="K97" s="3"/>
    </row>
    <row r="98" spans="1:11">
      <c r="A98" s="9">
        <v>122400</v>
      </c>
      <c r="B98" s="3"/>
      <c r="C98" s="3"/>
      <c r="D98" s="3" t="str">
        <f>"Management alert: " &amp; E16 &amp; " is " &amp; TEXT(ABS(I16), "0.0%") &amp; " " &amp; IF(I16 &lt; 0, "below", "above") &amp; " expectation."</f>
        <v>Management alert: Operating Expenses is 6.5% below expectation.</v>
      </c>
      <c r="E98" s="3"/>
      <c r="F98" s="3"/>
      <c r="G98" s="3"/>
      <c r="H98" s="3"/>
      <c r="I98" s="3"/>
      <c r="J98" s="3"/>
      <c r="K98" s="3"/>
    </row>
    <row r="99" spans="1:11">
      <c r="A99" s="9">
        <v>122570</v>
      </c>
      <c r="B99" s="3"/>
      <c r="C99" s="3"/>
      <c r="D99" s="3" t="str">
        <f>_xlfn.TEXTJOIN(" | ", TRUE, J21:J23)</f>
        <v>Favorable | Unfavorable | Unfavorable</v>
      </c>
      <c r="E99" s="3"/>
      <c r="F99" s="3"/>
      <c r="G99" s="3"/>
      <c r="H99" s="3"/>
      <c r="I99" s="3"/>
      <c r="J99" s="3"/>
      <c r="K99" s="3"/>
    </row>
    <row r="100" spans="1:11">
      <c r="A100" s="9">
        <v>123600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9">
        <v>123750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9">
        <v>124950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9">
        <v>126000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9">
        <v>126350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9">
        <v>126500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9">
        <v>127680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9">
        <v>128800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9">
        <v>130625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9">
        <v>132000</v>
      </c>
      <c r="B109" s="3"/>
      <c r="C109" s="3"/>
    </row>
    <row r="110" spans="1:11">
      <c r="A110" s="9">
        <v>133000</v>
      </c>
      <c r="B110" s="3"/>
      <c r="C110" s="3"/>
    </row>
    <row r="111" spans="1:11">
      <c r="A111" s="9">
        <v>133280</v>
      </c>
      <c r="B111" s="3"/>
      <c r="C111" s="3"/>
    </row>
    <row r="112" spans="1:11">
      <c r="A112" s="9">
        <v>134400</v>
      </c>
      <c r="B112" s="3"/>
      <c r="C112" s="3"/>
    </row>
    <row r="113" spans="1:3">
      <c r="A113" s="9">
        <v>134520</v>
      </c>
      <c r="B113" s="3"/>
      <c r="C113" s="3"/>
    </row>
    <row r="114" spans="1:3">
      <c r="A114" s="9">
        <v>135660</v>
      </c>
      <c r="B114" s="3"/>
      <c r="C114" s="3"/>
    </row>
    <row r="115" spans="1:3">
      <c r="A115" s="9">
        <v>136990</v>
      </c>
      <c r="B115" s="3"/>
      <c r="C115" s="3"/>
    </row>
    <row r="116" spans="1:3">
      <c r="A116" s="9">
        <v>137500</v>
      </c>
      <c r="B116" s="3"/>
      <c r="C116" s="3"/>
    </row>
    <row r="117" spans="1:3">
      <c r="A117" s="9">
        <v>137700</v>
      </c>
      <c r="B117" s="3"/>
      <c r="C117" s="3"/>
    </row>
    <row r="118" spans="1:3">
      <c r="A118" s="9">
        <v>139650</v>
      </c>
      <c r="B118" s="3"/>
      <c r="C118" s="3"/>
    </row>
    <row r="119" spans="1:3">
      <c r="A119" s="9">
        <v>140000</v>
      </c>
      <c r="B119" s="3"/>
      <c r="C119" s="3"/>
    </row>
    <row r="120" spans="1:3">
      <c r="A120" s="9">
        <v>140250</v>
      </c>
      <c r="B120" s="3"/>
      <c r="C120" s="3"/>
    </row>
    <row r="121" spans="1:3">
      <c r="A121" s="9">
        <v>140420</v>
      </c>
      <c r="B121" s="3"/>
      <c r="C121" s="3"/>
    </row>
    <row r="122" spans="1:3">
      <c r="A122" s="9">
        <v>140760</v>
      </c>
      <c r="B122" s="3"/>
      <c r="C122" s="3"/>
    </row>
    <row r="123" spans="1:3">
      <c r="A123" s="9">
        <v>141600</v>
      </c>
      <c r="B123" s="3"/>
      <c r="C123" s="3"/>
    </row>
    <row r="124" spans="1:3">
      <c r="A124" s="9">
        <v>141625</v>
      </c>
      <c r="B124" s="3"/>
      <c r="C124" s="3"/>
    </row>
    <row r="125" spans="1:3">
      <c r="A125" s="9">
        <v>142800</v>
      </c>
      <c r="B125" s="3"/>
      <c r="C125" s="3"/>
    </row>
    <row r="126" spans="1:3">
      <c r="A126" s="9">
        <v>144200</v>
      </c>
      <c r="B126" s="3"/>
      <c r="C126" s="3"/>
    </row>
    <row r="127" spans="1:3">
      <c r="A127" s="9">
        <v>144375</v>
      </c>
      <c r="B127" s="3"/>
      <c r="C127" s="3"/>
    </row>
    <row r="128" spans="1:3">
      <c r="A128" s="9">
        <v>145350</v>
      </c>
      <c r="B128" s="3"/>
      <c r="C128" s="3"/>
    </row>
    <row r="129" spans="1:3">
      <c r="A129" s="9">
        <v>146880</v>
      </c>
      <c r="B129" s="3"/>
      <c r="C129" s="3"/>
    </row>
    <row r="130" spans="1:3">
      <c r="A130" s="9">
        <v>147000</v>
      </c>
      <c r="B130" s="3"/>
      <c r="C130" s="3"/>
    </row>
    <row r="131" spans="1:3">
      <c r="A131" s="9">
        <v>148960</v>
      </c>
      <c r="B131" s="3"/>
      <c r="C131" s="3"/>
    </row>
    <row r="132" spans="1:3">
      <c r="A132" s="9">
        <v>153000</v>
      </c>
      <c r="B132" s="3"/>
      <c r="C132" s="3"/>
    </row>
    <row r="133" spans="1:3">
      <c r="A133" s="9">
        <v>153900</v>
      </c>
      <c r="B133" s="3"/>
      <c r="C133" s="3"/>
    </row>
    <row r="134" spans="1:3">
      <c r="A134" s="9">
        <v>154000</v>
      </c>
      <c r="B134" s="3"/>
      <c r="C134" s="3"/>
    </row>
    <row r="135" spans="1:3">
      <c r="A135" s="9">
        <v>156060</v>
      </c>
      <c r="B135" s="3"/>
      <c r="C135" s="3"/>
    </row>
    <row r="136" spans="1:3">
      <c r="A136" s="9">
        <v>156800</v>
      </c>
      <c r="B136" s="3"/>
      <c r="C136" s="3"/>
    </row>
    <row r="137" spans="1:3">
      <c r="A137" s="9">
        <v>156940</v>
      </c>
      <c r="B137" s="3"/>
      <c r="C137" s="3"/>
    </row>
    <row r="138" spans="1:3">
      <c r="A138" s="9">
        <v>157320</v>
      </c>
      <c r="B138" s="3"/>
      <c r="C138" s="3"/>
    </row>
    <row r="139" spans="1:3">
      <c r="A139" s="9">
        <v>157590</v>
      </c>
      <c r="B139" s="3"/>
      <c r="C139" s="3"/>
    </row>
    <row r="140" spans="1:3">
      <c r="A140" s="9">
        <v>160650</v>
      </c>
      <c r="B140" s="3"/>
      <c r="C140" s="3"/>
    </row>
    <row r="141" spans="1:3">
      <c r="A141" s="9">
        <v>162000</v>
      </c>
      <c r="B141" s="3"/>
      <c r="C141" s="3"/>
    </row>
    <row r="142" spans="1:3">
      <c r="A142" s="9">
        <v>162250</v>
      </c>
      <c r="B142" s="3"/>
      <c r="C142" s="3"/>
    </row>
    <row r="143" spans="1:3">
      <c r="A143" s="9">
        <v>162450</v>
      </c>
      <c r="B143" s="3"/>
      <c r="C143" s="3"/>
    </row>
    <row r="144" spans="1:3">
      <c r="A144" s="9">
        <v>164160</v>
      </c>
      <c r="B144" s="3"/>
      <c r="C144" s="3"/>
    </row>
    <row r="145" spans="1:3">
      <c r="A145" s="9">
        <v>165200</v>
      </c>
      <c r="B145" s="3"/>
      <c r="C145" s="3"/>
    </row>
    <row r="146" spans="1:3">
      <c r="A146" s="9">
        <v>165600</v>
      </c>
      <c r="B146" s="3"/>
      <c r="C146" s="3"/>
    </row>
    <row r="147" spans="1:3">
      <c r="A147" s="9">
        <v>171000</v>
      </c>
      <c r="B147" s="3"/>
      <c r="C147" s="3"/>
    </row>
    <row r="148" spans="1:3">
      <c r="A148" s="9">
        <v>171360</v>
      </c>
      <c r="B148" s="3"/>
      <c r="C148" s="3"/>
    </row>
    <row r="149" spans="1:3">
      <c r="A149" s="9">
        <v>172800</v>
      </c>
      <c r="B149" s="3"/>
      <c r="C149" s="3"/>
    </row>
    <row r="150" spans="1:3">
      <c r="A150" s="9">
        <v>174420</v>
      </c>
      <c r="B150" s="3"/>
      <c r="C150" s="3"/>
    </row>
    <row r="151" spans="1:3">
      <c r="A151" s="9">
        <v>176130</v>
      </c>
      <c r="B151" s="3"/>
      <c r="C151" s="3"/>
    </row>
    <row r="152" spans="1:3">
      <c r="A152" s="9">
        <v>179550</v>
      </c>
      <c r="B152" s="3"/>
      <c r="C152" s="3"/>
    </row>
    <row r="153" spans="1:3">
      <c r="A153" s="9">
        <v>180000</v>
      </c>
      <c r="B153" s="3"/>
      <c r="C153" s="3"/>
    </row>
    <row r="154" spans="1:3">
      <c r="A154" s="9">
        <v>180540</v>
      </c>
      <c r="B154" s="3"/>
      <c r="C154" s="3"/>
    </row>
    <row r="155" spans="1:3">
      <c r="A155" s="9">
        <v>183600</v>
      </c>
      <c r="B155" s="3"/>
      <c r="C155" s="3"/>
    </row>
    <row r="156" spans="1:3">
      <c r="A156" s="9">
        <v>185400</v>
      </c>
      <c r="B156" s="3"/>
      <c r="C156" s="3"/>
    </row>
    <row r="157" spans="1:3">
      <c r="A157" s="9">
        <v>189000</v>
      </c>
      <c r="B157" s="3"/>
      <c r="C157" s="3"/>
    </row>
    <row r="158" spans="1:3">
      <c r="A158" s="9">
        <v>191250</v>
      </c>
      <c r="B158" s="3"/>
      <c r="C158" s="3"/>
    </row>
    <row r="159" spans="1:3">
      <c r="A159" s="9">
        <v>191520</v>
      </c>
      <c r="B159" s="3"/>
      <c r="C159" s="3"/>
    </row>
    <row r="160" spans="1:3">
      <c r="A160" s="9">
        <v>195500</v>
      </c>
      <c r="B160" s="3"/>
      <c r="C160" s="3"/>
    </row>
    <row r="161" spans="1:3">
      <c r="A161" s="9">
        <v>198000</v>
      </c>
      <c r="B161" s="3"/>
      <c r="C161" s="3"/>
    </row>
    <row r="162" spans="1:3">
      <c r="A162" s="9">
        <v>201600</v>
      </c>
      <c r="B162" s="3"/>
      <c r="C162" s="3"/>
    </row>
    <row r="163" spans="1:3">
      <c r="A163" s="9">
        <v>201780</v>
      </c>
      <c r="B163" s="3"/>
      <c r="C163" s="3"/>
    </row>
    <row r="164" spans="1:3">
      <c r="A164" s="9">
        <v>201875</v>
      </c>
      <c r="B164" s="3"/>
      <c r="C164" s="3"/>
    </row>
    <row r="165" spans="1:3">
      <c r="A165" s="9">
        <v>202400</v>
      </c>
      <c r="B165" s="3"/>
      <c r="C165" s="3"/>
    </row>
    <row r="166" spans="1:3">
      <c r="A166" s="9">
        <v>204000</v>
      </c>
      <c r="B166" s="3"/>
      <c r="C166" s="3"/>
    </row>
    <row r="167" spans="1:3">
      <c r="A167" s="9">
        <v>209000</v>
      </c>
      <c r="B167" s="3"/>
      <c r="C167" s="3"/>
    </row>
    <row r="168" spans="1:3">
      <c r="A168" s="9">
        <v>211200</v>
      </c>
      <c r="B168" s="3"/>
      <c r="C168" s="3"/>
    </row>
    <row r="169" spans="1:3">
      <c r="A169" s="9">
        <v>212400</v>
      </c>
      <c r="B169" s="3"/>
      <c r="C169" s="3"/>
    </row>
    <row r="170" spans="1:3">
      <c r="A170" s="9">
        <v>212500</v>
      </c>
      <c r="B170" s="3"/>
      <c r="C170" s="3"/>
    </row>
    <row r="171" spans="1:3">
      <c r="A171" s="9">
        <v>213750</v>
      </c>
      <c r="B171" s="3"/>
      <c r="C171" s="3"/>
    </row>
    <row r="172" spans="1:3">
      <c r="A172" s="9">
        <v>216750</v>
      </c>
      <c r="B172" s="3"/>
      <c r="C172" s="3"/>
    </row>
    <row r="173" spans="1:3">
      <c r="A173" s="9">
        <v>218500</v>
      </c>
      <c r="B173" s="3"/>
      <c r="C173" s="3"/>
    </row>
    <row r="174" spans="1:3">
      <c r="A174" s="9">
        <v>218875</v>
      </c>
      <c r="B174" s="3"/>
      <c r="C174" s="3"/>
    </row>
    <row r="175" spans="1:3">
      <c r="A175" s="9">
        <v>220000</v>
      </c>
      <c r="B175" s="3"/>
      <c r="C175" s="3"/>
    </row>
    <row r="176" spans="1:3">
      <c r="A176" s="9">
        <v>223125</v>
      </c>
      <c r="B176" s="3"/>
      <c r="C176" s="3"/>
    </row>
    <row r="177" spans="1:3">
      <c r="A177" s="9">
        <v>224400</v>
      </c>
      <c r="B177" s="3"/>
      <c r="C177" s="3"/>
    </row>
    <row r="178" spans="1:3">
      <c r="A178" s="9">
        <v>225000</v>
      </c>
      <c r="B178" s="3"/>
      <c r="C178" s="3"/>
    </row>
    <row r="179" spans="1:3">
      <c r="A179" s="9">
        <v>225625</v>
      </c>
      <c r="B179" s="3"/>
      <c r="C179" s="3"/>
    </row>
    <row r="180" spans="1:3">
      <c r="A180" s="9">
        <v>226600</v>
      </c>
      <c r="B180" s="3"/>
      <c r="C180" s="3"/>
    </row>
    <row r="181" spans="1:3">
      <c r="A181" s="9">
        <v>228000</v>
      </c>
      <c r="B181" s="3"/>
      <c r="C181" s="3"/>
    </row>
    <row r="182" spans="1:3">
      <c r="A182" s="9">
        <v>230000</v>
      </c>
      <c r="B182" s="3"/>
      <c r="C182" s="3"/>
    </row>
    <row r="183" spans="1:3">
      <c r="A183" s="9">
        <v>231000</v>
      </c>
      <c r="B183" s="3"/>
      <c r="C183" s="3"/>
    </row>
    <row r="184" spans="1:3">
      <c r="A184" s="9">
        <v>237500</v>
      </c>
      <c r="B184" s="3"/>
      <c r="C184" s="3"/>
    </row>
    <row r="185" spans="1:3">
      <c r="A185" s="9">
        <v>238000</v>
      </c>
      <c r="B185" s="3"/>
      <c r="C185" s="3"/>
    </row>
    <row r="186" spans="1:3">
      <c r="A186" s="9">
        <v>240000</v>
      </c>
      <c r="B186" s="3"/>
      <c r="C186" s="3"/>
    </row>
    <row r="187" spans="1:3">
      <c r="A187" s="9">
        <v>242250</v>
      </c>
      <c r="B187" s="3"/>
      <c r="C187" s="3"/>
    </row>
    <row r="188" spans="1:3">
      <c r="A188" s="9">
        <v>244625</v>
      </c>
      <c r="B188" s="3"/>
      <c r="C188" s="3"/>
    </row>
    <row r="189" spans="1:3">
      <c r="A189" s="9">
        <v>246400</v>
      </c>
      <c r="B189" s="3"/>
      <c r="C189" s="3"/>
    </row>
    <row r="190" spans="1:3">
      <c r="A190" s="9">
        <v>249375</v>
      </c>
      <c r="B190" s="3"/>
      <c r="C190" s="3"/>
    </row>
    <row r="191" spans="1:3">
      <c r="A191" s="9">
        <v>250000</v>
      </c>
      <c r="B191" s="3"/>
      <c r="C191" s="3"/>
    </row>
    <row r="192" spans="1:3">
      <c r="A192" s="9">
        <v>250750</v>
      </c>
      <c r="B192" s="3"/>
      <c r="C192" s="3"/>
    </row>
    <row r="193" spans="1:3">
      <c r="A193" s="9">
        <v>255000</v>
      </c>
      <c r="B193" s="3"/>
      <c r="C193" s="3"/>
    </row>
    <row r="194" spans="1:3">
      <c r="A194" s="9">
        <v>257500</v>
      </c>
      <c r="B194" s="3"/>
      <c r="C194" s="3"/>
    </row>
    <row r="195" spans="1:3">
      <c r="A195" s="9">
        <v>259600</v>
      </c>
      <c r="B195" s="3"/>
      <c r="C195" s="3"/>
    </row>
    <row r="196" spans="1:3">
      <c r="A196" s="9">
        <v>262500</v>
      </c>
      <c r="B196" s="3"/>
      <c r="C196" s="3"/>
    </row>
    <row r="197" spans="1:3">
      <c r="A197" s="9">
        <v>266000</v>
      </c>
      <c r="B197" s="3"/>
      <c r="C197" s="3"/>
    </row>
    <row r="198" spans="1:3">
      <c r="A198" s="9">
        <v>280000</v>
      </c>
      <c r="B198" s="3"/>
      <c r="C198" s="3"/>
    </row>
    <row r="199" spans="1:3">
      <c r="A199" s="9">
        <v>280250</v>
      </c>
      <c r="B199" s="3"/>
      <c r="C199" s="3"/>
    </row>
    <row r="200" spans="1:3">
      <c r="A200" s="9">
        <v>295000</v>
      </c>
      <c r="B200" s="3"/>
      <c r="C200" s="3"/>
    </row>
    <row r="201" spans="1:3">
      <c r="A201" s="9">
        <v>297000</v>
      </c>
      <c r="B201" s="3"/>
      <c r="C201" s="3"/>
    </row>
    <row r="202" spans="1:3">
      <c r="A202" s="9">
        <v>303600</v>
      </c>
      <c r="B202" s="3"/>
      <c r="C202" s="3"/>
    </row>
    <row r="203" spans="1:3">
      <c r="A203" s="9">
        <v>306000</v>
      </c>
      <c r="B203" s="3"/>
      <c r="C203" s="3"/>
    </row>
    <row r="204" spans="1:3">
      <c r="A204" s="9">
        <v>312800</v>
      </c>
      <c r="B204" s="3"/>
      <c r="C204" s="3"/>
    </row>
    <row r="205" spans="1:3">
      <c r="A205" s="9">
        <v>313500</v>
      </c>
      <c r="B205" s="3"/>
      <c r="C205" s="3"/>
    </row>
    <row r="206" spans="1:3">
      <c r="A206" s="9">
        <v>316800</v>
      </c>
      <c r="B206" s="3"/>
      <c r="C206" s="3"/>
    </row>
    <row r="207" spans="1:3">
      <c r="A207" s="9">
        <v>323000</v>
      </c>
      <c r="B207" s="3"/>
      <c r="C207" s="3"/>
    </row>
    <row r="208" spans="1:3">
      <c r="A208" s="9">
        <v>326400</v>
      </c>
      <c r="B208" s="3"/>
      <c r="C208" s="3"/>
    </row>
    <row r="209" spans="1:3">
      <c r="A209" s="9">
        <v>330000</v>
      </c>
      <c r="B209" s="3"/>
      <c r="C209" s="3"/>
    </row>
    <row r="210" spans="1:3">
      <c r="A210" s="9">
        <v>336600</v>
      </c>
      <c r="B210" s="3"/>
      <c r="C210" s="3"/>
    </row>
    <row r="211" spans="1:3">
      <c r="A211" s="9">
        <v>339900</v>
      </c>
      <c r="B211" s="3"/>
      <c r="C211" s="3"/>
    </row>
    <row r="212" spans="1:3">
      <c r="A212" s="9">
        <v>340000</v>
      </c>
      <c r="B212" s="3"/>
      <c r="C212" s="3"/>
    </row>
    <row r="213" spans="1:3">
      <c r="A213" s="9">
        <v>342000</v>
      </c>
      <c r="B213" s="3"/>
      <c r="C213" s="3"/>
    </row>
    <row r="214" spans="1:3">
      <c r="A214" s="9">
        <v>346500</v>
      </c>
      <c r="B214" s="3"/>
      <c r="C214" s="3"/>
    </row>
    <row r="215" spans="1:3">
      <c r="A215" s="9">
        <v>346800</v>
      </c>
      <c r="B215" s="3"/>
      <c r="C215" s="3"/>
    </row>
    <row r="216" spans="1:3">
      <c r="A216" s="9">
        <v>349600</v>
      </c>
      <c r="B216" s="3"/>
      <c r="C216" s="3"/>
    </row>
    <row r="217" spans="1:3">
      <c r="A217" s="9">
        <v>350200</v>
      </c>
      <c r="B217" s="3"/>
      <c r="C217" s="3"/>
    </row>
    <row r="218" spans="1:3">
      <c r="A218" s="9">
        <v>357000</v>
      </c>
      <c r="B218" s="3"/>
      <c r="C218" s="3"/>
    </row>
    <row r="219" spans="1:3">
      <c r="A219" s="9">
        <v>360000</v>
      </c>
      <c r="B219" s="3"/>
      <c r="C219" s="3"/>
    </row>
    <row r="220" spans="1:3">
      <c r="A220" s="9">
        <v>361000</v>
      </c>
      <c r="B220" s="3"/>
      <c r="C220" s="3"/>
    </row>
    <row r="221" spans="1:3">
      <c r="A221" s="9">
        <v>364800</v>
      </c>
      <c r="B221" s="3"/>
      <c r="C221" s="3"/>
    </row>
    <row r="222" spans="1:3">
      <c r="A222" s="9">
        <v>368000</v>
      </c>
      <c r="B222" s="3"/>
      <c r="C222" s="3"/>
    </row>
    <row r="223" spans="1:3">
      <c r="A223" s="9">
        <v>369600</v>
      </c>
      <c r="B223" s="3"/>
      <c r="C223" s="3"/>
    </row>
    <row r="224" spans="1:3">
      <c r="A224" s="9">
        <v>380000</v>
      </c>
      <c r="B224" s="3"/>
      <c r="C224" s="3"/>
    </row>
    <row r="225" spans="1:3">
      <c r="A225" s="9">
        <v>380800</v>
      </c>
      <c r="B225" s="3"/>
      <c r="C225" s="3"/>
    </row>
    <row r="226" spans="1:3">
      <c r="A226" s="9">
        <v>384000</v>
      </c>
      <c r="B226" s="3"/>
      <c r="C226" s="3"/>
    </row>
    <row r="227" spans="1:3">
      <c r="A227" s="9">
        <v>387600</v>
      </c>
      <c r="B227" s="3"/>
      <c r="C227" s="3"/>
    </row>
    <row r="228" spans="1:3">
      <c r="A228" s="9">
        <v>389400</v>
      </c>
      <c r="B228" s="3"/>
      <c r="C228" s="3"/>
    </row>
    <row r="229" spans="1:3">
      <c r="A229" s="9">
        <v>391400</v>
      </c>
      <c r="B229" s="3"/>
      <c r="C229" s="3"/>
    </row>
    <row r="230" spans="1:3">
      <c r="A230" s="9">
        <v>396000</v>
      </c>
      <c r="B230" s="3"/>
      <c r="C230" s="3"/>
    </row>
    <row r="231" spans="1:3">
      <c r="A231" s="9">
        <v>399000</v>
      </c>
      <c r="B231" s="3"/>
      <c r="C231" s="3"/>
    </row>
    <row r="232" spans="1:3">
      <c r="A232" s="9">
        <v>400000</v>
      </c>
      <c r="B232" s="3"/>
      <c r="C232" s="3"/>
    </row>
    <row r="233" spans="1:3">
      <c r="A233" s="9">
        <v>401200</v>
      </c>
      <c r="B233" s="3"/>
      <c r="C233" s="3"/>
    </row>
    <row r="234" spans="1:3">
      <c r="A234" s="9">
        <v>404800</v>
      </c>
      <c r="B234" s="3"/>
      <c r="C234" s="3"/>
    </row>
    <row r="235" spans="1:3">
      <c r="A235" s="9">
        <v>408000</v>
      </c>
      <c r="B235" s="3"/>
      <c r="C235" s="3"/>
    </row>
    <row r="236" spans="1:3">
      <c r="A236" s="9">
        <v>412000</v>
      </c>
      <c r="B236" s="3"/>
      <c r="C236" s="3"/>
    </row>
    <row r="237" spans="1:3">
      <c r="A237" s="9">
        <v>418000</v>
      </c>
      <c r="B237" s="3"/>
      <c r="C237" s="3"/>
    </row>
    <row r="238" spans="1:3">
      <c r="A238" s="9">
        <v>420000</v>
      </c>
      <c r="B238" s="3"/>
      <c r="C238" s="3"/>
    </row>
    <row r="239" spans="1:3">
      <c r="A239" s="9">
        <v>422400</v>
      </c>
      <c r="B239" s="3"/>
      <c r="C239" s="3"/>
    </row>
    <row r="240" spans="1:3">
      <c r="A240" s="9">
        <v>425600</v>
      </c>
      <c r="B240" s="3"/>
      <c r="C240" s="3"/>
    </row>
    <row r="241" spans="1:3">
      <c r="A241" s="9">
        <v>440000</v>
      </c>
      <c r="B241" s="3"/>
      <c r="C241" s="3"/>
    </row>
    <row r="242" spans="1:3">
      <c r="A242" s="9">
        <v>445500</v>
      </c>
      <c r="B242" s="3"/>
      <c r="C242" s="3"/>
    </row>
    <row r="243" spans="1:3">
      <c r="A243" s="9">
        <v>448000</v>
      </c>
      <c r="B243" s="3"/>
      <c r="C243" s="3"/>
    </row>
    <row r="244" spans="1:3">
      <c r="A244" s="9">
        <v>448400</v>
      </c>
      <c r="B244" s="3"/>
      <c r="C244" s="3"/>
    </row>
    <row r="245" spans="1:3">
      <c r="A245" s="9">
        <v>448800</v>
      </c>
      <c r="B245" s="3"/>
      <c r="C245" s="3"/>
    </row>
    <row r="246" spans="1:3">
      <c r="A246" s="9">
        <v>453200</v>
      </c>
      <c r="B246" s="3"/>
      <c r="C246" s="3"/>
    </row>
    <row r="247" spans="1:3">
      <c r="A247" s="9">
        <v>455400</v>
      </c>
      <c r="B247" s="3"/>
      <c r="C247" s="3"/>
    </row>
    <row r="248" spans="1:3">
      <c r="A248" s="9">
        <v>459000</v>
      </c>
      <c r="B248" s="3"/>
      <c r="C248" s="3"/>
    </row>
    <row r="249" spans="1:3">
      <c r="A249" s="9">
        <v>462000</v>
      </c>
      <c r="B249" s="3"/>
      <c r="C249" s="3"/>
    </row>
    <row r="250" spans="1:3">
      <c r="A250" s="9">
        <v>469200</v>
      </c>
      <c r="B250" s="3"/>
      <c r="C250" s="3"/>
    </row>
    <row r="251" spans="1:3">
      <c r="A251" s="9">
        <v>470250</v>
      </c>
      <c r="B251" s="3"/>
      <c r="C251" s="3"/>
    </row>
    <row r="252" spans="1:3">
      <c r="A252" s="9">
        <v>472000</v>
      </c>
      <c r="B252" s="3"/>
      <c r="C252" s="3"/>
    </row>
    <row r="253" spans="1:3">
      <c r="A253" s="9">
        <v>475200</v>
      </c>
      <c r="B253" s="3"/>
      <c r="C253" s="3"/>
    </row>
    <row r="254" spans="1:3">
      <c r="A254" s="9">
        <v>484500</v>
      </c>
      <c r="B254" s="3"/>
      <c r="C254" s="3"/>
    </row>
    <row r="255" spans="1:3">
      <c r="A255" s="9">
        <v>489600</v>
      </c>
      <c r="B255" s="3"/>
      <c r="C255" s="3"/>
    </row>
    <row r="256" spans="1:3">
      <c r="A256" s="9">
        <v>492800</v>
      </c>
      <c r="B256" s="3"/>
      <c r="C256" s="3"/>
    </row>
    <row r="257" spans="1:3">
      <c r="A257" s="9">
        <v>495000</v>
      </c>
      <c r="B257" s="3"/>
      <c r="C257" s="3"/>
    </row>
    <row r="258" spans="1:3">
      <c r="A258" s="9">
        <v>504900</v>
      </c>
      <c r="B258" s="3"/>
      <c r="C258" s="3"/>
    </row>
    <row r="259" spans="1:3">
      <c r="A259" s="9">
        <v>509850</v>
      </c>
      <c r="B259" s="3"/>
      <c r="C259" s="3"/>
    </row>
    <row r="260" spans="1:3">
      <c r="A260" s="9">
        <v>510000</v>
      </c>
      <c r="B260" s="3"/>
      <c r="C260" s="3"/>
    </row>
    <row r="261" spans="1:3">
      <c r="A261" s="9">
        <v>513000</v>
      </c>
      <c r="B261" s="3"/>
      <c r="C261" s="3"/>
    </row>
    <row r="262" spans="1:3">
      <c r="A262" s="9">
        <v>519200</v>
      </c>
      <c r="B262" s="3"/>
      <c r="C262" s="3"/>
    </row>
    <row r="263" spans="1:3">
      <c r="A263" s="9">
        <v>519750</v>
      </c>
      <c r="B263" s="3"/>
      <c r="C263" s="3"/>
    </row>
    <row r="264" spans="1:3">
      <c r="A264" s="9">
        <v>520200</v>
      </c>
      <c r="B264" s="3"/>
      <c r="C264" s="3"/>
    </row>
    <row r="265" spans="1:3">
      <c r="A265" s="9">
        <v>524400</v>
      </c>
      <c r="B265" s="3"/>
      <c r="C265" s="3"/>
    </row>
    <row r="266" spans="1:3">
      <c r="A266" s="9">
        <v>525300</v>
      </c>
      <c r="B266" s="3"/>
      <c r="C266" s="3"/>
    </row>
    <row r="267" spans="1:3">
      <c r="A267" s="9">
        <v>535500</v>
      </c>
      <c r="B267" s="3"/>
      <c r="C267" s="3"/>
    </row>
    <row r="268" spans="1:3">
      <c r="A268" s="9">
        <v>540000</v>
      </c>
      <c r="B268" s="3"/>
      <c r="C268" s="3"/>
    </row>
    <row r="269" spans="1:3">
      <c r="A269" s="9">
        <v>541500</v>
      </c>
      <c r="B269" s="3"/>
      <c r="C269" s="3"/>
    </row>
    <row r="270" spans="1:3">
      <c r="A270" s="9">
        <v>547200</v>
      </c>
      <c r="B270" s="3"/>
      <c r="C270" s="3"/>
    </row>
    <row r="271" spans="1:3">
      <c r="A271" s="9">
        <v>552000</v>
      </c>
      <c r="B271" s="3"/>
      <c r="C271" s="3"/>
    </row>
    <row r="272" spans="1:3">
      <c r="A272" s="9">
        <v>554400</v>
      </c>
      <c r="B272" s="3"/>
      <c r="C272" s="3"/>
    </row>
    <row r="273" spans="1:3">
      <c r="A273" s="9">
        <v>570000</v>
      </c>
      <c r="B273" s="3"/>
      <c r="C273" s="3"/>
    </row>
    <row r="274" spans="1:3">
      <c r="A274" s="9">
        <v>571200</v>
      </c>
      <c r="B274" s="3"/>
      <c r="C274" s="3"/>
    </row>
    <row r="275" spans="1:3">
      <c r="A275" s="9">
        <v>576000</v>
      </c>
      <c r="B275" s="3"/>
      <c r="C275" s="3"/>
    </row>
    <row r="276" spans="1:3">
      <c r="A276" s="9">
        <v>581400</v>
      </c>
      <c r="B276" s="3"/>
      <c r="C276" s="3"/>
    </row>
    <row r="277" spans="1:3">
      <c r="A277" s="9">
        <v>584100</v>
      </c>
      <c r="B277" s="3"/>
      <c r="C277" s="3"/>
    </row>
    <row r="278" spans="1:3">
      <c r="A278" s="9">
        <v>587100</v>
      </c>
      <c r="B278" s="3"/>
      <c r="C278" s="3"/>
    </row>
    <row r="279" spans="1:3">
      <c r="A279" s="9">
        <v>594000</v>
      </c>
      <c r="B279" s="3"/>
      <c r="C279" s="3"/>
    </row>
    <row r="280" spans="1:3">
      <c r="A280" s="9">
        <v>598500</v>
      </c>
      <c r="B280" s="3"/>
      <c r="C280" s="3"/>
    </row>
    <row r="281" spans="1:3">
      <c r="A281" s="9">
        <v>600000</v>
      </c>
      <c r="B281" s="3"/>
      <c r="C281" s="3"/>
    </row>
    <row r="282" spans="1:3">
      <c r="A282" s="9">
        <v>601800</v>
      </c>
      <c r="B282" s="3"/>
      <c r="C282" s="3"/>
    </row>
    <row r="283" spans="1:3">
      <c r="A283" s="9">
        <v>607200</v>
      </c>
      <c r="B283" s="3"/>
      <c r="C283" s="3"/>
    </row>
    <row r="284" spans="1:3">
      <c r="A284" s="9">
        <v>612000</v>
      </c>
      <c r="B284" s="3"/>
      <c r="C284" s="3"/>
    </row>
    <row r="285" spans="1:3">
      <c r="A285" s="9">
        <v>618000</v>
      </c>
      <c r="B285" s="3"/>
      <c r="C285" s="3"/>
    </row>
    <row r="286" spans="1:3">
      <c r="A286" s="9">
        <v>625600</v>
      </c>
      <c r="B286" s="3"/>
      <c r="C286" s="3"/>
    </row>
    <row r="287" spans="1:3">
      <c r="A287" s="9">
        <v>627000</v>
      </c>
      <c r="B287" s="3"/>
      <c r="C287" s="3"/>
    </row>
    <row r="288" spans="1:3">
      <c r="A288" s="9">
        <v>630000</v>
      </c>
      <c r="B288" s="3"/>
      <c r="C288" s="3"/>
    </row>
    <row r="289" spans="1:3">
      <c r="A289" s="9">
        <v>633600</v>
      </c>
      <c r="B289" s="3"/>
      <c r="C289" s="3"/>
    </row>
    <row r="290" spans="1:3">
      <c r="A290" s="9">
        <v>638400</v>
      </c>
      <c r="B290" s="3"/>
      <c r="C290" s="3"/>
    </row>
    <row r="291" spans="1:3">
      <c r="A291" s="9">
        <v>646000</v>
      </c>
      <c r="B291" s="3"/>
      <c r="C291" s="3"/>
    </row>
    <row r="292" spans="1:3">
      <c r="A292" s="9">
        <v>652800</v>
      </c>
      <c r="B292" s="3"/>
      <c r="C292" s="3"/>
    </row>
    <row r="293" spans="1:3">
      <c r="A293" s="9">
        <v>660000</v>
      </c>
      <c r="B293" s="3"/>
      <c r="C293" s="3"/>
    </row>
    <row r="294" spans="1:3">
      <c r="A294" s="9">
        <v>672000</v>
      </c>
      <c r="B294" s="3"/>
      <c r="C294" s="3"/>
    </row>
    <row r="295" spans="1:3">
      <c r="A295" s="9">
        <v>672600</v>
      </c>
      <c r="B295" s="3"/>
      <c r="C295" s="3"/>
    </row>
    <row r="296" spans="1:3">
      <c r="A296" s="9">
        <v>673200</v>
      </c>
      <c r="B296" s="3"/>
      <c r="C296" s="3"/>
    </row>
    <row r="297" spans="1:3">
      <c r="A297" s="9">
        <v>679800</v>
      </c>
      <c r="B297" s="3"/>
      <c r="C297" s="3"/>
    </row>
    <row r="298" spans="1:3">
      <c r="A298" s="9">
        <v>680000</v>
      </c>
      <c r="B298" s="3"/>
      <c r="C298" s="3"/>
    </row>
    <row r="299" spans="1:3">
      <c r="A299" s="9">
        <v>684000</v>
      </c>
      <c r="B299" s="3"/>
      <c r="C299" s="3"/>
    </row>
    <row r="300" spans="1:3">
      <c r="A300" s="9">
        <v>688500</v>
      </c>
      <c r="B300" s="3"/>
      <c r="C300" s="3"/>
    </row>
    <row r="301" spans="1:3">
      <c r="A301" s="9">
        <v>693000</v>
      </c>
      <c r="B301" s="3"/>
      <c r="C301" s="3"/>
    </row>
    <row r="302" spans="1:3">
      <c r="A302" s="9">
        <v>693600</v>
      </c>
      <c r="B302" s="3"/>
      <c r="C302" s="3"/>
    </row>
    <row r="303" spans="1:3">
      <c r="A303" s="9">
        <v>699200</v>
      </c>
      <c r="B303" s="3"/>
      <c r="C303" s="3"/>
    </row>
    <row r="304" spans="1:3">
      <c r="A304" s="9">
        <v>700400</v>
      </c>
      <c r="B304" s="3"/>
      <c r="C304" s="3"/>
    </row>
    <row r="305" spans="1:3">
      <c r="A305" s="9">
        <v>703800</v>
      </c>
      <c r="B305" s="3"/>
      <c r="C305" s="3"/>
    </row>
    <row r="306" spans="1:3">
      <c r="A306" s="9">
        <v>708000</v>
      </c>
      <c r="B306" s="3"/>
      <c r="C306" s="3"/>
    </row>
    <row r="307" spans="1:3">
      <c r="A307" s="9">
        <v>714000</v>
      </c>
      <c r="B307" s="3"/>
      <c r="C307" s="3"/>
    </row>
    <row r="308" spans="1:3">
      <c r="A308" s="9">
        <v>720000</v>
      </c>
      <c r="B308" s="3"/>
      <c r="C308" s="3"/>
    </row>
    <row r="309" spans="1:3">
      <c r="A309" s="9">
        <v>722000</v>
      </c>
      <c r="B309" s="3"/>
      <c r="C309" s="3"/>
    </row>
    <row r="310" spans="1:3">
      <c r="A310" s="9">
        <v>726750</v>
      </c>
      <c r="B310" s="3"/>
      <c r="C310" s="3"/>
    </row>
    <row r="311" spans="1:3">
      <c r="A311" s="9">
        <v>729600</v>
      </c>
      <c r="B311" s="3"/>
      <c r="C311" s="3"/>
    </row>
    <row r="312" spans="1:3">
      <c r="A312" s="9">
        <v>734400</v>
      </c>
      <c r="B312" s="3"/>
      <c r="C312" s="3"/>
    </row>
    <row r="313" spans="1:3">
      <c r="A313" s="9">
        <v>736000</v>
      </c>
      <c r="B313" s="3"/>
      <c r="C313" s="3"/>
    </row>
    <row r="314" spans="1:3">
      <c r="A314" s="9">
        <v>739200</v>
      </c>
      <c r="B314" s="3"/>
      <c r="C314" s="3"/>
    </row>
    <row r="315" spans="1:3">
      <c r="A315" s="9">
        <v>760000</v>
      </c>
      <c r="B315" s="3"/>
      <c r="C315" s="3"/>
    </row>
    <row r="316" spans="1:3">
      <c r="A316" s="9">
        <v>761600</v>
      </c>
      <c r="B316" s="3"/>
      <c r="C316" s="3"/>
    </row>
    <row r="317" spans="1:3">
      <c r="A317" s="9">
        <v>765000</v>
      </c>
      <c r="B317" s="3"/>
      <c r="C317" s="3"/>
    </row>
    <row r="318" spans="1:3">
      <c r="A318" s="9">
        <v>768000</v>
      </c>
      <c r="B318" s="3"/>
      <c r="C318" s="3"/>
    </row>
    <row r="319" spans="1:3">
      <c r="A319" s="9">
        <v>769500</v>
      </c>
      <c r="B319" s="3"/>
      <c r="C319" s="3"/>
    </row>
    <row r="320" spans="1:3">
      <c r="A320" s="9">
        <v>775200</v>
      </c>
      <c r="B320" s="3"/>
      <c r="C320" s="3"/>
    </row>
    <row r="321" spans="1:3">
      <c r="A321" s="9">
        <v>778800</v>
      </c>
      <c r="B321" s="3"/>
      <c r="C321" s="3"/>
    </row>
    <row r="322" spans="1:3">
      <c r="A322" s="9">
        <v>780300</v>
      </c>
      <c r="B322" s="3"/>
      <c r="C322" s="3"/>
    </row>
    <row r="323" spans="1:3">
      <c r="A323" s="9">
        <v>782800</v>
      </c>
      <c r="B323" s="3"/>
      <c r="C323" s="3"/>
    </row>
    <row r="324" spans="1:3">
      <c r="A324" s="9">
        <v>786600</v>
      </c>
      <c r="B324" s="3"/>
      <c r="C324" s="3"/>
    </row>
    <row r="325" spans="1:3">
      <c r="A325" s="9">
        <v>787950</v>
      </c>
      <c r="B325" s="3"/>
      <c r="C325" s="3"/>
    </row>
    <row r="326" spans="1:3">
      <c r="A326" s="9">
        <v>798000</v>
      </c>
      <c r="B326" s="3"/>
      <c r="C326" s="3"/>
    </row>
    <row r="327" spans="1:3">
      <c r="A327" s="9">
        <v>800000</v>
      </c>
      <c r="B327" s="3"/>
      <c r="C327" s="3"/>
    </row>
    <row r="328" spans="1:3">
      <c r="A328" s="9">
        <v>802400</v>
      </c>
      <c r="B328" s="3"/>
      <c r="C328" s="3"/>
    </row>
    <row r="329" spans="1:3">
      <c r="A329" s="9">
        <v>803250</v>
      </c>
      <c r="B329" s="3"/>
      <c r="C329" s="3"/>
    </row>
    <row r="330" spans="1:3">
      <c r="A330" s="9">
        <v>810000</v>
      </c>
      <c r="B330" s="3"/>
      <c r="C330" s="3"/>
    </row>
    <row r="331" spans="1:3">
      <c r="A331" s="9">
        <v>812250</v>
      </c>
      <c r="B331" s="3"/>
      <c r="C331" s="3"/>
    </row>
    <row r="332" spans="1:3">
      <c r="A332" s="9">
        <v>816000</v>
      </c>
      <c r="B332" s="3"/>
      <c r="C332" s="3"/>
    </row>
    <row r="333" spans="1:3">
      <c r="A333" s="9">
        <v>820800</v>
      </c>
      <c r="B333" s="3"/>
      <c r="C333" s="3"/>
    </row>
    <row r="334" spans="1:3">
      <c r="A334" s="9">
        <v>824000</v>
      </c>
      <c r="B334" s="3"/>
      <c r="C334" s="3"/>
    </row>
    <row r="335" spans="1:3">
      <c r="A335" s="9">
        <v>828000</v>
      </c>
      <c r="B335" s="3"/>
      <c r="C335" s="3"/>
    </row>
    <row r="336" spans="1:3">
      <c r="A336" s="9">
        <v>840000</v>
      </c>
      <c r="B336" s="3"/>
      <c r="C336" s="3"/>
    </row>
    <row r="337" spans="1:3">
      <c r="A337" s="9">
        <v>851200</v>
      </c>
      <c r="B337" s="3"/>
      <c r="C337" s="3"/>
    </row>
    <row r="338" spans="1:3">
      <c r="A338" s="9">
        <v>855000</v>
      </c>
      <c r="B338" s="3"/>
      <c r="C338" s="3"/>
    </row>
    <row r="339" spans="1:3">
      <c r="A339" s="9">
        <v>856800</v>
      </c>
      <c r="B339" s="3"/>
      <c r="C339" s="3"/>
    </row>
    <row r="340" spans="1:3">
      <c r="A340" s="9">
        <v>864000</v>
      </c>
      <c r="B340" s="3"/>
      <c r="C340" s="3"/>
    </row>
    <row r="341" spans="1:3">
      <c r="A341" s="9">
        <v>872100</v>
      </c>
      <c r="B341" s="3"/>
      <c r="C341" s="3"/>
    </row>
    <row r="342" spans="1:3">
      <c r="A342" s="9">
        <v>880650</v>
      </c>
      <c r="B342" s="3"/>
      <c r="C342" s="3"/>
    </row>
    <row r="343" spans="1:3">
      <c r="A343" s="9">
        <v>896000</v>
      </c>
      <c r="B343" s="3"/>
      <c r="C343" s="3"/>
    </row>
    <row r="344" spans="1:3">
      <c r="A344" s="9">
        <v>896800</v>
      </c>
      <c r="B344" s="3"/>
      <c r="C344" s="3"/>
    </row>
    <row r="345" spans="1:3">
      <c r="A345" s="9">
        <v>897750</v>
      </c>
      <c r="B345" s="3"/>
      <c r="C345" s="3"/>
    </row>
    <row r="346" spans="1:3">
      <c r="A346" s="9">
        <v>900000</v>
      </c>
      <c r="B346" s="3"/>
      <c r="C346" s="3"/>
    </row>
    <row r="347" spans="1:3">
      <c r="A347" s="9">
        <v>902700</v>
      </c>
      <c r="B347" s="3"/>
      <c r="C347" s="3"/>
    </row>
    <row r="348" spans="1:3">
      <c r="A348" s="9">
        <v>918000</v>
      </c>
      <c r="B348" s="3"/>
      <c r="C348" s="3"/>
    </row>
    <row r="349" spans="1:3">
      <c r="A349" s="9">
        <v>927000</v>
      </c>
      <c r="B349" s="3"/>
      <c r="C349" s="3"/>
    </row>
    <row r="350" spans="1:3">
      <c r="A350" s="9">
        <v>938400</v>
      </c>
      <c r="B350" s="3"/>
      <c r="C350" s="3"/>
    </row>
    <row r="351" spans="1:3">
      <c r="A351" s="9">
        <v>944000</v>
      </c>
      <c r="B351" s="3"/>
      <c r="C351" s="3"/>
    </row>
    <row r="352" spans="1:3">
      <c r="A352" s="9">
        <v>945000</v>
      </c>
      <c r="B352" s="3"/>
      <c r="C352" s="3"/>
    </row>
    <row r="353" spans="1:3">
      <c r="A353" s="9">
        <v>957600</v>
      </c>
      <c r="B353" s="3"/>
      <c r="C353" s="3"/>
    </row>
    <row r="354" spans="1:3">
      <c r="A354" s="9">
        <v>969000</v>
      </c>
      <c r="B354" s="3"/>
      <c r="C354" s="3"/>
    </row>
    <row r="355" spans="1:3">
      <c r="A355" s="9">
        <v>979200</v>
      </c>
      <c r="B355" s="3"/>
      <c r="C355" s="3"/>
    </row>
    <row r="356" spans="1:3">
      <c r="A356" s="9">
        <v>1008000</v>
      </c>
      <c r="B356" s="3"/>
      <c r="C356" s="3"/>
    </row>
    <row r="357" spans="1:3">
      <c r="A357" s="9">
        <v>1008900</v>
      </c>
      <c r="B357" s="3"/>
      <c r="C357" s="3"/>
    </row>
    <row r="358" spans="1:3">
      <c r="A358" s="9">
        <v>1020000</v>
      </c>
      <c r="B358" s="3"/>
      <c r="C358" s="3"/>
    </row>
    <row r="359" spans="1:3">
      <c r="A359" s="9">
        <v>1026000</v>
      </c>
      <c r="B359" s="3"/>
      <c r="C359" s="3"/>
    </row>
    <row r="360" spans="1:3">
      <c r="A360" s="9">
        <v>1040400</v>
      </c>
      <c r="B360" s="3"/>
      <c r="C360" s="3"/>
    </row>
    <row r="361" spans="1:3">
      <c r="A361" s="9">
        <v>1048800</v>
      </c>
      <c r="B361" s="3"/>
      <c r="C361" s="3"/>
    </row>
    <row r="362" spans="1:3">
      <c r="A362" s="9">
        <v>1050600</v>
      </c>
      <c r="B362" s="3"/>
      <c r="C362" s="3"/>
    </row>
    <row r="363" spans="1:3">
      <c r="A363" s="9">
        <v>1062000</v>
      </c>
      <c r="B363" s="3"/>
      <c r="C363" s="3"/>
    </row>
    <row r="364" spans="1:3">
      <c r="A364" s="9">
        <v>1071000</v>
      </c>
      <c r="B364" s="3"/>
      <c r="C364" s="3"/>
    </row>
    <row r="365" spans="1:3">
      <c r="A365" s="9">
        <v>1080000</v>
      </c>
      <c r="B365" s="3"/>
      <c r="C365" s="3"/>
    </row>
    <row r="366" spans="1:3">
      <c r="A366" s="9">
        <v>1083000</v>
      </c>
      <c r="B366" s="3"/>
      <c r="C366" s="3"/>
    </row>
    <row r="367" spans="1:3">
      <c r="A367" s="9">
        <v>1094400</v>
      </c>
      <c r="B367" s="3"/>
      <c r="C367" s="3"/>
    </row>
    <row r="368" spans="1:3">
      <c r="A368" s="9">
        <v>1104000</v>
      </c>
      <c r="B368" s="3"/>
      <c r="C368" s="3"/>
    </row>
    <row r="369" spans="1:3">
      <c r="A369" s="9">
        <v>1140000</v>
      </c>
      <c r="B369" s="3"/>
      <c r="C369" s="3"/>
    </row>
    <row r="370" spans="1:3">
      <c r="A370" s="9">
        <v>1142400</v>
      </c>
      <c r="B370" s="3"/>
      <c r="C370" s="3"/>
    </row>
    <row r="371" spans="1:3">
      <c r="A371" s="9">
        <v>1152000</v>
      </c>
      <c r="B371" s="3"/>
      <c r="C371" s="3"/>
    </row>
    <row r="372" spans="1:3">
      <c r="A372" s="9">
        <v>1162800</v>
      </c>
      <c r="B372" s="3"/>
      <c r="C372" s="3"/>
    </row>
    <row r="373" spans="1:3">
      <c r="A373" s="9">
        <v>1174200</v>
      </c>
      <c r="B373" s="3"/>
      <c r="C373" s="3"/>
    </row>
    <row r="374" spans="1:3">
      <c r="A374" s="9">
        <v>1197000</v>
      </c>
      <c r="B374" s="3"/>
      <c r="C374" s="3"/>
    </row>
    <row r="375" spans="1:3">
      <c r="A375" s="9">
        <v>1200000</v>
      </c>
      <c r="B375" s="3"/>
      <c r="C375" s="3"/>
    </row>
    <row r="376" spans="1:3">
      <c r="A376" s="9">
        <v>1203600</v>
      </c>
      <c r="B376" s="3"/>
      <c r="C376" s="3"/>
    </row>
    <row r="377" spans="1:3">
      <c r="A377" s="9">
        <v>1224000</v>
      </c>
      <c r="B377" s="3"/>
      <c r="C377" s="3"/>
    </row>
    <row r="378" spans="1:3">
      <c r="A378" s="9">
        <v>1236000</v>
      </c>
      <c r="B378" s="3"/>
      <c r="C378" s="3"/>
    </row>
    <row r="379" spans="1:3">
      <c r="A379" s="9">
        <v>1260000</v>
      </c>
      <c r="B379" s="3"/>
      <c r="C379" s="3"/>
    </row>
    <row r="380" spans="1:3">
      <c r="A380" s="9">
        <v>1276800</v>
      </c>
      <c r="B380" s="3"/>
      <c r="C380" s="3"/>
    </row>
    <row r="381" spans="1:3">
      <c r="A381" s="9">
        <v>1344000</v>
      </c>
      <c r="B381" s="3"/>
      <c r="C381" s="3"/>
    </row>
    <row r="382" spans="1:3">
      <c r="A382" s="9">
        <v>1345200</v>
      </c>
      <c r="B382" s="3"/>
      <c r="C382" s="3"/>
    </row>
    <row r="383" spans="1:3">
      <c r="A383" s="9">
        <v>1416000</v>
      </c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</sheetData>
  <conditionalFormatting sqref="J4:J93">
    <cfRule type="containsText" dxfId="23" priority="2" operator="containsText" text="Favorable">
      <formula>NOT(ISERROR(SEARCH("Favorable",J4)))</formula>
    </cfRule>
  </conditionalFormatting>
  <conditionalFormatting sqref="J4:J93">
    <cfRule type="containsText" dxfId="22" priority="1" operator="containsText" text="Unfavorable">
      <formula>NOT(ISERROR(SEARCH("Unfavorable",J4)))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403"/>
  <sheetViews>
    <sheetView workbookViewId="0"/>
  </sheetViews>
  <sheetFormatPr defaultRowHeight="15"/>
  <cols>
    <col min="1" max="14" width="21.42578125" customWidth="1"/>
  </cols>
  <sheetData>
    <row r="1" spans="1:14">
      <c r="A1" s="6" t="s">
        <v>164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6" t="s">
        <v>165</v>
      </c>
      <c r="B3" s="3"/>
      <c r="C3" s="3"/>
      <c r="D3" s="2" t="s">
        <v>166</v>
      </c>
      <c r="F3" s="3"/>
      <c r="G3" s="3"/>
      <c r="H3" s="6" t="s">
        <v>165</v>
      </c>
      <c r="I3" s="3"/>
      <c r="J3" s="3"/>
      <c r="K3" s="3"/>
      <c r="L3" s="3"/>
      <c r="M3" s="3"/>
      <c r="N3" s="6" t="s">
        <v>167</v>
      </c>
    </row>
    <row r="4" spans="1:14">
      <c r="A4" s="24" t="s">
        <v>44</v>
      </c>
      <c r="B4" s="3" t="s">
        <v>168</v>
      </c>
      <c r="C4" s="3"/>
      <c r="D4" s="23" t="s">
        <v>43</v>
      </c>
      <c r="E4" t="s">
        <v>168</v>
      </c>
      <c r="G4" s="3"/>
      <c r="H4" s="3"/>
      <c r="I4" s="3"/>
      <c r="J4" s="3"/>
      <c r="K4" s="3"/>
      <c r="L4" s="3"/>
      <c r="M4" s="3"/>
      <c r="N4" s="3"/>
    </row>
    <row r="5" spans="1:14">
      <c r="A5" s="7">
        <v>34650</v>
      </c>
      <c r="B5" s="9">
        <v>83090700</v>
      </c>
      <c r="C5" s="3"/>
      <c r="D5" t="s">
        <v>50</v>
      </c>
      <c r="E5" s="21">
        <v>10307536000</v>
      </c>
      <c r="G5" s="3"/>
      <c r="H5" s="3"/>
      <c r="I5" s="3"/>
      <c r="J5" s="3"/>
      <c r="K5" s="3"/>
      <c r="L5" s="3"/>
      <c r="M5" s="3"/>
      <c r="N5" s="3"/>
    </row>
    <row r="6" spans="1:14">
      <c r="A6" s="7">
        <v>35420</v>
      </c>
      <c r="B6" s="9">
        <v>84937160</v>
      </c>
      <c r="C6" s="3"/>
      <c r="D6" t="s">
        <v>51</v>
      </c>
      <c r="E6" s="21">
        <v>8761405600</v>
      </c>
      <c r="G6" s="3"/>
      <c r="H6" s="3"/>
      <c r="I6" s="3"/>
      <c r="J6" s="3"/>
      <c r="K6" s="3"/>
      <c r="L6" s="3"/>
      <c r="M6" s="3"/>
      <c r="N6" s="3"/>
    </row>
    <row r="7" spans="1:14">
      <c r="A7" s="7">
        <v>36575</v>
      </c>
      <c r="B7" s="9">
        <v>87706850</v>
      </c>
      <c r="C7" s="3"/>
      <c r="D7" t="s">
        <v>52</v>
      </c>
      <c r="E7" s="21">
        <v>9792159200</v>
      </c>
      <c r="G7" s="3"/>
      <c r="H7" s="3"/>
      <c r="I7" s="3"/>
      <c r="J7" s="3"/>
      <c r="K7" s="3"/>
      <c r="L7" s="3"/>
      <c r="M7" s="3"/>
      <c r="N7" s="3"/>
    </row>
    <row r="8" spans="1:14">
      <c r="A8" s="7">
        <v>36960</v>
      </c>
      <c r="B8" s="9">
        <v>88630080</v>
      </c>
      <c r="C8" s="3"/>
      <c r="D8" t="s">
        <v>53</v>
      </c>
      <c r="E8" s="21">
        <v>5669144800</v>
      </c>
      <c r="G8" s="3"/>
      <c r="H8" s="3"/>
      <c r="I8" s="3"/>
      <c r="J8" s="3"/>
      <c r="K8" s="3"/>
      <c r="L8" s="3"/>
      <c r="M8" s="3"/>
      <c r="N8" s="3"/>
    </row>
    <row r="9" spans="1:14">
      <c r="A9" s="7">
        <v>38500</v>
      </c>
      <c r="B9" s="9">
        <v>138484500</v>
      </c>
      <c r="C9" s="3"/>
      <c r="D9" t="s">
        <v>169</v>
      </c>
      <c r="E9" s="21">
        <v>34530245600</v>
      </c>
      <c r="G9" s="3"/>
      <c r="H9" s="3"/>
      <c r="I9" s="3"/>
      <c r="J9" s="3"/>
      <c r="K9" s="3"/>
      <c r="L9" s="3"/>
      <c r="M9" s="3"/>
      <c r="N9" s="3"/>
    </row>
    <row r="10" spans="1:14">
      <c r="A10" s="7">
        <v>39270</v>
      </c>
      <c r="B10" s="9">
        <v>141254190</v>
      </c>
      <c r="C10" s="3"/>
      <c r="G10" s="3"/>
      <c r="H10" s="3"/>
      <c r="I10" s="3"/>
      <c r="J10" s="3"/>
      <c r="K10" s="3"/>
      <c r="L10" s="3"/>
      <c r="M10" s="3"/>
      <c r="N10" s="3"/>
    </row>
    <row r="11" spans="1:14">
      <c r="A11" s="7">
        <v>39655</v>
      </c>
      <c r="B11" s="9">
        <v>47546345</v>
      </c>
      <c r="C11" s="3"/>
      <c r="D11" s="2" t="s">
        <v>170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7">
        <v>40425</v>
      </c>
      <c r="B12" s="9">
        <v>48469575</v>
      </c>
      <c r="C12" s="3"/>
      <c r="D12" s="23" t="s">
        <v>42</v>
      </c>
      <c r="E12" t="s">
        <v>168</v>
      </c>
      <c r="F12" t="s">
        <v>171</v>
      </c>
      <c r="G12" s="3"/>
      <c r="H12" s="3"/>
      <c r="I12" s="3"/>
      <c r="J12" s="3"/>
      <c r="K12" s="3"/>
      <c r="L12" s="3"/>
      <c r="M12" s="3"/>
      <c r="N12" s="3"/>
    </row>
    <row r="13" spans="1:14">
      <c r="A13" s="7">
        <v>43120</v>
      </c>
      <c r="B13" s="9">
        <v>51700880</v>
      </c>
      <c r="C13" s="3"/>
      <c r="D13" t="s">
        <v>49</v>
      </c>
      <c r="E13" s="21">
        <v>10478883750</v>
      </c>
      <c r="F13" s="22">
        <v>14991250</v>
      </c>
      <c r="G13" s="3"/>
      <c r="H13" s="3"/>
      <c r="I13" s="3"/>
      <c r="J13" s="3"/>
      <c r="K13" s="3"/>
      <c r="L13" s="3"/>
      <c r="M13" s="3"/>
      <c r="N13" s="3"/>
    </row>
    <row r="14" spans="1:14">
      <c r="A14" s="7">
        <v>45430</v>
      </c>
      <c r="B14" s="9">
        <v>54470570</v>
      </c>
      <c r="C14" s="3"/>
      <c r="D14" t="s">
        <v>54</v>
      </c>
      <c r="E14" s="21">
        <v>7188604200</v>
      </c>
      <c r="F14" s="22">
        <v>7195800</v>
      </c>
      <c r="G14" s="3"/>
      <c r="H14" s="3"/>
      <c r="I14" s="3"/>
      <c r="J14" s="3"/>
      <c r="K14" s="3"/>
      <c r="L14" s="3"/>
      <c r="M14" s="3"/>
      <c r="N14" s="3"/>
    </row>
    <row r="15" spans="1:14">
      <c r="A15" s="7">
        <v>53550</v>
      </c>
      <c r="B15" s="9">
        <v>128412900</v>
      </c>
      <c r="C15" s="3"/>
      <c r="D15" t="s">
        <v>55</v>
      </c>
      <c r="E15" s="21">
        <v>4608909900</v>
      </c>
      <c r="F15" s="22">
        <v>8395100</v>
      </c>
      <c r="G15" s="3"/>
      <c r="H15" s="3"/>
      <c r="I15" s="3"/>
      <c r="J15" s="3"/>
      <c r="K15" s="3"/>
      <c r="L15" s="3"/>
      <c r="M15" s="3"/>
      <c r="N15" s="3"/>
    </row>
    <row r="16" spans="1:14">
      <c r="A16" s="7">
        <v>54740</v>
      </c>
      <c r="B16" s="9">
        <v>131266520</v>
      </c>
      <c r="D16" t="s">
        <v>56</v>
      </c>
      <c r="E16" s="21">
        <v>5032862450</v>
      </c>
      <c r="F16" s="22">
        <v>4197550</v>
      </c>
      <c r="G16" s="3"/>
      <c r="H16" s="3"/>
      <c r="I16" s="3"/>
      <c r="J16" s="3"/>
      <c r="K16" s="3"/>
      <c r="L16" s="3"/>
      <c r="M16" s="3"/>
      <c r="N16" s="3"/>
    </row>
    <row r="17" spans="1:14">
      <c r="A17" s="7">
        <v>56525</v>
      </c>
      <c r="B17" s="9">
        <v>135546950</v>
      </c>
      <c r="D17" t="s">
        <v>57</v>
      </c>
      <c r="E17" s="21">
        <v>3227316300</v>
      </c>
      <c r="F17" s="22">
        <v>10793700</v>
      </c>
      <c r="G17" s="3"/>
      <c r="H17" s="3"/>
      <c r="I17" s="3"/>
      <c r="J17" s="3"/>
      <c r="K17" s="3"/>
      <c r="L17" s="3"/>
      <c r="M17" s="3"/>
      <c r="N17" s="3"/>
    </row>
    <row r="18" spans="1:14">
      <c r="A18" s="7">
        <v>57120</v>
      </c>
      <c r="B18" s="9">
        <v>136973760</v>
      </c>
      <c r="D18" t="s">
        <v>58</v>
      </c>
      <c r="E18" s="21">
        <v>1403181000</v>
      </c>
      <c r="F18" s="22">
        <v>35979000</v>
      </c>
      <c r="G18" s="3"/>
      <c r="H18" s="3"/>
      <c r="I18" s="3"/>
      <c r="J18" s="3"/>
      <c r="K18" s="3"/>
      <c r="L18" s="3"/>
      <c r="M18" s="3"/>
      <c r="N18" s="3"/>
    </row>
    <row r="19" spans="1:14">
      <c r="A19" s="7">
        <v>59400</v>
      </c>
      <c r="B19" s="9">
        <v>118681200</v>
      </c>
      <c r="D19" t="s">
        <v>59</v>
      </c>
      <c r="E19" s="21">
        <v>575664000</v>
      </c>
      <c r="F19" s="22">
        <v>23986000</v>
      </c>
      <c r="G19" s="3"/>
      <c r="H19" s="3"/>
      <c r="I19" s="3"/>
      <c r="J19" s="3"/>
      <c r="K19" s="3"/>
      <c r="L19" s="3"/>
      <c r="M19" s="3"/>
      <c r="N19" s="3"/>
    </row>
    <row r="20" spans="1:14">
      <c r="A20" s="7">
        <v>59500</v>
      </c>
      <c r="B20" s="9">
        <v>214021500</v>
      </c>
      <c r="D20" t="s">
        <v>60</v>
      </c>
      <c r="E20" s="21">
        <v>863496000</v>
      </c>
      <c r="F20" s="22">
        <v>71958000</v>
      </c>
      <c r="G20" s="3"/>
      <c r="H20" s="3"/>
      <c r="I20" s="3"/>
      <c r="J20" s="3"/>
      <c r="K20" s="3"/>
      <c r="L20" s="3"/>
      <c r="M20" s="3"/>
      <c r="N20" s="3"/>
    </row>
    <row r="21" spans="1:14">
      <c r="A21" s="7">
        <v>59850</v>
      </c>
      <c r="B21" s="9">
        <v>143520300</v>
      </c>
      <c r="D21" t="s">
        <v>61</v>
      </c>
      <c r="E21" s="21">
        <v>719580000</v>
      </c>
      <c r="F21" s="22">
        <v>47972000</v>
      </c>
      <c r="G21" s="3"/>
      <c r="H21" s="2" t="s">
        <v>166</v>
      </c>
      <c r="I21" s="3"/>
      <c r="J21" s="3"/>
      <c r="K21" s="3"/>
      <c r="L21" s="3"/>
      <c r="M21" s="3"/>
      <c r="N21" s="3"/>
    </row>
    <row r="22" spans="1:14">
      <c r="A22" s="7">
        <v>60690</v>
      </c>
      <c r="B22" s="9">
        <v>218301930</v>
      </c>
      <c r="C22" s="3"/>
      <c r="D22" t="s">
        <v>62</v>
      </c>
      <c r="E22" s="21">
        <v>431748000</v>
      </c>
      <c r="F22" s="22">
        <v>53968500</v>
      </c>
      <c r="G22" s="3"/>
      <c r="H22" s="3"/>
      <c r="I22" s="3"/>
      <c r="J22" s="3"/>
      <c r="K22" s="3"/>
      <c r="L22" s="3"/>
      <c r="M22" s="3"/>
      <c r="N22" s="3"/>
    </row>
    <row r="23" spans="1:14">
      <c r="A23" s="7">
        <v>60720</v>
      </c>
      <c r="B23" s="9">
        <v>121318560</v>
      </c>
      <c r="C23" s="3"/>
      <c r="D23" t="s">
        <v>169</v>
      </c>
      <c r="E23" s="21">
        <v>34530245600</v>
      </c>
      <c r="F23" s="22">
        <v>279436900</v>
      </c>
      <c r="G23" s="3"/>
      <c r="H23" s="3"/>
      <c r="I23" s="3"/>
      <c r="J23" s="3"/>
      <c r="K23" s="3"/>
      <c r="L23" s="3"/>
      <c r="M23" s="3"/>
      <c r="N23" s="3"/>
    </row>
    <row r="24" spans="1:14">
      <c r="A24" s="7">
        <v>61180</v>
      </c>
      <c r="B24" s="9">
        <v>146709640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7">
        <v>61285</v>
      </c>
      <c r="B25" s="9">
        <v>73480715</v>
      </c>
      <c r="C25" s="3"/>
      <c r="D25" s="2" t="s">
        <v>172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7">
        <v>62475</v>
      </c>
      <c r="B26" s="9">
        <v>74907525</v>
      </c>
      <c r="C26" s="3"/>
      <c r="D26" s="23" t="s">
        <v>41</v>
      </c>
      <c r="E26" t="s">
        <v>168</v>
      </c>
      <c r="G26" s="3"/>
      <c r="H26" s="3"/>
      <c r="I26" s="3"/>
      <c r="J26" s="3"/>
      <c r="K26" s="3"/>
      <c r="L26" s="3"/>
      <c r="M26" s="3"/>
      <c r="N26" s="3"/>
    </row>
    <row r="27" spans="1:14">
      <c r="A27" s="7">
        <v>62700</v>
      </c>
      <c r="B27" s="9">
        <v>125274600</v>
      </c>
      <c r="C27" s="3"/>
      <c r="D27" s="25">
        <v>45658</v>
      </c>
      <c r="E27" s="21">
        <v>1774738880</v>
      </c>
      <c r="G27" s="3"/>
      <c r="H27" s="3"/>
      <c r="I27" s="3"/>
      <c r="J27" s="3"/>
      <c r="K27" s="3"/>
      <c r="L27" s="3"/>
      <c r="M27" s="3"/>
      <c r="N27" s="3"/>
    </row>
    <row r="28" spans="1:14">
      <c r="A28" s="7">
        <v>63000</v>
      </c>
      <c r="B28" s="9">
        <v>151074000</v>
      </c>
      <c r="C28" s="3"/>
      <c r="D28" s="25">
        <v>45689</v>
      </c>
      <c r="E28" s="21">
        <v>1736157600</v>
      </c>
      <c r="G28" s="3"/>
      <c r="H28" s="3"/>
      <c r="I28" s="3"/>
      <c r="J28" s="3"/>
      <c r="K28" s="3"/>
      <c r="L28" s="3"/>
      <c r="M28" s="3"/>
      <c r="N28" s="3"/>
    </row>
    <row r="29" spans="1:14">
      <c r="A29" s="7">
        <v>63175</v>
      </c>
      <c r="B29" s="9">
        <v>151493650</v>
      </c>
      <c r="C29" s="3"/>
      <c r="D29" s="25">
        <v>45717</v>
      </c>
      <c r="E29" s="21">
        <v>1851901440</v>
      </c>
      <c r="G29" s="3"/>
      <c r="H29" s="3"/>
      <c r="I29" s="3"/>
      <c r="J29" s="3"/>
      <c r="K29" s="3"/>
      <c r="L29" s="3"/>
      <c r="M29" s="3"/>
      <c r="N29" s="3"/>
    </row>
    <row r="30" spans="1:14">
      <c r="A30" s="7">
        <v>63360</v>
      </c>
      <c r="B30" s="9">
        <v>126593280</v>
      </c>
      <c r="C30" s="3"/>
      <c r="D30" s="25">
        <v>45748</v>
      </c>
      <c r="E30" s="21">
        <v>1832610800</v>
      </c>
      <c r="G30" s="3"/>
      <c r="H30" s="3"/>
      <c r="I30" s="3"/>
      <c r="J30" s="3"/>
      <c r="K30" s="3"/>
      <c r="L30" s="3"/>
      <c r="M30" s="3"/>
      <c r="N30" s="3"/>
    </row>
    <row r="31" spans="1:14">
      <c r="A31" s="7">
        <v>63840</v>
      </c>
      <c r="B31" s="9">
        <v>153088320</v>
      </c>
      <c r="C31" s="3"/>
      <c r="D31" s="25">
        <v>45778</v>
      </c>
      <c r="E31" s="21">
        <v>1929064000</v>
      </c>
      <c r="G31" s="3"/>
      <c r="H31" s="3"/>
      <c r="I31" s="3"/>
      <c r="J31" s="3"/>
      <c r="K31" s="3"/>
      <c r="L31" s="3"/>
      <c r="M31" s="3"/>
      <c r="N31" s="3"/>
    </row>
    <row r="32" spans="1:14">
      <c r="A32" s="7">
        <v>64400</v>
      </c>
      <c r="B32" s="9">
        <v>154431200</v>
      </c>
      <c r="C32" s="3"/>
      <c r="D32" s="25">
        <v>45809</v>
      </c>
      <c r="E32" s="21">
        <v>1967645280</v>
      </c>
      <c r="G32" s="3"/>
      <c r="H32" s="3"/>
      <c r="I32" s="3"/>
      <c r="J32" s="3"/>
      <c r="K32" s="3"/>
      <c r="L32" s="3"/>
      <c r="M32" s="3"/>
      <c r="N32" s="3"/>
    </row>
    <row r="33" spans="1:14">
      <c r="A33" s="7">
        <v>66000</v>
      </c>
      <c r="B33" s="9">
        <v>197802000</v>
      </c>
      <c r="C33" s="3"/>
      <c r="D33" s="25">
        <v>45839</v>
      </c>
      <c r="E33" s="21">
        <v>1986935920</v>
      </c>
      <c r="G33" s="3"/>
      <c r="H33" s="3"/>
      <c r="I33" s="3"/>
      <c r="J33" s="3"/>
      <c r="K33" s="3"/>
      <c r="L33" s="3"/>
      <c r="M33" s="3"/>
      <c r="N33" s="3"/>
    </row>
    <row r="34" spans="1:14">
      <c r="A34" s="7">
        <v>66500</v>
      </c>
      <c r="B34" s="9">
        <v>398667500</v>
      </c>
      <c r="C34" s="3"/>
      <c r="D34" s="25">
        <v>45870</v>
      </c>
      <c r="E34" s="21">
        <v>1967645280</v>
      </c>
      <c r="G34" s="3"/>
      <c r="H34" s="3"/>
      <c r="I34" s="3"/>
      <c r="J34" s="3"/>
      <c r="K34" s="3"/>
      <c r="L34" s="3"/>
      <c r="M34" s="3"/>
      <c r="N34" s="3"/>
    </row>
    <row r="35" spans="1:14">
      <c r="A35" s="7">
        <v>66640</v>
      </c>
      <c r="B35" s="9">
        <v>79901360</v>
      </c>
      <c r="C35" s="3"/>
      <c r="D35" s="25">
        <v>45901</v>
      </c>
      <c r="E35" s="21">
        <v>1929064000</v>
      </c>
      <c r="G35" s="3"/>
      <c r="H35" s="3"/>
      <c r="I35" s="3"/>
      <c r="J35" s="3"/>
      <c r="K35" s="3"/>
      <c r="L35" s="3"/>
      <c r="M35" s="3"/>
      <c r="N35" s="3"/>
    </row>
    <row r="36" spans="1:14">
      <c r="A36" s="7">
        <v>67200</v>
      </c>
      <c r="B36" s="9">
        <v>161145600</v>
      </c>
      <c r="C36" s="3"/>
      <c r="D36" s="25">
        <v>45931</v>
      </c>
      <c r="E36" s="21">
        <v>2025517200</v>
      </c>
      <c r="G36" s="3"/>
      <c r="H36" s="3"/>
      <c r="I36" s="3"/>
      <c r="J36" s="3"/>
      <c r="K36" s="3"/>
      <c r="L36" s="3"/>
      <c r="M36" s="3"/>
      <c r="N36" s="3"/>
    </row>
    <row r="37" spans="1:14">
      <c r="A37" s="7">
        <v>67320</v>
      </c>
      <c r="B37" s="9">
        <v>201758040</v>
      </c>
      <c r="C37" s="3"/>
      <c r="D37" s="25">
        <v>45962</v>
      </c>
      <c r="E37" s="21">
        <v>2160551680</v>
      </c>
      <c r="G37" s="3"/>
      <c r="H37" s="3"/>
      <c r="I37" s="3"/>
      <c r="J37" s="3"/>
      <c r="K37" s="3"/>
      <c r="L37" s="3"/>
      <c r="M37" s="3"/>
      <c r="N37" s="3"/>
    </row>
    <row r="38" spans="1:14">
      <c r="A38" s="7">
        <v>67830</v>
      </c>
      <c r="B38" s="9">
        <v>243984510</v>
      </c>
      <c r="C38" s="3"/>
      <c r="D38" s="25">
        <v>45992</v>
      </c>
      <c r="E38" s="21">
        <v>2276295520</v>
      </c>
      <c r="G38" s="3"/>
      <c r="H38" s="2" t="s">
        <v>170</v>
      </c>
      <c r="I38" s="3"/>
      <c r="J38" s="3"/>
      <c r="K38" s="3"/>
      <c r="L38" s="3"/>
      <c r="M38" s="3"/>
      <c r="N38" s="3"/>
    </row>
    <row r="39" spans="1:14">
      <c r="A39" s="7">
        <v>67980</v>
      </c>
      <c r="B39" s="9">
        <v>67912020</v>
      </c>
      <c r="C39" s="3"/>
      <c r="D39" s="25">
        <v>46023</v>
      </c>
      <c r="E39" s="21">
        <v>1774738880</v>
      </c>
      <c r="G39" s="3"/>
      <c r="H39" s="3"/>
      <c r="I39" s="3"/>
      <c r="J39" s="3"/>
      <c r="K39" s="3"/>
      <c r="L39" s="3"/>
      <c r="M39" s="3"/>
      <c r="N39" s="3"/>
    </row>
    <row r="40" spans="1:14">
      <c r="A40" s="7">
        <v>68495</v>
      </c>
      <c r="B40" s="9">
        <v>82125505</v>
      </c>
      <c r="C40" s="3"/>
      <c r="D40" s="25">
        <v>46054</v>
      </c>
      <c r="E40" s="21">
        <v>1736157600</v>
      </c>
      <c r="G40" s="3"/>
      <c r="H40" s="3"/>
      <c r="I40" s="3"/>
      <c r="J40" s="3"/>
      <c r="K40" s="3"/>
      <c r="L40" s="3"/>
      <c r="M40" s="3"/>
      <c r="N40" s="3"/>
    </row>
    <row r="41" spans="1:14">
      <c r="A41" s="7">
        <v>69300</v>
      </c>
      <c r="B41" s="9">
        <v>145322100</v>
      </c>
      <c r="C41" s="3"/>
      <c r="D41" s="25">
        <v>46082</v>
      </c>
      <c r="E41" s="21">
        <v>1851901440</v>
      </c>
      <c r="G41" s="3"/>
      <c r="H41" s="3"/>
      <c r="I41" s="3"/>
      <c r="J41" s="3"/>
      <c r="K41" s="3"/>
      <c r="L41" s="3"/>
      <c r="M41" s="3"/>
      <c r="N41" s="3"/>
    </row>
    <row r="42" spans="1:14">
      <c r="A42" s="7">
        <v>69825</v>
      </c>
      <c r="B42" s="9">
        <v>83720175</v>
      </c>
      <c r="C42" s="3"/>
      <c r="D42" s="25">
        <v>46113</v>
      </c>
      <c r="E42" s="21">
        <v>1832610800</v>
      </c>
      <c r="G42" s="3"/>
      <c r="H42" s="3"/>
      <c r="I42" s="3"/>
      <c r="J42" s="3"/>
      <c r="K42" s="3"/>
      <c r="L42" s="3"/>
      <c r="M42" s="3"/>
      <c r="N42" s="3"/>
    </row>
    <row r="43" spans="1:14">
      <c r="A43" s="7">
        <v>70000</v>
      </c>
      <c r="B43" s="9">
        <v>251790000</v>
      </c>
      <c r="C43" s="3"/>
      <c r="D43" s="25">
        <v>46143</v>
      </c>
      <c r="E43" s="21">
        <v>1929064000</v>
      </c>
      <c r="G43" s="3"/>
      <c r="H43" s="3"/>
      <c r="I43" s="3"/>
      <c r="J43" s="3"/>
      <c r="K43" s="3"/>
      <c r="L43" s="3"/>
      <c r="M43" s="3"/>
      <c r="N43" s="3"/>
    </row>
    <row r="44" spans="1:14">
      <c r="A44" s="7">
        <v>70210</v>
      </c>
      <c r="B44" s="9">
        <v>84181790</v>
      </c>
      <c r="C44" s="3"/>
      <c r="D44" s="25">
        <v>46174</v>
      </c>
      <c r="E44" s="21">
        <v>1967645280</v>
      </c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7">
        <v>70840</v>
      </c>
      <c r="B45" s="9">
        <v>77782320</v>
      </c>
      <c r="C45" s="3"/>
      <c r="D45" s="25" t="s">
        <v>169</v>
      </c>
      <c r="E45" s="21">
        <v>34530245600</v>
      </c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7">
        <v>71400</v>
      </c>
      <c r="B46" s="9">
        <v>256825800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7">
        <v>72100</v>
      </c>
      <c r="B47" s="9">
        <v>86447900</v>
      </c>
      <c r="C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7">
        <v>73150</v>
      </c>
      <c r="B48" s="9">
        <v>80318700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7">
        <v>73500</v>
      </c>
      <c r="B49" s="9">
        <v>88126500</v>
      </c>
      <c r="C49" s="3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7">
        <v>73920</v>
      </c>
      <c r="B50" s="9">
        <v>155010240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7">
        <v>74480</v>
      </c>
      <c r="B51" s="9">
        <v>89301520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7">
        <v>77000</v>
      </c>
      <c r="B52" s="9">
        <v>126819000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7">
        <v>77880</v>
      </c>
      <c r="B53" s="9">
        <v>77802120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7">
        <v>78400</v>
      </c>
      <c r="B54" s="9">
        <v>94001600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7">
        <v>78470</v>
      </c>
      <c r="B55" s="9">
        <v>94085530</v>
      </c>
      <c r="C55" s="3"/>
      <c r="D55" s="3"/>
      <c r="E55" s="3"/>
      <c r="F55" s="3"/>
      <c r="G55" s="3"/>
      <c r="H55" s="2" t="s">
        <v>172</v>
      </c>
      <c r="I55" s="3"/>
      <c r="J55" s="3"/>
      <c r="K55" s="3"/>
      <c r="L55" s="3"/>
      <c r="M55" s="3"/>
      <c r="N55" s="3"/>
    </row>
    <row r="56" spans="1:14">
      <c r="A56" s="7">
        <v>78540</v>
      </c>
      <c r="B56" s="9">
        <v>129355380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7">
        <v>79310</v>
      </c>
      <c r="B57" s="9">
        <v>43541190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7">
        <v>80850</v>
      </c>
      <c r="B58" s="9">
        <v>44386650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7">
        <v>82600</v>
      </c>
      <c r="B59" s="9">
        <v>99037400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7">
        <v>86240</v>
      </c>
      <c r="B60" s="9">
        <v>47345760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7">
        <v>89100</v>
      </c>
      <c r="B61" s="9">
        <v>53281800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7">
        <v>90860</v>
      </c>
      <c r="B62" s="9">
        <v>49882140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7">
        <v>91080</v>
      </c>
      <c r="B63" s="9">
        <v>54465840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7">
        <v>91800</v>
      </c>
      <c r="B64" s="9">
        <v>183416400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7">
        <v>93840</v>
      </c>
      <c r="B65" s="9">
        <v>187492320</v>
      </c>
      <c r="C65" s="3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7">
        <v>94050</v>
      </c>
      <c r="B66" s="9">
        <v>56241900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7">
        <v>95040</v>
      </c>
      <c r="B67" s="9">
        <v>56833920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7">
        <v>96900</v>
      </c>
      <c r="B68" s="9">
        <v>193606200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7">
        <v>97920</v>
      </c>
      <c r="B69" s="9">
        <v>195644160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7">
        <v>99000</v>
      </c>
      <c r="B70" s="9">
        <v>88803000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7">
        <v>100980</v>
      </c>
      <c r="B71" s="9">
        <v>90579060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7">
        <v>101970</v>
      </c>
      <c r="B72" s="9">
        <v>30489030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7">
        <v>102000</v>
      </c>
      <c r="B73" s="9">
        <v>305694000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7">
        <v>102600</v>
      </c>
      <c r="B74" s="9">
        <v>204994800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7">
        <v>103950</v>
      </c>
      <c r="B75" s="9">
        <v>31081050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7">
        <v>104040</v>
      </c>
      <c r="B76" s="9">
        <v>311807880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7">
        <v>104880</v>
      </c>
      <c r="B77" s="9">
        <v>209550240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7">
        <v>105060</v>
      </c>
      <c r="B78" s="9">
        <v>104954940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7">
        <v>107100</v>
      </c>
      <c r="B79" s="9">
        <v>224588700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7">
        <v>108000</v>
      </c>
      <c r="B80" s="9">
        <v>215784000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7">
        <v>108300</v>
      </c>
      <c r="B81" s="9">
        <v>216383400</v>
      </c>
      <c r="C81" s="3"/>
      <c r="D81" s="2"/>
      <c r="E81" s="3"/>
      <c r="F81" s="3"/>
      <c r="G81" s="6"/>
      <c r="H81" s="3"/>
      <c r="I81" s="3"/>
      <c r="J81" s="3"/>
      <c r="K81" s="3"/>
      <c r="L81" s="3"/>
      <c r="M81" s="3"/>
      <c r="N81" s="3"/>
    </row>
    <row r="82" spans="1:14">
      <c r="A82" s="7">
        <v>109440</v>
      </c>
      <c r="B82" s="9">
        <v>218661120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7">
        <v>109480</v>
      </c>
      <c r="B83" s="9">
        <v>120209040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7">
        <v>110400</v>
      </c>
      <c r="B84" s="9">
        <v>220579200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7">
        <v>110880</v>
      </c>
      <c r="B85" s="9">
        <v>33153120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7">
        <v>113050</v>
      </c>
      <c r="B86" s="9">
        <v>124128900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7">
        <v>114000</v>
      </c>
      <c r="B87" s="9">
        <v>569430000</v>
      </c>
      <c r="C87" s="3"/>
    </row>
    <row r="88" spans="1:14">
      <c r="A88" s="7">
        <v>114240</v>
      </c>
      <c r="B88" s="9">
        <v>239561280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7">
        <v>115200</v>
      </c>
      <c r="B89" s="9">
        <v>230169600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7">
        <v>116280</v>
      </c>
      <c r="B90" s="9">
        <v>348491160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7">
        <v>116820</v>
      </c>
      <c r="B91" s="9">
        <v>34929180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7">
        <v>117420</v>
      </c>
      <c r="B92" s="9">
        <v>117302580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7">
        <v>119000</v>
      </c>
      <c r="B93" s="9">
        <v>195993000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7">
        <v>119700</v>
      </c>
      <c r="B94" s="9">
        <v>251010900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7">
        <v>120000</v>
      </c>
      <c r="B95" s="9">
        <v>359640000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7">
        <v>120360</v>
      </c>
      <c r="B96" s="9">
        <v>120239640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7">
        <v>121380</v>
      </c>
      <c r="B97" s="9">
        <v>199912860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7">
        <v>122360</v>
      </c>
      <c r="B98" s="9">
        <v>134351280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7">
        <v>122400</v>
      </c>
      <c r="B99" s="9">
        <v>366832800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7">
        <v>122570</v>
      </c>
      <c r="B100" s="9">
        <v>67290930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7">
        <v>123600</v>
      </c>
      <c r="B101" s="9">
        <v>123476400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7">
        <v>123750</v>
      </c>
      <c r="B102" s="9">
        <v>173002500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7">
        <v>124950</v>
      </c>
      <c r="B103" s="9">
        <v>68597550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7">
        <v>126000</v>
      </c>
      <c r="B104" s="9">
        <v>264222000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7">
        <v>126350</v>
      </c>
      <c r="B105" s="9">
        <v>138732300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7">
        <v>126500</v>
      </c>
      <c r="B106" s="9">
        <v>176847000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7">
        <v>127680</v>
      </c>
      <c r="B107" s="9">
        <v>267744960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7">
        <v>128800</v>
      </c>
      <c r="B108" s="9">
        <v>141422400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7">
        <v>130625</v>
      </c>
      <c r="B109" s="9">
        <v>182613750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7">
        <v>132000</v>
      </c>
      <c r="B110" s="9">
        <v>184536000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7">
        <v>133000</v>
      </c>
      <c r="B111" s="9">
        <v>365085000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7">
        <v>133280</v>
      </c>
      <c r="B112" s="9">
        <v>73170720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7">
        <v>134400</v>
      </c>
      <c r="B113" s="9">
        <v>281836800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7">
        <v>134520</v>
      </c>
      <c r="B114" s="9">
        <v>134385480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7">
        <v>135660</v>
      </c>
      <c r="B115" s="9">
        <v>223432020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7">
        <v>136990</v>
      </c>
      <c r="B116" s="9">
        <v>75207510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7">
        <v>137500</v>
      </c>
      <c r="B117" s="9">
        <v>288337500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7">
        <v>137700</v>
      </c>
      <c r="B118" s="9">
        <v>82344600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7">
        <v>139650</v>
      </c>
      <c r="B119" s="9">
        <v>76667850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7">
        <v>140000</v>
      </c>
      <c r="B120" s="9">
        <v>230580000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>
      <c r="A121" s="7">
        <v>140250</v>
      </c>
      <c r="B121" s="9">
        <v>294104250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>
      <c r="A122" s="7">
        <v>140420</v>
      </c>
      <c r="B122" s="9">
        <v>77090580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>
      <c r="A123" s="7">
        <v>140760</v>
      </c>
      <c r="B123" s="9">
        <v>84174480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>
      <c r="A124" s="7">
        <v>141600</v>
      </c>
      <c r="B124" s="9">
        <v>141458400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>
      <c r="A125" s="7">
        <v>141625</v>
      </c>
      <c r="B125" s="9">
        <v>98995875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>
      <c r="A126" s="7">
        <v>142800</v>
      </c>
      <c r="B126" s="9">
        <v>235191600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>
      <c r="A127" s="7">
        <v>144200</v>
      </c>
      <c r="B127" s="9">
        <v>79165800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>
      <c r="A128" s="7">
        <v>144375</v>
      </c>
      <c r="B128" s="9">
        <v>100918125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>
      <c r="A129" s="7">
        <v>145350</v>
      </c>
      <c r="B129" s="9">
        <v>86919300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>
      <c r="A130" s="7">
        <v>146880</v>
      </c>
      <c r="B130" s="9">
        <v>87834240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>
      <c r="A131" s="7">
        <v>147000</v>
      </c>
      <c r="B131" s="9">
        <v>80703000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>
      <c r="A132" s="7">
        <v>148960</v>
      </c>
      <c r="B132" s="9">
        <v>81779040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>
      <c r="A133" s="7">
        <v>153000</v>
      </c>
      <c r="B133" s="9">
        <v>137241000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>
      <c r="A134" s="7">
        <v>153900</v>
      </c>
      <c r="B134" s="9">
        <v>92032200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>
      <c r="A135" s="7">
        <v>154000</v>
      </c>
      <c r="B135" s="9">
        <v>107646000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>
      <c r="A136" s="7">
        <v>156060</v>
      </c>
      <c r="B136" s="9">
        <v>139985820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>
      <c r="A137" s="7">
        <v>156800</v>
      </c>
      <c r="B137" s="9">
        <v>86083200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>
      <c r="A138" s="7">
        <v>156940</v>
      </c>
      <c r="B138" s="9">
        <v>86160060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>
      <c r="A139" s="7">
        <v>157320</v>
      </c>
      <c r="B139" s="9">
        <v>94077360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>
      <c r="A140" s="7">
        <v>157590</v>
      </c>
      <c r="B140" s="9">
        <v>47119410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>
      <c r="A141" s="7">
        <v>160650</v>
      </c>
      <c r="B141" s="9">
        <v>48034350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>
      <c r="A142" s="7">
        <v>162000</v>
      </c>
      <c r="B142" s="9">
        <v>96876000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>
      <c r="A143" s="7">
        <v>162250</v>
      </c>
      <c r="B143" s="9">
        <v>113412750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>
      <c r="A144" s="7">
        <v>162450</v>
      </c>
      <c r="B144" s="9">
        <v>97145100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>
      <c r="A145" s="7">
        <v>164160</v>
      </c>
      <c r="B145" s="9">
        <v>98167680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>
      <c r="A146" s="7">
        <v>165200</v>
      </c>
      <c r="B146" s="9">
        <v>90694800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>
      <c r="A147" s="7">
        <v>165600</v>
      </c>
      <c r="B147" s="9">
        <v>99028800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>
      <c r="A148" s="7">
        <v>171000</v>
      </c>
      <c r="B148" s="9">
        <v>255645000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>
      <c r="A149" s="7">
        <v>171360</v>
      </c>
      <c r="B149" s="9">
        <v>51236640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>
      <c r="A150" s="7">
        <v>172800</v>
      </c>
      <c r="B150" s="9">
        <v>103334400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>
      <c r="A151" s="7">
        <v>174420</v>
      </c>
      <c r="B151" s="9">
        <v>156454740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>
      <c r="A152" s="7">
        <v>176130</v>
      </c>
      <c r="B152" s="9">
        <v>52662870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>
      <c r="A153" s="7">
        <v>179550</v>
      </c>
      <c r="B153" s="9">
        <v>53685450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>
      <c r="A154" s="7">
        <v>180000</v>
      </c>
      <c r="B154" s="9">
        <v>161460000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>
      <c r="A155" s="7">
        <v>180540</v>
      </c>
      <c r="B155" s="9">
        <v>53981460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>
      <c r="A156" s="7">
        <v>183600</v>
      </c>
      <c r="B156" s="9">
        <v>164689200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>
      <c r="A157" s="7">
        <v>185400</v>
      </c>
      <c r="B157" s="9">
        <v>55434600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>
      <c r="A158" s="7">
        <v>189000</v>
      </c>
      <c r="B158" s="9">
        <v>56511000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>
      <c r="A159" s="7">
        <v>191250</v>
      </c>
      <c r="B159" s="9">
        <v>267367500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>
      <c r="A160" s="7">
        <v>191520</v>
      </c>
      <c r="B160" s="9">
        <v>57264480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>
      <c r="A161" s="7">
        <v>195500</v>
      </c>
      <c r="B161" s="9">
        <v>273309000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>
      <c r="A162" s="7">
        <v>198000</v>
      </c>
      <c r="B162" s="9">
        <v>9504000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>
      <c r="A163" s="7">
        <v>201600</v>
      </c>
      <c r="B163" s="9">
        <v>60278400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>
      <c r="A164" s="7">
        <v>201780</v>
      </c>
      <c r="B164" s="9">
        <v>60332220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>
      <c r="A165" s="7">
        <v>201875</v>
      </c>
      <c r="B165" s="9">
        <v>282221250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>
      <c r="A166" s="7">
        <v>202400</v>
      </c>
      <c r="B166" s="9">
        <v>9715200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>
      <c r="A167" s="7">
        <v>204000</v>
      </c>
      <c r="B167" s="9">
        <v>285192000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>
      <c r="A168" s="7">
        <v>209000</v>
      </c>
      <c r="B168" s="9">
        <v>10032000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>
      <c r="A169" s="7">
        <v>211200</v>
      </c>
      <c r="B169" s="9">
        <v>10137600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>
      <c r="A170" s="7">
        <v>212400</v>
      </c>
      <c r="B170" s="9">
        <v>63507600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>
      <c r="A171" s="7">
        <v>212500</v>
      </c>
      <c r="B171" s="9">
        <v>445612500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>
      <c r="A172" s="7">
        <v>213750</v>
      </c>
      <c r="B172" s="9">
        <v>298822500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>
      <c r="A173" s="7">
        <v>216750</v>
      </c>
      <c r="B173" s="9">
        <v>454524750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>
      <c r="A174" s="7">
        <v>218500</v>
      </c>
      <c r="B174" s="9">
        <v>305463000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>
      <c r="A175" s="7">
        <v>218875</v>
      </c>
      <c r="B175" s="9">
        <v>152993625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>
      <c r="A176" s="7">
        <v>220000</v>
      </c>
      <c r="B176" s="9">
        <v>15840000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>
      <c r="A177" s="7">
        <v>223125</v>
      </c>
      <c r="B177" s="9">
        <v>155964375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>
      <c r="A178" s="7">
        <v>224400</v>
      </c>
      <c r="B178" s="9">
        <v>16156800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>
      <c r="A179" s="7">
        <v>225000</v>
      </c>
      <c r="B179" s="9">
        <v>314550000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>
      <c r="A180" s="7">
        <v>225625</v>
      </c>
      <c r="B180" s="9">
        <v>315423750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>
      <c r="A181" s="7">
        <v>226600</v>
      </c>
      <c r="B181" s="9">
        <v>5438400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>
      <c r="A182" s="7">
        <v>228000</v>
      </c>
      <c r="B182" s="9">
        <v>318744000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>
      <c r="A183" s="7">
        <v>230000</v>
      </c>
      <c r="B183" s="9">
        <v>321540000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>
      <c r="A184" s="7">
        <v>231000</v>
      </c>
      <c r="B184" s="9">
        <v>5544000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>
      <c r="A185" s="7">
        <v>237500</v>
      </c>
      <c r="B185" s="9">
        <v>830062500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>
      <c r="A186" s="7">
        <v>238000</v>
      </c>
      <c r="B186" s="9">
        <v>166362000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>
      <c r="A187" s="7">
        <v>240000</v>
      </c>
      <c r="B187" s="9">
        <v>335520000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>
      <c r="A188" s="7">
        <v>242250</v>
      </c>
      <c r="B188" s="9">
        <v>507998250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>
      <c r="A189" s="7">
        <v>244625</v>
      </c>
      <c r="B189" s="9">
        <v>170992875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>
      <c r="A190" s="7">
        <v>246400</v>
      </c>
      <c r="B190" s="9">
        <v>5913600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>
      <c r="A191" s="7">
        <v>249375</v>
      </c>
      <c r="B191" s="9">
        <v>174313125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>
      <c r="A192" s="7">
        <v>250000</v>
      </c>
      <c r="B192" s="9">
        <v>524250000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>
      <c r="A193" s="7">
        <v>250750</v>
      </c>
      <c r="B193" s="9">
        <v>175274250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>
      <c r="A194" s="7">
        <v>255000</v>
      </c>
      <c r="B194" s="9">
        <v>534735000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>
      <c r="A195" s="7">
        <v>257500</v>
      </c>
      <c r="B195" s="9">
        <v>179992500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>
      <c r="A196" s="7">
        <v>259600</v>
      </c>
      <c r="B196" s="9">
        <v>6230400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>
      <c r="A197" s="7">
        <v>262500</v>
      </c>
      <c r="B197" s="9">
        <v>183487500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>
      <c r="A198" s="7">
        <v>266000</v>
      </c>
      <c r="B198" s="9">
        <v>185934000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>
      <c r="A199" s="7">
        <v>280000</v>
      </c>
      <c r="B199" s="9">
        <v>195720000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>
      <c r="A200" s="7">
        <v>280250</v>
      </c>
      <c r="B200" s="9">
        <v>195894750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>
      <c r="A201" s="7">
        <v>295000</v>
      </c>
      <c r="B201" s="9">
        <v>206205000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>
      <c r="A202" s="7">
        <v>297000</v>
      </c>
      <c r="B202" s="9">
        <v>23166000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>
      <c r="A203" s="7">
        <v>303600</v>
      </c>
      <c r="B203" s="9">
        <v>23680800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>
      <c r="A204" s="7">
        <v>306000</v>
      </c>
      <c r="B204" s="9">
        <v>14688000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>
      <c r="A205" s="7">
        <v>312800</v>
      </c>
      <c r="B205" s="9">
        <v>15014400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>
      <c r="A206" s="7">
        <v>313500</v>
      </c>
      <c r="B206" s="9">
        <v>24453000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>
      <c r="A207" s="7">
        <v>316800</v>
      </c>
      <c r="B207" s="9">
        <v>24710400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>
      <c r="A208" s="7">
        <v>323000</v>
      </c>
      <c r="B208" s="9">
        <v>15504000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>
      <c r="A209" s="7">
        <v>326400</v>
      </c>
      <c r="B209" s="9">
        <v>15667200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>
      <c r="A210" s="7">
        <v>330000</v>
      </c>
      <c r="B210" s="9">
        <v>38610000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>
      <c r="A211" s="7">
        <v>336600</v>
      </c>
      <c r="B211" s="9">
        <v>39382200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>
      <c r="A212" s="7">
        <v>339900</v>
      </c>
      <c r="B212" s="9">
        <v>13256100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>
      <c r="A213" s="7">
        <v>340000</v>
      </c>
      <c r="B213" s="9">
        <v>24480000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>
      <c r="A214" s="7">
        <v>342000</v>
      </c>
      <c r="B214" s="9">
        <v>16416000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>
      <c r="A215" s="7">
        <v>346500</v>
      </c>
      <c r="B215" s="9">
        <v>13513500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>
      <c r="A216" s="7">
        <v>346800</v>
      </c>
      <c r="B216" s="9">
        <v>24969600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>
      <c r="A217" s="7">
        <v>349600</v>
      </c>
      <c r="B217" s="9">
        <v>16780800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>
      <c r="A218" s="7">
        <v>350200</v>
      </c>
      <c r="B218" s="9">
        <v>8404800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>
      <c r="A219" s="7">
        <v>357000</v>
      </c>
      <c r="B219" s="9">
        <v>8568000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>
      <c r="A220" s="7">
        <v>360000</v>
      </c>
      <c r="B220" s="9">
        <v>17280000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>
      <c r="A221" s="7">
        <v>361000</v>
      </c>
      <c r="B221" s="9">
        <v>17328000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>
      <c r="A222" s="7">
        <v>364800</v>
      </c>
      <c r="B222" s="9">
        <v>17510400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>
      <c r="A223" s="7">
        <v>368000</v>
      </c>
      <c r="B223" s="9">
        <v>17664000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>
      <c r="A224" s="7">
        <v>369600</v>
      </c>
      <c r="B224" s="9">
        <v>14414400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>
      <c r="A225" s="7">
        <v>380000</v>
      </c>
      <c r="B225" s="9">
        <v>45600000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>
      <c r="A226" s="7">
        <v>380800</v>
      </c>
      <c r="B226" s="9">
        <v>9139200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>
      <c r="A227" s="7">
        <v>384000</v>
      </c>
      <c r="B227" s="9">
        <v>18432000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>
      <c r="A228" s="7">
        <v>387600</v>
      </c>
      <c r="B228" s="9">
        <v>27907200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>
      <c r="A229" s="7">
        <v>389400</v>
      </c>
      <c r="B229" s="9">
        <v>15186600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>
      <c r="A230" s="7">
        <v>391400</v>
      </c>
      <c r="B230" s="9">
        <v>9393600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>
      <c r="A231" s="7">
        <v>396000</v>
      </c>
      <c r="B231" s="9">
        <v>11880000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>
      <c r="A232" s="7">
        <v>399000</v>
      </c>
      <c r="B232" s="9">
        <v>9576000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>
      <c r="A233" s="7">
        <v>400000</v>
      </c>
      <c r="B233" s="9">
        <v>28800000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>
      <c r="A234" s="7">
        <v>401200</v>
      </c>
      <c r="B234" s="9">
        <v>9628800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>
      <c r="A235" s="7">
        <v>404800</v>
      </c>
      <c r="B235" s="9">
        <v>12144000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>
      <c r="A236" s="7">
        <v>408000</v>
      </c>
      <c r="B236" s="9">
        <v>29376000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>
      <c r="A237" s="7">
        <v>412000</v>
      </c>
      <c r="B237" s="9">
        <v>9888000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>
      <c r="A238" s="7">
        <v>418000</v>
      </c>
      <c r="B238" s="9">
        <v>12540000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>
      <c r="A239" s="7">
        <v>420000</v>
      </c>
      <c r="B239" s="9">
        <v>10080000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>
      <c r="A240" s="7">
        <v>422400</v>
      </c>
      <c r="B240" s="9">
        <v>12672000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>
      <c r="A241" s="7">
        <v>425600</v>
      </c>
      <c r="B241" s="9">
        <v>10214400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>
      <c r="A242" s="7">
        <v>440000</v>
      </c>
      <c r="B242" s="9">
        <v>19800000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>
      <c r="A243" s="7">
        <v>445500</v>
      </c>
      <c r="B243" s="9">
        <v>7128000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>
      <c r="A244" s="7">
        <v>448000</v>
      </c>
      <c r="B244" s="9">
        <v>10752000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>
      <c r="A245" s="7">
        <v>448400</v>
      </c>
      <c r="B245" s="9">
        <v>10761600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>
      <c r="A246" s="7">
        <v>448800</v>
      </c>
      <c r="B246" s="9">
        <v>20196000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>
      <c r="A247" s="7">
        <v>453200</v>
      </c>
      <c r="B247" s="9">
        <v>6798000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>
      <c r="A248" s="7">
        <v>455400</v>
      </c>
      <c r="B248" s="9">
        <v>7286400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>
      <c r="A249" s="7">
        <v>459000</v>
      </c>
      <c r="B249" s="9">
        <v>35802000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>
      <c r="A250" s="7">
        <v>462000</v>
      </c>
      <c r="B250" s="9">
        <v>6930000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>
      <c r="A251" s="7">
        <v>469200</v>
      </c>
      <c r="B251" s="9">
        <v>36597600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>
      <c r="A252" s="7">
        <v>470250</v>
      </c>
      <c r="B252" s="9">
        <v>7524000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>
      <c r="A253" s="7">
        <v>472000</v>
      </c>
      <c r="B253" s="9">
        <v>11328000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>
      <c r="A254" s="7">
        <v>475200</v>
      </c>
      <c r="B254" s="9">
        <v>7603200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>
      <c r="A255" s="7">
        <v>484500</v>
      </c>
      <c r="B255" s="9">
        <v>37791000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>
      <c r="A256" s="7">
        <v>489600</v>
      </c>
      <c r="B256" s="9">
        <v>38188800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>
      <c r="A257" s="7">
        <v>492800</v>
      </c>
      <c r="B257" s="9">
        <v>7392000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>
      <c r="A258" s="7">
        <v>495000</v>
      </c>
      <c r="B258" s="9">
        <v>11880000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>
      <c r="A259" s="7">
        <v>504900</v>
      </c>
      <c r="B259" s="9">
        <v>12117600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>
      <c r="A260" s="7">
        <v>509850</v>
      </c>
      <c r="B260" s="9">
        <v>4078800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>
      <c r="A261" s="7">
        <v>510000</v>
      </c>
      <c r="B261" s="9">
        <v>59670000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>
      <c r="A262" s="7">
        <v>513000</v>
      </c>
      <c r="B262" s="9">
        <v>40014000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>
      <c r="A263" s="7">
        <v>519200</v>
      </c>
      <c r="B263" s="9">
        <v>7788000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>
      <c r="A264" s="7">
        <v>519750</v>
      </c>
      <c r="B264" s="9">
        <v>4158000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>
      <c r="A265" s="7">
        <v>520200</v>
      </c>
      <c r="B265" s="9">
        <v>60863400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>
      <c r="A266" s="7">
        <v>524400</v>
      </c>
      <c r="B266" s="9">
        <v>40903200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>
      <c r="A267" s="7">
        <v>525300</v>
      </c>
      <c r="B267" s="9">
        <v>20486700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>
      <c r="A268" s="7">
        <v>535500</v>
      </c>
      <c r="B268" s="9">
        <v>20884500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>
      <c r="A269" s="7">
        <v>540000</v>
      </c>
      <c r="B269" s="9">
        <v>42120000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>
      <c r="A270" s="7">
        <v>541500</v>
      </c>
      <c r="B270" s="9">
        <v>42237000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>
      <c r="A271" s="7">
        <v>547200</v>
      </c>
      <c r="B271" s="9">
        <v>42681600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>
      <c r="A272" s="7">
        <v>552000</v>
      </c>
      <c r="B272" s="9">
        <v>43056000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>
      <c r="A273" s="7">
        <v>554400</v>
      </c>
      <c r="B273" s="9">
        <v>4435200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>
      <c r="A274" s="7">
        <v>570000</v>
      </c>
      <c r="B274" s="9">
        <v>111150000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>
      <c r="A275" s="7">
        <v>571200</v>
      </c>
      <c r="B275" s="9">
        <v>22276800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>
      <c r="A276" s="7">
        <v>576000</v>
      </c>
      <c r="B276" s="9">
        <v>44928000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>
      <c r="A277" s="7">
        <v>581400</v>
      </c>
      <c r="B277" s="9">
        <v>68023800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>
      <c r="A278" s="7">
        <v>584100</v>
      </c>
      <c r="B278" s="9">
        <v>4672800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>
      <c r="A279" s="7">
        <v>587100</v>
      </c>
      <c r="B279" s="9">
        <v>22896900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>
      <c r="A280" s="7">
        <v>594000</v>
      </c>
      <c r="B280" s="9">
        <v>14256000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>
      <c r="A281" s="7">
        <v>598500</v>
      </c>
      <c r="B281" s="9">
        <v>23341500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>
      <c r="A282" s="7">
        <v>600000</v>
      </c>
      <c r="B282" s="9">
        <v>70200000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>
      <c r="A283" s="7">
        <v>601800</v>
      </c>
      <c r="B283" s="9">
        <v>23470200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>
      <c r="A284" s="7">
        <v>607200</v>
      </c>
      <c r="B284" s="9">
        <v>14572800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>
      <c r="A285" s="7">
        <v>612000</v>
      </c>
      <c r="B285" s="9">
        <v>89964000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>
      <c r="A286" s="7">
        <v>618000</v>
      </c>
      <c r="B286" s="9">
        <v>24102000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>
      <c r="A287" s="7">
        <v>625600</v>
      </c>
      <c r="B287" s="9">
        <v>18768000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>
      <c r="A288" s="7">
        <v>627000</v>
      </c>
      <c r="B288" s="9">
        <v>15048000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>
      <c r="A289" s="7">
        <v>630000</v>
      </c>
      <c r="B289" s="9">
        <v>24570000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>
      <c r="A290" s="7">
        <v>633600</v>
      </c>
      <c r="B290" s="9">
        <v>15206400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>
      <c r="A291" s="7">
        <v>638400</v>
      </c>
      <c r="B291" s="9">
        <v>24897600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>
      <c r="A292" s="7">
        <v>646000</v>
      </c>
      <c r="B292" s="9">
        <v>19380000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>
      <c r="A293" s="7">
        <v>652800</v>
      </c>
      <c r="B293" s="9">
        <v>19584000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>
      <c r="A294" s="7">
        <v>660000</v>
      </c>
      <c r="B294" s="9">
        <v>23760000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>
      <c r="A295" s="7">
        <v>672000</v>
      </c>
      <c r="B295" s="9">
        <v>26208000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>
      <c r="A296" s="7">
        <v>672600</v>
      </c>
      <c r="B296" s="9">
        <v>26231400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>
      <c r="A297" s="7">
        <v>673200</v>
      </c>
      <c r="B297" s="9">
        <v>24235200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>
      <c r="A298" s="7">
        <v>679800</v>
      </c>
      <c r="B298" s="9">
        <v>8157600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>
      <c r="A299" s="7">
        <v>680000</v>
      </c>
      <c r="B299" s="9">
        <v>30600000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>
      <c r="A300" s="7">
        <v>684000</v>
      </c>
      <c r="B300" s="9">
        <v>20520000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>
      <c r="A301" s="7">
        <v>688500</v>
      </c>
      <c r="B301" s="9">
        <v>11016000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>
      <c r="A302" s="7">
        <v>693000</v>
      </c>
      <c r="B302" s="9">
        <v>8316000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>
      <c r="A303" s="7">
        <v>693600</v>
      </c>
      <c r="B303" s="9">
        <v>31212000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>
      <c r="A304" s="7">
        <v>699200</v>
      </c>
      <c r="B304" s="9">
        <v>20976000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>
      <c r="A305" s="7">
        <v>700400</v>
      </c>
      <c r="B305" s="9">
        <v>10506000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>
      <c r="A306" s="7">
        <v>703800</v>
      </c>
      <c r="B306" s="9">
        <v>11260800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>
      <c r="A307" s="7">
        <v>708000</v>
      </c>
      <c r="B307" s="9">
        <v>27612000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>
      <c r="A308" s="7">
        <v>714000</v>
      </c>
      <c r="B308" s="9">
        <v>10710000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>
      <c r="A309" s="7">
        <v>720000</v>
      </c>
      <c r="B309" s="9">
        <v>21600000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>
      <c r="A310" s="7">
        <v>722000</v>
      </c>
      <c r="B310" s="9">
        <v>21660000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>
      <c r="A311" s="7">
        <v>726750</v>
      </c>
      <c r="B311" s="9">
        <v>11628000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>
      <c r="A312" s="7">
        <v>729600</v>
      </c>
      <c r="B312" s="9">
        <v>21888000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>
      <c r="A313" s="7">
        <v>734400</v>
      </c>
      <c r="B313" s="9">
        <v>11750400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>
      <c r="A314" s="7">
        <v>736000</v>
      </c>
      <c r="B314" s="9">
        <v>22080000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>
      <c r="A315" s="7">
        <v>739200</v>
      </c>
      <c r="B315" s="9">
        <v>8870400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>
      <c r="A316" s="7">
        <v>760000</v>
      </c>
      <c r="B316" s="9">
        <v>57000000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>
      <c r="A317" s="7">
        <v>761600</v>
      </c>
      <c r="B317" s="9">
        <v>11424000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>
      <c r="A318" s="7">
        <v>765000</v>
      </c>
      <c r="B318" s="9">
        <v>18360000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>
      <c r="A319" s="7">
        <v>768000</v>
      </c>
      <c r="B319" s="9">
        <v>23040000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>
      <c r="A320" s="7">
        <v>769500</v>
      </c>
      <c r="B320" s="9">
        <v>12312000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>
      <c r="A321" s="7">
        <v>775200</v>
      </c>
      <c r="B321" s="9">
        <v>34884000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>
      <c r="A322" s="7">
        <v>778800</v>
      </c>
      <c r="B322" s="9">
        <v>9345600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>
      <c r="A323" s="7">
        <v>780300</v>
      </c>
      <c r="B323" s="9">
        <v>18727200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>
      <c r="A324" s="7">
        <v>782800</v>
      </c>
      <c r="B324" s="9">
        <v>11742000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>
      <c r="A325" s="7">
        <v>786600</v>
      </c>
      <c r="B325" s="9">
        <v>12585600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>
      <c r="A326" s="7">
        <v>787950</v>
      </c>
      <c r="B326" s="9">
        <v>6303600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>
      <c r="A327" s="7">
        <v>798000</v>
      </c>
      <c r="B327" s="9">
        <v>11970000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>
      <c r="A328" s="7">
        <v>800000</v>
      </c>
      <c r="B328" s="9">
        <v>36000000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>
      <c r="A329" s="7">
        <v>802400</v>
      </c>
      <c r="B329" s="9">
        <v>12036000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>
      <c r="A330" s="7">
        <v>803250</v>
      </c>
      <c r="B330" s="9">
        <v>6426000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>
      <c r="A331" s="7">
        <v>810000</v>
      </c>
      <c r="B331" s="9">
        <v>12960000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>
      <c r="A332" s="7">
        <v>812250</v>
      </c>
      <c r="B332" s="9">
        <v>12996000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>
      <c r="A333" s="7">
        <v>816000</v>
      </c>
      <c r="B333" s="9">
        <v>36720000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>
      <c r="A334" s="7">
        <v>820800</v>
      </c>
      <c r="B334" s="9">
        <v>13132800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>
      <c r="A335" s="7">
        <v>824000</v>
      </c>
      <c r="B335" s="9">
        <v>12360000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>
      <c r="A336" s="7">
        <v>828000</v>
      </c>
      <c r="B336" s="9">
        <v>13248000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>
      <c r="A337" s="7">
        <v>840000</v>
      </c>
      <c r="B337" s="9">
        <v>12600000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>
      <c r="A338" s="7">
        <v>851200</v>
      </c>
      <c r="B338" s="9">
        <v>12768000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>
      <c r="A339" s="7">
        <v>855000</v>
      </c>
      <c r="B339" s="9">
        <v>34200000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>
      <c r="A340" s="7">
        <v>856800</v>
      </c>
      <c r="B340" s="9">
        <v>6854400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>
      <c r="A341" s="7">
        <v>864000</v>
      </c>
      <c r="B341" s="9">
        <v>13824000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>
      <c r="A342" s="7">
        <v>872100</v>
      </c>
      <c r="B342" s="9">
        <v>20930400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>
      <c r="A343" s="7">
        <v>880650</v>
      </c>
      <c r="B343" s="9">
        <v>7045200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>
      <c r="A344" s="7">
        <v>896000</v>
      </c>
      <c r="B344" s="9">
        <v>13440000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>
      <c r="A345" s="7">
        <v>896800</v>
      </c>
      <c r="B345" s="9">
        <v>13452000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>
      <c r="A346" s="7">
        <v>897750</v>
      </c>
      <c r="B346" s="9">
        <v>7182000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>
      <c r="A347" s="7">
        <v>900000</v>
      </c>
      <c r="B347" s="9">
        <v>21600000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>
      <c r="A348" s="7">
        <v>902700</v>
      </c>
      <c r="B348" s="9">
        <v>7221600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>
      <c r="A349" s="7">
        <v>918000</v>
      </c>
      <c r="B349" s="9">
        <v>44064000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>
      <c r="A350" s="7">
        <v>927000</v>
      </c>
      <c r="B350" s="9">
        <v>7416000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>
      <c r="A351" s="7">
        <v>938400</v>
      </c>
      <c r="B351" s="9">
        <v>22521600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>
      <c r="A352" s="7">
        <v>944000</v>
      </c>
      <c r="B352" s="9">
        <v>14160000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>
      <c r="A353" s="7">
        <v>945000</v>
      </c>
      <c r="B353" s="9">
        <v>7560000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>
      <c r="A354" s="7">
        <v>957600</v>
      </c>
      <c r="B354" s="9">
        <v>7660800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>
      <c r="A355" s="7">
        <v>969000</v>
      </c>
      <c r="B355" s="9">
        <v>23256000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>
      <c r="A356" s="7">
        <v>979200</v>
      </c>
      <c r="B356" s="9">
        <v>23500800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>
      <c r="A357" s="7">
        <v>1008000</v>
      </c>
      <c r="B357" s="9">
        <v>8064000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>
      <c r="A358" s="7">
        <v>1008900</v>
      </c>
      <c r="B358" s="9">
        <v>8071200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>
      <c r="A359" s="7">
        <v>1020000</v>
      </c>
      <c r="B359" s="9">
        <v>36720000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>
      <c r="A360" s="7">
        <v>1026000</v>
      </c>
      <c r="B360" s="9">
        <v>24624000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>
      <c r="A361" s="7">
        <v>1040400</v>
      </c>
      <c r="B361" s="9">
        <v>37454400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>
      <c r="A362" s="7">
        <v>1048800</v>
      </c>
      <c r="B362" s="9">
        <v>25171200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>
      <c r="A363" s="7">
        <v>1050600</v>
      </c>
      <c r="B363" s="9">
        <v>12607200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>
      <c r="A364" s="7">
        <v>1062000</v>
      </c>
      <c r="B364" s="9">
        <v>8496000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>
      <c r="A365" s="7">
        <v>1071000</v>
      </c>
      <c r="B365" s="9">
        <v>12852000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>
      <c r="A366" s="7">
        <v>1080000</v>
      </c>
      <c r="B366" s="9">
        <v>25920000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>
      <c r="A367" s="7">
        <v>1083000</v>
      </c>
      <c r="B367" s="9">
        <v>25992000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>
      <c r="A368" s="7">
        <v>1094400</v>
      </c>
      <c r="B368" s="9">
        <v>26265600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>
      <c r="A369" s="7">
        <v>1104000</v>
      </c>
      <c r="B369" s="9">
        <v>26496000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>
      <c r="A370" s="7">
        <v>1140000</v>
      </c>
      <c r="B370" s="9">
        <v>68400000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>
      <c r="A371" s="7">
        <v>1142400</v>
      </c>
      <c r="B371" s="9">
        <v>13708800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>
      <c r="A372" s="7">
        <v>1152000</v>
      </c>
      <c r="B372" s="9">
        <v>27648000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>
      <c r="A373" s="7">
        <v>1162800</v>
      </c>
      <c r="B373" s="9">
        <v>41860800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>
      <c r="A374" s="7">
        <v>1174200</v>
      </c>
      <c r="B374" s="9">
        <v>14090400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>
      <c r="A375" s="7">
        <v>1197000</v>
      </c>
      <c r="B375" s="9">
        <v>14364000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>
      <c r="A376" s="7">
        <v>1200000</v>
      </c>
      <c r="B376" s="9">
        <v>43200000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>
      <c r="A377" s="7">
        <v>1203600</v>
      </c>
      <c r="B377" s="9">
        <v>14443200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>
      <c r="A378" s="7">
        <v>1224000</v>
      </c>
      <c r="B378" s="9">
        <v>44064000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>
      <c r="A379" s="7">
        <v>1236000</v>
      </c>
      <c r="B379" s="9">
        <v>14832000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>
      <c r="A380" s="7">
        <v>1260000</v>
      </c>
      <c r="B380" s="9">
        <v>15120000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>
      <c r="A381" s="7">
        <v>1276800</v>
      </c>
      <c r="B381" s="9">
        <v>15321600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>
      <c r="A382" s="7">
        <v>1344000</v>
      </c>
      <c r="B382" s="9">
        <v>16128000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>
      <c r="A383" s="7">
        <v>1345200</v>
      </c>
      <c r="B383" s="9">
        <v>16142400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>
      <c r="A384" s="7">
        <v>1416000</v>
      </c>
      <c r="B384" s="9">
        <v>16992000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>
      <c r="A385" s="7" t="s">
        <v>169</v>
      </c>
      <c r="B385" s="9">
        <v>34530245600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2" width="21.42578125" customWidth="1"/>
    <col min="3" max="3" width="22.42578125" customWidth="1"/>
    <col min="4" max="4" width="21.42578125" customWidth="1"/>
  </cols>
  <sheetData>
    <row r="1" spans="1:4">
      <c r="A1" s="2" t="s">
        <v>173</v>
      </c>
    </row>
    <row r="3" spans="1:4">
      <c r="A3" s="2" t="s">
        <v>34</v>
      </c>
      <c r="B3" s="2" t="s">
        <v>36</v>
      </c>
      <c r="C3" s="2" t="s">
        <v>174</v>
      </c>
      <c r="D3" s="2" t="s">
        <v>175</v>
      </c>
    </row>
    <row r="4" spans="1:4">
      <c r="A4" t="s">
        <v>36</v>
      </c>
      <c r="C4" s="26">
        <v>-0.03</v>
      </c>
      <c r="D4" s="26">
        <v>0.03</v>
      </c>
    </row>
    <row r="5" spans="1:4">
      <c r="A5" t="s">
        <v>38</v>
      </c>
      <c r="C5" s="26">
        <v>0</v>
      </c>
      <c r="D5" s="26">
        <v>0</v>
      </c>
    </row>
    <row r="6" spans="1:4">
      <c r="A6" t="s">
        <v>39</v>
      </c>
      <c r="C6" s="26">
        <v>0.03</v>
      </c>
      <c r="D6" s="26">
        <v>-0.02</v>
      </c>
    </row>
    <row r="8" spans="1:4">
      <c r="A8" s="2" t="s">
        <v>176</v>
      </c>
      <c r="C8" s="14">
        <f>_xlfn.IFNA(INDEX(C4:C6, MATCH(B3, A4:A6, 0)), 0)</f>
        <v>-0.03</v>
      </c>
    </row>
    <row r="9" spans="1:4">
      <c r="A9" s="2" t="s">
        <v>177</v>
      </c>
      <c r="C9" s="14">
        <f>_xlfn.IFNA(INDEX(D4:D6, MATCH(B3, A4:A6, 0)), 0)</f>
        <v>0.03</v>
      </c>
    </row>
    <row r="11" spans="1:4">
      <c r="A11" s="2" t="s">
        <v>178</v>
      </c>
      <c r="B11" s="2" t="s">
        <v>179</v>
      </c>
    </row>
    <row r="12" spans="1:4">
      <c r="A12" s="3" t="s">
        <v>180</v>
      </c>
      <c r="B12" s="4">
        <v>4.9542168379320017E-2</v>
      </c>
    </row>
    <row r="13" spans="1:4">
      <c r="A13" s="3" t="s">
        <v>181</v>
      </c>
      <c r="B13" s="4">
        <v>0.25</v>
      </c>
    </row>
    <row r="14" spans="1:4">
      <c r="A14" s="3" t="s">
        <v>182</v>
      </c>
      <c r="B14" s="9">
        <f>'05_Budget'!B723 * (1 + B12 + C8)</f>
        <v>38210103805.936958</v>
      </c>
    </row>
    <row r="15" spans="1:4">
      <c r="A15" s="3" t="s">
        <v>183</v>
      </c>
      <c r="B15" s="9">
        <f>B14*'05_Budget'!B726</f>
        <v>17389145227.865662</v>
      </c>
    </row>
    <row r="16" spans="1:4">
      <c r="A16" s="3" t="s">
        <v>184</v>
      </c>
      <c r="B16" s="9">
        <f>B15-('05_Budget'!B1308*(1 + C9))</f>
        <v>9536342827.8656616</v>
      </c>
    </row>
    <row r="17" spans="1:2">
      <c r="A17" s="3" t="s">
        <v>185</v>
      </c>
      <c r="B17" s="13">
        <f>B16 / B14</f>
        <v>0.24957647004308678</v>
      </c>
    </row>
  </sheetData>
  <dataValidations count="1">
    <dataValidation type="list" allowBlank="1" showInputMessage="1" showErrorMessage="1" sqref="B3">
      <formula1>"Downside,Base,Upside"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4.5703125" customWidth="1"/>
    <col min="2" max="2" width="21.42578125" customWidth="1"/>
  </cols>
  <sheetData>
    <row r="1" spans="1:2">
      <c r="A1" s="2" t="s">
        <v>186</v>
      </c>
    </row>
    <row r="3" spans="1:2">
      <c r="A3" s="2" t="s">
        <v>187</v>
      </c>
      <c r="B3" s="2" t="s">
        <v>188</v>
      </c>
    </row>
    <row r="4" spans="1:2">
      <c r="A4" t="s">
        <v>189</v>
      </c>
      <c r="B4" t="s">
        <v>190</v>
      </c>
    </row>
    <row r="5" spans="1:2">
      <c r="A5" t="s">
        <v>191</v>
      </c>
      <c r="B5" t="s">
        <v>190</v>
      </c>
    </row>
    <row r="6" spans="1:2">
      <c r="A6" t="s">
        <v>192</v>
      </c>
      <c r="B6" t="s">
        <v>190</v>
      </c>
    </row>
    <row r="7" spans="1:2">
      <c r="A7" t="s">
        <v>193</v>
      </c>
      <c r="B7" t="s">
        <v>190</v>
      </c>
    </row>
    <row r="8" spans="1:2">
      <c r="A8" t="s">
        <v>194</v>
      </c>
      <c r="B8" t="s">
        <v>190</v>
      </c>
    </row>
  </sheetData>
  <conditionalFormatting sqref="B4:B8">
    <cfRule type="containsText" dxfId="2" priority="2" operator="containsText" text="PASS">
      <formula>NOT(ISERROR(SEARCH("PASS",B4)))</formula>
    </cfRule>
  </conditionalFormatting>
  <conditionalFormatting sqref="B4:B8">
    <cfRule type="containsText" dxfId="1" priority="1" operator="containsText" text="FAIL">
      <formula>NOT(ISERROR(SEARCH("FAIL",B4)))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00_ReadMe</vt:lpstr>
      <vt:lpstr>01_Assumptions</vt:lpstr>
      <vt:lpstr>02_Actual_Revenue</vt:lpstr>
      <vt:lpstr>03_Actual_Opex</vt:lpstr>
      <vt:lpstr>04_Actual_Headcount</vt:lpstr>
      <vt:lpstr>05_Budget</vt:lpstr>
      <vt:lpstr>06_Forecast</vt:lpstr>
      <vt:lpstr>07_PnL</vt:lpstr>
      <vt:lpstr>08_Variance</vt:lpstr>
      <vt:lpstr>09_Scenarios</vt:lpstr>
      <vt:lpstr>10_Management_Summary</vt:lpstr>
      <vt:lpstr>11_Checks</vt:lpstr>
      <vt:lpstr>12_Advance_L&amp;EH</vt:lpstr>
      <vt:lpstr>13_Advance_DAMA</vt:lpstr>
      <vt:lpstr>14_Advance_PA</vt:lpstr>
      <vt:lpstr>15_Advance_S&amp;WA</vt:lpstr>
      <vt:lpstr>16_Advance_MC&amp;EF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Fixfone</cp:lastModifiedBy>
  <cp:revision/>
  <dcterms:created xsi:type="dcterms:W3CDTF">2026-08-19T11:50:11Z</dcterms:created>
  <dcterms:modified xsi:type="dcterms:W3CDTF">2026-09-12T11:18:10Z</dcterms:modified>
  <cp:category/>
  <cp:contentStatus/>
</cp:coreProperties>
</file>